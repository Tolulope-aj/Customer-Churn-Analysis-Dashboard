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Ex3.xml" ContentType="application/vnd.ms-office.chartex+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93d1c5c5f8ffed5b/Belgeler/AEM 1/"/>
    </mc:Choice>
  </mc:AlternateContent>
  <xr:revisionPtr revIDLastSave="8" documentId="8_{DB7BD028-83F0-4967-AE6B-260833C3D23F}" xr6:coauthVersionLast="47" xr6:coauthVersionMax="47" xr10:uidLastSave="{9DB6F77D-BF9D-439A-A961-86222737E335}"/>
  <bookViews>
    <workbookView xWindow="-110" yWindow="-110" windowWidth="19420" windowHeight="10300" activeTab="2" xr2:uid="{3975FEB4-560B-43CC-9A99-6B3DB5426336}"/>
  </bookViews>
  <sheets>
    <sheet name="mtn_customer_churn" sheetId="1" r:id="rId1"/>
    <sheet name=" Pivot Table &amp; Charts" sheetId="3" state="hidden" r:id="rId2"/>
    <sheet name="Customer Churn Analysis Dashboa" sheetId="7" r:id="rId3"/>
    <sheet name="Dashboard 1 (3)" sheetId="8" state="hidden" r:id="rId4"/>
    <sheet name="Dashboard 1" sheetId="2" state="hidden" r:id="rId5"/>
    <sheet name="Dashboard 2" sheetId="5" state="hidden" r:id="rId6"/>
  </sheets>
  <definedNames>
    <definedName name="_xlchart.v5.0" hidden="1">' Pivot Table &amp; Charts'!$D$108</definedName>
    <definedName name="_xlchart.v5.1" hidden="1">' Pivot Table &amp; Charts'!$D$109:$D$143</definedName>
    <definedName name="_xlchart.v5.10" hidden="1">' Pivot Table &amp; Charts'!$E$108</definedName>
    <definedName name="_xlchart.v5.11" hidden="1">' Pivot Table &amp; Charts'!$E$109:$E$143</definedName>
    <definedName name="_xlchart.v5.2" hidden="1">' Pivot Table &amp; Charts'!$E$108</definedName>
    <definedName name="_xlchart.v5.3" hidden="1">' Pivot Table &amp; Charts'!$E$109:$E$143</definedName>
    <definedName name="_xlchart.v5.4" hidden="1">' Pivot Table &amp; Charts'!$D$108</definedName>
    <definedName name="_xlchart.v5.5" hidden="1">' Pivot Table &amp; Charts'!$D$109:$D$143</definedName>
    <definedName name="_xlchart.v5.6" hidden="1">' Pivot Table &amp; Charts'!$E$108</definedName>
    <definedName name="_xlchart.v5.7" hidden="1">' Pivot Table &amp; Charts'!$E$109:$E$143</definedName>
    <definedName name="_xlchart.v5.8" hidden="1">' Pivot Table &amp; Charts'!$D$108</definedName>
    <definedName name="_xlchart.v5.9" hidden="1">' Pivot Table &amp; Charts'!$D$109:$D$143</definedName>
    <definedName name="NativeTimeline_Date_of_Purchase">#N/A</definedName>
    <definedName name="Slicer_Age_Group">#N/A</definedName>
    <definedName name="Slicer_Customer_Tenure_Group">#N/A</definedName>
    <definedName name="Slicer_Gender">#N/A</definedName>
    <definedName name="Slicer_MTN_Device">#N/A</definedName>
  </definedNames>
  <calcPr calcId="191029"/>
  <pivotCaches>
    <pivotCache cacheId="15"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a="1"/>
  <c r="B2"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s="1"/>
  <c r="B169" i="1" a="1"/>
  <c r="B169" i="1" s="1"/>
  <c r="B170" i="1" a="1"/>
  <c r="B170" i="1" s="1"/>
  <c r="B171" i="1" a="1"/>
  <c r="B171" i="1"/>
  <c r="B172" i="1" a="1"/>
  <c r="B172" i="1" s="1"/>
  <c r="B173" i="1" a="1"/>
  <c r="B173" i="1" s="1"/>
  <c r="B174" i="1" a="1"/>
  <c r="B174" i="1" s="1"/>
  <c r="B175" i="1" a="1"/>
  <c r="B175" i="1" s="1"/>
  <c r="B176" i="1" a="1"/>
  <c r="B176" i="1" s="1"/>
  <c r="B177" i="1" a="1"/>
  <c r="B177" i="1" s="1"/>
  <c r="B178" i="1" a="1"/>
  <c r="B178" i="1" s="1"/>
  <c r="B179" i="1" a="1"/>
  <c r="B179" i="1" s="1"/>
  <c r="B180" i="1" a="1"/>
  <c r="B180" i="1" s="1"/>
  <c r="B181" i="1" a="1"/>
  <c r="B181" i="1" s="1"/>
  <c r="B182" i="1" a="1"/>
  <c r="B182" i="1" s="1"/>
  <c r="B183" i="1" a="1"/>
  <c r="B183" i="1" s="1"/>
  <c r="B184" i="1" a="1"/>
  <c r="B184" i="1" s="1"/>
  <c r="B185" i="1" a="1"/>
  <c r="B185" i="1" s="1"/>
  <c r="B186" i="1" a="1"/>
  <c r="B186" i="1" s="1"/>
  <c r="B187" i="1" a="1"/>
  <c r="B187" i="1" s="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s="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s="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c r="B280" i="1" a="1"/>
  <c r="B280" i="1" s="1"/>
  <c r="B281" i="1" a="1"/>
  <c r="B281" i="1" s="1"/>
  <c r="B282" i="1" a="1"/>
  <c r="B282" i="1" s="1"/>
  <c r="B283" i="1" a="1"/>
  <c r="B283" i="1" s="1"/>
  <c r="B284" i="1" a="1"/>
  <c r="B284" i="1" s="1"/>
  <c r="B285" i="1" a="1"/>
  <c r="B285" i="1" s="1"/>
  <c r="B286" i="1" a="1"/>
  <c r="B286" i="1" s="1"/>
  <c r="B287" i="1" a="1"/>
  <c r="B287" i="1" s="1"/>
  <c r="B288" i="1" a="1"/>
  <c r="B288" i="1" s="1"/>
  <c r="B289" i="1" a="1"/>
  <c r="B289" i="1" s="1"/>
  <c r="B290" i="1" a="1"/>
  <c r="B290" i="1" s="1"/>
  <c r="B291" i="1" a="1"/>
  <c r="B291" i="1" s="1"/>
  <c r="B292" i="1" a="1"/>
  <c r="B292" i="1" s="1"/>
  <c r="B293" i="1" a="1"/>
  <c r="B293" i="1" s="1"/>
  <c r="B294" i="1" a="1"/>
  <c r="B294" i="1" s="1"/>
  <c r="B295" i="1" a="1"/>
  <c r="B295" i="1" s="1"/>
  <c r="B296" i="1" a="1"/>
  <c r="B296" i="1" s="1"/>
  <c r="B297" i="1" a="1"/>
  <c r="B297" i="1" s="1"/>
  <c r="B298" i="1" a="1"/>
  <c r="B298" i="1" s="1"/>
  <c r="B299" i="1" a="1"/>
  <c r="B299" i="1" s="1"/>
  <c r="B300" i="1" a="1"/>
  <c r="B300" i="1" s="1"/>
  <c r="B301" i="1" a="1"/>
  <c r="B301" i="1" s="1"/>
  <c r="B302" i="1" a="1"/>
  <c r="B302" i="1" s="1"/>
  <c r="B303" i="1" a="1"/>
  <c r="B303" i="1" s="1"/>
  <c r="B304" i="1" a="1"/>
  <c r="B304" i="1" s="1"/>
  <c r="B305" i="1" a="1"/>
  <c r="B305" i="1" s="1"/>
  <c r="B306" i="1" a="1"/>
  <c r="B306" i="1" s="1"/>
  <c r="B307" i="1" a="1"/>
  <c r="B307" i="1" s="1"/>
  <c r="B308" i="1" a="1"/>
  <c r="B308" i="1" s="1"/>
  <c r="B309" i="1" a="1"/>
  <c r="B309" i="1" s="1"/>
  <c r="B310" i="1" a="1"/>
  <c r="B310" i="1" s="1"/>
  <c r="B311" i="1" a="1"/>
  <c r="B311" i="1" s="1"/>
  <c r="B312" i="1" a="1"/>
  <c r="B312" i="1" s="1"/>
  <c r="B313" i="1" a="1"/>
  <c r="B313" i="1" s="1"/>
  <c r="B314" i="1" a="1"/>
  <c r="B314" i="1" s="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c r="B335" i="1" a="1"/>
  <c r="B335" i="1" s="1"/>
  <c r="B336" i="1" a="1"/>
  <c r="B336" i="1" s="1"/>
  <c r="B337" i="1" a="1"/>
  <c r="B337" i="1" s="1"/>
  <c r="B338" i="1" a="1"/>
  <c r="B338" i="1" s="1"/>
  <c r="B339" i="1" a="1"/>
  <c r="B339" i="1" s="1"/>
  <c r="B340" i="1" a="1"/>
  <c r="B340" i="1" s="1"/>
  <c r="B341" i="1" a="1"/>
  <c r="B341" i="1" s="1"/>
  <c r="B342" i="1" a="1"/>
  <c r="B342" i="1" s="1"/>
  <c r="B343" i="1" a="1"/>
  <c r="B343" i="1" s="1"/>
  <c r="B344" i="1" a="1"/>
  <c r="B344" i="1" s="1"/>
  <c r="B345" i="1" a="1"/>
  <c r="B345" i="1" s="1"/>
  <c r="B346" i="1" a="1"/>
  <c r="B346" i="1" s="1"/>
  <c r="B347" i="1" a="1"/>
  <c r="B347" i="1" s="1"/>
  <c r="B348" i="1" a="1"/>
  <c r="B348" i="1" s="1"/>
  <c r="B349" i="1" a="1"/>
  <c r="B349" i="1" s="1"/>
  <c r="B350" i="1" a="1"/>
  <c r="B350" i="1" s="1"/>
  <c r="B351" i="1" a="1"/>
  <c r="B351" i="1" s="1"/>
  <c r="B352" i="1" a="1"/>
  <c r="B352" i="1" s="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s="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c r="B407" i="1" a="1"/>
  <c r="B407" i="1" s="1"/>
  <c r="B408" i="1" a="1"/>
  <c r="B408" i="1" s="1"/>
  <c r="B409" i="1" a="1"/>
  <c r="B409" i="1" s="1"/>
  <c r="B410" i="1" a="1"/>
  <c r="B410" i="1" s="1"/>
  <c r="B411" i="1" a="1"/>
  <c r="B411" i="1" s="1"/>
  <c r="B412" i="1" a="1"/>
  <c r="B412" i="1" s="1"/>
  <c r="B413" i="1" a="1"/>
  <c r="B413" i="1" s="1"/>
  <c r="B414" i="1" a="1"/>
  <c r="B414" i="1" s="1"/>
  <c r="B415" i="1" a="1"/>
  <c r="B415" i="1" s="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c r="B463" i="1" a="1"/>
  <c r="B463" i="1" s="1"/>
  <c r="B464" i="1" a="1"/>
  <c r="B464" i="1" s="1"/>
  <c r="B465" i="1" a="1"/>
  <c r="B465" i="1" s="1"/>
  <c r="B466" i="1" a="1"/>
  <c r="B466" i="1" s="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s="1"/>
  <c r="B495" i="1" a="1"/>
  <c r="B495" i="1" s="1"/>
  <c r="B496" i="1" a="1"/>
  <c r="B496" i="1" s="1"/>
  <c r="B497" i="1" a="1"/>
  <c r="B497" i="1" s="1"/>
  <c r="B498" i="1" a="1"/>
  <c r="B498" i="1" s="1"/>
  <c r="B499" i="1" a="1"/>
  <c r="B499" i="1" s="1"/>
  <c r="B500" i="1" a="1"/>
  <c r="B500" i="1" s="1"/>
  <c r="B501" i="1" a="1"/>
  <c r="B501" i="1" s="1"/>
  <c r="B502" i="1" a="1"/>
  <c r="B502" i="1" s="1"/>
  <c r="B503" i="1" a="1"/>
  <c r="B503" i="1" s="1"/>
  <c r="B504" i="1" a="1"/>
  <c r="B504" i="1" s="1"/>
  <c r="B505" i="1" a="1"/>
  <c r="B505" i="1" s="1"/>
  <c r="B506" i="1" a="1"/>
  <c r="B506" i="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s="1"/>
  <c r="B518" i="1" a="1"/>
  <c r="B518" i="1" s="1"/>
  <c r="B519" i="1" a="1"/>
  <c r="B519" i="1" s="1"/>
  <c r="B520" i="1" a="1"/>
  <c r="B520" i="1" s="1"/>
  <c r="B521" i="1" a="1"/>
  <c r="B521" i="1" s="1"/>
  <c r="B522" i="1" a="1"/>
  <c r="B522" i="1" s="1"/>
  <c r="B523" i="1" a="1"/>
  <c r="B523" i="1" s="1"/>
  <c r="B524" i="1" a="1"/>
  <c r="B524" i="1" s="1"/>
  <c r="B525" i="1" a="1"/>
  <c r="B525" i="1" s="1"/>
  <c r="B526" i="1" a="1"/>
  <c r="B526" i="1" s="1"/>
  <c r="B527" i="1" a="1"/>
  <c r="B527" i="1" s="1"/>
  <c r="B528" i="1" a="1"/>
  <c r="B528" i="1" s="1"/>
  <c r="B529" i="1" a="1"/>
  <c r="B529" i="1" s="1"/>
  <c r="B530" i="1" a="1"/>
  <c r="B530" i="1"/>
  <c r="B531" i="1" a="1"/>
  <c r="B531" i="1" s="1"/>
  <c r="B532" i="1" a="1"/>
  <c r="B532" i="1" s="1"/>
  <c r="B533" i="1" a="1"/>
  <c r="B533" i="1" s="1"/>
  <c r="B534" i="1" a="1"/>
  <c r="B534" i="1" s="1"/>
  <c r="B535" i="1" a="1"/>
  <c r="B535" i="1" s="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c r="B555" i="1" a="1"/>
  <c r="B555" i="1" s="1"/>
  <c r="B556" i="1" a="1"/>
  <c r="B556" i="1" s="1"/>
  <c r="B557" i="1" a="1"/>
  <c r="B557" i="1" s="1"/>
  <c r="B558" i="1" a="1"/>
  <c r="B558" i="1" s="1"/>
  <c r="B559" i="1" a="1"/>
  <c r="B559" i="1" s="1"/>
  <c r="B560" i="1" a="1"/>
  <c r="B560" i="1" s="1"/>
  <c r="B561" i="1" a="1"/>
  <c r="B561" i="1" s="1"/>
  <c r="B562" i="1" a="1"/>
  <c r="B562" i="1" s="1"/>
  <c r="B563" i="1" a="1"/>
  <c r="B563" i="1" s="1"/>
  <c r="B564" i="1" a="1"/>
  <c r="B564" i="1" s="1"/>
  <c r="B565" i="1" a="1"/>
  <c r="B565" i="1" s="1"/>
  <c r="B566" i="1" a="1"/>
  <c r="B566" i="1" s="1"/>
  <c r="B567" i="1" a="1"/>
  <c r="B567" i="1" s="1"/>
  <c r="B568" i="1" a="1"/>
  <c r="B568" i="1" s="1"/>
  <c r="B569" i="1" a="1"/>
  <c r="B569" i="1" s="1"/>
  <c r="B570" i="1" a="1"/>
  <c r="B570" i="1" s="1"/>
  <c r="B571" i="1" a="1"/>
  <c r="B571" i="1" s="1"/>
  <c r="B572" i="1" a="1"/>
  <c r="B572" i="1" s="1"/>
  <c r="B573" i="1" a="1"/>
  <c r="B573" i="1" s="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B589" i="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s="1"/>
  <c r="B624" i="1" a="1"/>
  <c r="B624" i="1" s="1"/>
  <c r="B625" i="1" a="1"/>
  <c r="B625" i="1" s="1"/>
  <c r="B626" i="1" a="1"/>
  <c r="B626" i="1" s="1"/>
  <c r="B627" i="1" a="1"/>
  <c r="B627" i="1" s="1"/>
  <c r="B628" i="1" a="1"/>
  <c r="B628" i="1" s="1"/>
  <c r="B629" i="1" a="1"/>
  <c r="B629" i="1" s="1"/>
  <c r="B630" i="1" a="1"/>
  <c r="B630" i="1" s="1"/>
  <c r="B631" i="1" a="1"/>
  <c r="B631" i="1" s="1"/>
  <c r="B632" i="1" a="1"/>
  <c r="B632" i="1" s="1"/>
  <c r="B633" i="1" a="1"/>
  <c r="B633" i="1" s="1"/>
  <c r="B634" i="1" a="1"/>
  <c r="B634" i="1" s="1"/>
  <c r="B635" i="1" a="1"/>
  <c r="B635" i="1" s="1"/>
  <c r="B636" i="1" a="1"/>
  <c r="B636" i="1" s="1"/>
  <c r="B637" i="1" a="1"/>
  <c r="B637" i="1" s="1"/>
  <c r="B638" i="1" a="1"/>
  <c r="B638" i="1" s="1"/>
  <c r="B639" i="1" a="1"/>
  <c r="B639" i="1" s="1"/>
  <c r="B640" i="1" a="1"/>
  <c r="B640" i="1" s="1"/>
  <c r="B641" i="1" a="1"/>
  <c r="B641" i="1" s="1"/>
  <c r="B642" i="1" a="1"/>
  <c r="B642" i="1" s="1"/>
  <c r="B643" i="1" a="1"/>
  <c r="B643" i="1" s="1"/>
  <c r="B644" i="1" a="1"/>
  <c r="B644" i="1" s="1"/>
  <c r="B645" i="1" a="1"/>
  <c r="B645" i="1" s="1"/>
  <c r="B646" i="1" a="1"/>
  <c r="B646" i="1" s="1"/>
  <c r="B647" i="1" a="1"/>
  <c r="B647" i="1" s="1"/>
  <c r="B648" i="1" a="1"/>
  <c r="B648" i="1" s="1"/>
  <c r="B649" i="1" a="1"/>
  <c r="B649" i="1" s="1"/>
  <c r="B650" i="1" a="1"/>
  <c r="B650" i="1" s="1"/>
  <c r="B651" i="1" a="1"/>
  <c r="B651" i="1" s="1"/>
  <c r="B652" i="1" a="1"/>
  <c r="B652" i="1" s="1"/>
  <c r="B653" i="1" a="1"/>
  <c r="B653" i="1" s="1"/>
  <c r="B654" i="1" a="1"/>
  <c r="B654" i="1" s="1"/>
  <c r="B655" i="1" a="1"/>
  <c r="B655" i="1" s="1"/>
  <c r="B656" i="1" a="1"/>
  <c r="B656" i="1" s="1"/>
  <c r="B657" i="1" a="1"/>
  <c r="B657" i="1" s="1"/>
  <c r="B658" i="1" a="1"/>
  <c r="B658" i="1" s="1"/>
  <c r="B659" i="1" a="1"/>
  <c r="B659" i="1" s="1"/>
  <c r="B660" i="1" a="1"/>
  <c r="B660" i="1" s="1"/>
  <c r="B661" i="1" a="1"/>
  <c r="B661" i="1" s="1"/>
  <c r="B662" i="1" a="1"/>
  <c r="B662" i="1" s="1"/>
  <c r="B663" i="1" a="1"/>
  <c r="B663" i="1" s="1"/>
  <c r="B664" i="1" a="1"/>
  <c r="B664" i="1" s="1"/>
  <c r="B665" i="1" a="1"/>
  <c r="B665" i="1" s="1"/>
  <c r="B666" i="1" a="1"/>
  <c r="B666" i="1" s="1"/>
  <c r="B667" i="1" a="1"/>
  <c r="B667" i="1" s="1"/>
  <c r="B668" i="1" a="1"/>
  <c r="B668" i="1" s="1"/>
  <c r="B669" i="1" a="1"/>
  <c r="B669" i="1" s="1"/>
  <c r="B670" i="1" a="1"/>
  <c r="B670" i="1" s="1"/>
  <c r="B671" i="1" a="1"/>
  <c r="B671" i="1" s="1"/>
  <c r="B672" i="1" a="1"/>
  <c r="B672" i="1" s="1"/>
  <c r="B673" i="1" a="1"/>
  <c r="B673" i="1" s="1"/>
  <c r="B674" i="1" a="1"/>
  <c r="B674" i="1" s="1"/>
  <c r="B675" i="1" a="1"/>
  <c r="B675" i="1" s="1"/>
  <c r="B676" i="1" a="1"/>
  <c r="B676" i="1" s="1"/>
  <c r="B677" i="1" a="1"/>
  <c r="B677" i="1" s="1"/>
  <c r="B678" i="1" a="1"/>
  <c r="B678" i="1" s="1"/>
  <c r="B679" i="1" a="1"/>
  <c r="B679" i="1" s="1"/>
  <c r="B680" i="1" a="1"/>
  <c r="B680" i="1" s="1"/>
  <c r="B681" i="1" a="1"/>
  <c r="B681" i="1" s="1"/>
  <c r="B682" i="1" a="1"/>
  <c r="B682" i="1" s="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s="1"/>
  <c r="B694" i="1" a="1"/>
  <c r="B694" i="1" s="1"/>
  <c r="B695" i="1" a="1"/>
  <c r="B695" i="1" s="1"/>
  <c r="B696" i="1" a="1"/>
  <c r="B696" i="1" s="1"/>
  <c r="B697" i="1" a="1"/>
  <c r="B697" i="1" s="1"/>
  <c r="B698" i="1" a="1"/>
  <c r="B698" i="1" s="1"/>
  <c r="B699" i="1" a="1"/>
  <c r="B699" i="1" s="1"/>
  <c r="B700" i="1" a="1"/>
  <c r="B700" i="1" s="1"/>
  <c r="B701" i="1" a="1"/>
  <c r="B701" i="1" s="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s="1"/>
  <c r="B713" i="1" a="1"/>
  <c r="B713" i="1"/>
  <c r="B714" i="1" a="1"/>
  <c r="B714" i="1" s="1"/>
  <c r="B715" i="1" a="1"/>
  <c r="B715" i="1" s="1"/>
  <c r="B716" i="1" a="1"/>
  <c r="B716" i="1" s="1"/>
  <c r="B717" i="1" a="1"/>
  <c r="B717" i="1" s="1"/>
  <c r="B718" i="1" a="1"/>
  <c r="B718" i="1" s="1"/>
  <c r="B719" i="1" a="1"/>
  <c r="B719" i="1" s="1"/>
  <c r="B720" i="1" a="1"/>
  <c r="B720" i="1" s="1"/>
  <c r="B721" i="1" a="1"/>
  <c r="B721" i="1" s="1"/>
  <c r="B722" i="1" a="1"/>
  <c r="B722" i="1" s="1"/>
  <c r="B723" i="1" a="1"/>
  <c r="B723" i="1" s="1"/>
  <c r="B724" i="1" a="1"/>
  <c r="B724" i="1" s="1"/>
  <c r="B725" i="1" a="1"/>
  <c r="B725" i="1"/>
  <c r="B726" i="1" a="1"/>
  <c r="B726" i="1" s="1"/>
  <c r="B727" i="1" a="1"/>
  <c r="B727" i="1" s="1"/>
  <c r="B728" i="1" a="1"/>
  <c r="B728" i="1" s="1"/>
  <c r="B729" i="1" a="1"/>
  <c r="B729" i="1" s="1"/>
  <c r="B730" i="1" a="1"/>
  <c r="B730" i="1" s="1"/>
  <c r="B731" i="1" a="1"/>
  <c r="B731" i="1" s="1"/>
  <c r="B732" i="1" a="1"/>
  <c r="B732" i="1" s="1"/>
  <c r="B733" i="1" a="1"/>
  <c r="B733" i="1" s="1"/>
  <c r="B734" i="1" a="1"/>
  <c r="B734" i="1" s="1"/>
  <c r="B735" i="1" a="1"/>
  <c r="B735" i="1" s="1"/>
  <c r="B736" i="1" a="1"/>
  <c r="B736" i="1" s="1"/>
  <c r="B737" i="1" a="1"/>
  <c r="B737" i="1" s="1"/>
  <c r="B738" i="1" a="1"/>
  <c r="B738" i="1" s="1"/>
  <c r="B739" i="1" a="1"/>
  <c r="B739" i="1" s="1"/>
  <c r="B740" i="1" a="1"/>
  <c r="B740" i="1" s="1"/>
  <c r="B741" i="1" a="1"/>
  <c r="B741" i="1" s="1"/>
  <c r="B742" i="1" a="1"/>
  <c r="B742" i="1" s="1"/>
  <c r="B743" i="1" a="1"/>
  <c r="B743" i="1"/>
  <c r="B744" i="1" a="1"/>
  <c r="B744" i="1" s="1"/>
  <c r="B745" i="1" a="1"/>
  <c r="B745" i="1" s="1"/>
  <c r="B746" i="1" a="1"/>
  <c r="B746" i="1" s="1"/>
  <c r="B747" i="1" a="1"/>
  <c r="B747" i="1" s="1"/>
  <c r="B748" i="1" a="1"/>
  <c r="B748" i="1" s="1"/>
  <c r="B749" i="1" a="1"/>
  <c r="B749" i="1"/>
  <c r="B750" i="1" a="1"/>
  <c r="B750" i="1" s="1"/>
  <c r="B751" i="1" a="1"/>
  <c r="B751" i="1" s="1"/>
  <c r="B752" i="1" a="1"/>
  <c r="B752" i="1" s="1"/>
  <c r="B753" i="1" a="1"/>
  <c r="B753" i="1"/>
  <c r="B754" i="1" a="1"/>
  <c r="B754" i="1" s="1"/>
  <c r="B755" i="1" a="1"/>
  <c r="B755" i="1" s="1"/>
  <c r="B756" i="1" a="1"/>
  <c r="B756" i="1" s="1"/>
  <c r="B757" i="1" a="1"/>
  <c r="B757" i="1" s="1"/>
  <c r="B758" i="1" a="1"/>
  <c r="B758" i="1" s="1"/>
  <c r="B759" i="1" a="1"/>
  <c r="B759" i="1"/>
  <c r="B760" i="1" a="1"/>
  <c r="B760" i="1" s="1"/>
  <c r="B761" i="1" a="1"/>
  <c r="B761" i="1" s="1"/>
  <c r="B762" i="1" a="1"/>
  <c r="B762" i="1" s="1"/>
  <c r="B763" i="1" a="1"/>
  <c r="B763" i="1" s="1"/>
  <c r="B764" i="1" a="1"/>
  <c r="B764" i="1" s="1"/>
  <c r="B765" i="1" a="1"/>
  <c r="B765" i="1" s="1"/>
  <c r="B766" i="1" a="1"/>
  <c r="B766" i="1" s="1"/>
  <c r="B767" i="1" a="1"/>
  <c r="B767" i="1" s="1"/>
  <c r="B768" i="1" a="1"/>
  <c r="B768" i="1" s="1"/>
  <c r="B769" i="1" a="1"/>
  <c r="B769" i="1"/>
  <c r="B770" i="1" a="1"/>
  <c r="B770" i="1" s="1"/>
  <c r="B771" i="1" a="1"/>
  <c r="B771" i="1" s="1"/>
  <c r="B772" i="1" a="1"/>
  <c r="B772" i="1" s="1"/>
  <c r="B773" i="1" a="1"/>
  <c r="B773" i="1" s="1"/>
  <c r="B774" i="1" a="1"/>
  <c r="B774" i="1" s="1"/>
  <c r="B775" i="1" a="1"/>
  <c r="B775" i="1" s="1"/>
  <c r="B776" i="1" a="1"/>
  <c r="B776" i="1" s="1"/>
  <c r="B777" i="1" a="1"/>
  <c r="B777" i="1"/>
  <c r="B778" i="1" a="1"/>
  <c r="B778" i="1" s="1"/>
  <c r="B779" i="1" a="1"/>
  <c r="B779" i="1" s="1"/>
  <c r="B780" i="1" a="1"/>
  <c r="B780" i="1" s="1"/>
  <c r="B781" i="1" a="1"/>
  <c r="B781" i="1" s="1"/>
  <c r="B782" i="1" a="1"/>
  <c r="B782" i="1" s="1"/>
  <c r="B783" i="1" a="1"/>
  <c r="B783" i="1"/>
  <c r="B784" i="1" a="1"/>
  <c r="B784" i="1" s="1"/>
  <c r="B785" i="1" a="1"/>
  <c r="B785" i="1" s="1"/>
  <c r="B786" i="1" a="1"/>
  <c r="B786" i="1" s="1"/>
  <c r="B787" i="1" a="1"/>
  <c r="B787" i="1" s="1"/>
  <c r="B788" i="1" a="1"/>
  <c r="B788" i="1" s="1"/>
  <c r="B789" i="1" a="1"/>
  <c r="B789" i="1" s="1"/>
  <c r="B790" i="1" a="1"/>
  <c r="B790" i="1" s="1"/>
  <c r="B791" i="1" a="1"/>
  <c r="B791" i="1"/>
  <c r="B792" i="1" a="1"/>
  <c r="B792" i="1" s="1"/>
  <c r="B793" i="1" a="1"/>
  <c r="B793" i="1" s="1"/>
  <c r="B794" i="1" a="1"/>
  <c r="B794" i="1" s="1"/>
  <c r="B795" i="1" a="1"/>
  <c r="B795" i="1" s="1"/>
  <c r="B796" i="1" a="1"/>
  <c r="B796" i="1" s="1"/>
  <c r="B797" i="1" a="1"/>
  <c r="B797" i="1" s="1"/>
  <c r="B798" i="1" a="1"/>
  <c r="B798" i="1" s="1"/>
  <c r="B799" i="1" a="1"/>
  <c r="B799" i="1" s="1"/>
  <c r="B800" i="1" a="1"/>
  <c r="B800" i="1" s="1"/>
  <c r="B801" i="1" a="1"/>
  <c r="B801" i="1" s="1"/>
  <c r="B802" i="1" a="1"/>
  <c r="B802" i="1" s="1"/>
  <c r="B803" i="1" a="1"/>
  <c r="B803" i="1" s="1"/>
  <c r="B804" i="1" a="1"/>
  <c r="B804" i="1" s="1"/>
  <c r="B805" i="1" a="1"/>
  <c r="B805" i="1"/>
  <c r="B806" i="1" a="1"/>
  <c r="B806" i="1" s="1"/>
  <c r="B807" i="1" a="1"/>
  <c r="B807" i="1" s="1"/>
  <c r="B808" i="1" a="1"/>
  <c r="B808" i="1" s="1"/>
  <c r="B809" i="1" a="1"/>
  <c r="B809" i="1" s="1"/>
  <c r="B810" i="1" a="1"/>
  <c r="B810" i="1" s="1"/>
  <c r="B811" i="1" a="1"/>
  <c r="B811" i="1" s="1"/>
  <c r="B812" i="1" a="1"/>
  <c r="B812" i="1" s="1"/>
  <c r="B813" i="1" a="1"/>
  <c r="B813" i="1" s="1"/>
  <c r="B814" i="1" a="1"/>
  <c r="B814" i="1" s="1"/>
  <c r="B815" i="1" a="1"/>
  <c r="B815" i="1" s="1"/>
  <c r="B816" i="1" a="1"/>
  <c r="B816" i="1" s="1"/>
  <c r="B817" i="1" a="1"/>
  <c r="B817" i="1" s="1"/>
  <c r="B818" i="1" a="1"/>
  <c r="B818" i="1" s="1"/>
  <c r="B819" i="1" a="1"/>
  <c r="B819" i="1" s="1"/>
  <c r="B820" i="1" a="1"/>
  <c r="B820" i="1" s="1"/>
  <c r="B821" i="1" a="1"/>
  <c r="B821" i="1" s="1"/>
  <c r="B822" i="1" a="1"/>
  <c r="B822" i="1" s="1"/>
  <c r="B823" i="1" a="1"/>
  <c r="B823" i="1" s="1"/>
  <c r="B824" i="1" a="1"/>
  <c r="B824" i="1" s="1"/>
  <c r="B825" i="1" a="1"/>
  <c r="B825" i="1" s="1"/>
  <c r="B826" i="1" a="1"/>
  <c r="B826" i="1" s="1"/>
  <c r="B827" i="1" a="1"/>
  <c r="B827" i="1" s="1"/>
  <c r="B828" i="1" a="1"/>
  <c r="B828" i="1" s="1"/>
  <c r="B829" i="1" a="1"/>
  <c r="B829" i="1" s="1"/>
  <c r="B830" i="1" a="1"/>
  <c r="B830" i="1" s="1"/>
  <c r="B831" i="1" a="1"/>
  <c r="B831" i="1" s="1"/>
  <c r="B832" i="1" a="1"/>
  <c r="B832" i="1" s="1"/>
  <c r="B833" i="1" a="1"/>
  <c r="B833" i="1" s="1"/>
  <c r="B834" i="1" a="1"/>
  <c r="B834" i="1" s="1"/>
  <c r="B835" i="1" a="1"/>
  <c r="B835" i="1"/>
  <c r="B836" i="1" a="1"/>
  <c r="B836" i="1" s="1"/>
  <c r="B837" i="1" a="1"/>
  <c r="B837" i="1" s="1"/>
  <c r="B838" i="1" a="1"/>
  <c r="B838" i="1" s="1"/>
  <c r="B839" i="1" a="1"/>
  <c r="B839" i="1" s="1"/>
  <c r="B840" i="1" a="1"/>
  <c r="B840" i="1" s="1"/>
  <c r="B841" i="1" a="1"/>
  <c r="B841" i="1" s="1"/>
  <c r="B842" i="1" a="1"/>
  <c r="B842" i="1" s="1"/>
  <c r="B843" i="1" a="1"/>
  <c r="B843" i="1" s="1"/>
  <c r="B844" i="1" a="1"/>
  <c r="B844" i="1" s="1"/>
  <c r="B845" i="1" a="1"/>
  <c r="B845" i="1" s="1"/>
  <c r="B846" i="1" a="1"/>
  <c r="B846" i="1" s="1"/>
  <c r="B847" i="1" a="1"/>
  <c r="B847" i="1" s="1"/>
  <c r="B848" i="1" a="1"/>
  <c r="B848" i="1" s="1"/>
  <c r="B849" i="1" a="1"/>
  <c r="B849" i="1" s="1"/>
  <c r="B850" i="1" a="1"/>
  <c r="B850" i="1" s="1"/>
  <c r="B851" i="1" a="1"/>
  <c r="B851" i="1" s="1"/>
  <c r="B852" i="1" a="1"/>
  <c r="B852" i="1" s="1"/>
  <c r="B853" i="1" a="1"/>
  <c r="B853" i="1" s="1"/>
  <c r="B854" i="1" a="1"/>
  <c r="B854" i="1" s="1"/>
  <c r="B855" i="1" a="1"/>
  <c r="B855" i="1" s="1"/>
  <c r="B856" i="1" a="1"/>
  <c r="B856" i="1" s="1"/>
  <c r="B857" i="1" a="1"/>
  <c r="B857" i="1" s="1"/>
  <c r="B858" i="1" a="1"/>
  <c r="B858" i="1" s="1"/>
  <c r="B859" i="1" a="1"/>
  <c r="B859" i="1" s="1"/>
  <c r="B860" i="1" a="1"/>
  <c r="B860" i="1" s="1"/>
  <c r="B861" i="1" a="1"/>
  <c r="B861" i="1" s="1"/>
  <c r="B862" i="1" a="1"/>
  <c r="B862" i="1" s="1"/>
  <c r="B863" i="1" a="1"/>
  <c r="B863" i="1" s="1"/>
  <c r="B864" i="1" a="1"/>
  <c r="B864" i="1" s="1"/>
  <c r="B865" i="1" a="1"/>
  <c r="B865" i="1" s="1"/>
  <c r="B866" i="1" a="1"/>
  <c r="B866" i="1" s="1"/>
  <c r="B867" i="1" a="1"/>
  <c r="B867" i="1" s="1"/>
  <c r="B868" i="1" a="1"/>
  <c r="B868" i="1" s="1"/>
  <c r="B869" i="1" a="1"/>
  <c r="B869" i="1" s="1"/>
  <c r="B870" i="1" a="1"/>
  <c r="B870" i="1" s="1"/>
  <c r="B871" i="1" a="1"/>
  <c r="B871" i="1" s="1"/>
  <c r="B872" i="1" a="1"/>
  <c r="B872" i="1" s="1"/>
  <c r="B873" i="1" a="1"/>
  <c r="B873" i="1" s="1"/>
  <c r="B874" i="1" a="1"/>
  <c r="B874" i="1" s="1"/>
  <c r="B875" i="1" a="1"/>
  <c r="B875" i="1" s="1"/>
  <c r="B876" i="1" a="1"/>
  <c r="B876" i="1" s="1"/>
  <c r="B877" i="1" a="1"/>
  <c r="B877" i="1" s="1"/>
  <c r="B878" i="1" a="1"/>
  <c r="B878" i="1" s="1"/>
  <c r="B879" i="1" a="1"/>
  <c r="B879" i="1" s="1"/>
  <c r="B880" i="1" a="1"/>
  <c r="B880" i="1" s="1"/>
  <c r="B881" i="1" a="1"/>
  <c r="B881" i="1" s="1"/>
  <c r="B882" i="1" a="1"/>
  <c r="B882" i="1" s="1"/>
  <c r="B883" i="1" a="1"/>
  <c r="B883" i="1" s="1"/>
  <c r="B884" i="1" a="1"/>
  <c r="B884" i="1" s="1"/>
  <c r="B885" i="1" a="1"/>
  <c r="B885" i="1" s="1"/>
  <c r="B886" i="1" a="1"/>
  <c r="B886" i="1" s="1"/>
  <c r="B887" i="1" a="1"/>
  <c r="B887" i="1" s="1"/>
  <c r="B888" i="1" a="1"/>
  <c r="B888" i="1" s="1"/>
  <c r="B889" i="1" a="1"/>
  <c r="B889" i="1" s="1"/>
  <c r="B890" i="1" a="1"/>
  <c r="B890" i="1" s="1"/>
  <c r="B891" i="1" a="1"/>
  <c r="B891" i="1" s="1"/>
  <c r="B892" i="1" a="1"/>
  <c r="B892" i="1" s="1"/>
  <c r="B893" i="1" a="1"/>
  <c r="B893" i="1" s="1"/>
  <c r="B894" i="1" a="1"/>
  <c r="B894" i="1" s="1"/>
  <c r="B895" i="1" a="1"/>
  <c r="B895" i="1" s="1"/>
  <c r="B896" i="1" a="1"/>
  <c r="B896" i="1" s="1"/>
  <c r="B897" i="1" a="1"/>
  <c r="B897" i="1" s="1"/>
  <c r="B898" i="1" a="1"/>
  <c r="B898" i="1" s="1"/>
  <c r="B899" i="1" a="1"/>
  <c r="B899" i="1" s="1"/>
  <c r="B900" i="1" a="1"/>
  <c r="B900" i="1" s="1"/>
  <c r="B901" i="1" a="1"/>
  <c r="B901" i="1" s="1"/>
  <c r="B902" i="1" a="1"/>
  <c r="B902" i="1" s="1"/>
  <c r="B903" i="1" a="1"/>
  <c r="B903" i="1" s="1"/>
  <c r="B904" i="1" a="1"/>
  <c r="B904" i="1" s="1"/>
  <c r="B905" i="1" a="1"/>
  <c r="B905" i="1" s="1"/>
  <c r="B906" i="1" a="1"/>
  <c r="B906" i="1" s="1"/>
  <c r="B907" i="1" a="1"/>
  <c r="B907" i="1" s="1"/>
  <c r="B908" i="1" a="1"/>
  <c r="B908" i="1" s="1"/>
  <c r="B909" i="1" a="1"/>
  <c r="B909" i="1" s="1"/>
  <c r="B910" i="1" a="1"/>
  <c r="B910" i="1" s="1"/>
  <c r="B911" i="1" a="1"/>
  <c r="B911" i="1" s="1"/>
  <c r="B912" i="1" a="1"/>
  <c r="B912" i="1" s="1"/>
  <c r="B913" i="1" a="1"/>
  <c r="B913" i="1" s="1"/>
  <c r="B914" i="1" a="1"/>
  <c r="B914" i="1" s="1"/>
  <c r="B915" i="1" a="1"/>
  <c r="B915" i="1" s="1"/>
  <c r="B916" i="1" a="1"/>
  <c r="B916" i="1" s="1"/>
  <c r="B917" i="1" a="1"/>
  <c r="B917" i="1" s="1"/>
  <c r="B918" i="1" a="1"/>
  <c r="B918" i="1" s="1"/>
  <c r="B919" i="1" a="1"/>
  <c r="B919" i="1" s="1"/>
  <c r="B920" i="1" a="1"/>
  <c r="B920" i="1" s="1"/>
  <c r="B921" i="1" a="1"/>
  <c r="B921" i="1" s="1"/>
  <c r="B922" i="1" a="1"/>
  <c r="B922" i="1" s="1"/>
  <c r="B923" i="1" a="1"/>
  <c r="B923" i="1" s="1"/>
  <c r="B924" i="1" a="1"/>
  <c r="B924" i="1" s="1"/>
  <c r="B925" i="1" a="1"/>
  <c r="B925" i="1" s="1"/>
  <c r="B926" i="1" a="1"/>
  <c r="B926" i="1" s="1"/>
  <c r="B927" i="1" a="1"/>
  <c r="B927" i="1" s="1"/>
  <c r="B928" i="1" a="1"/>
  <c r="B928" i="1" s="1"/>
  <c r="B929" i="1" a="1"/>
  <c r="B929" i="1" s="1"/>
  <c r="B930" i="1" a="1"/>
  <c r="B930" i="1" s="1"/>
  <c r="B931" i="1" a="1"/>
  <c r="B931" i="1" s="1"/>
  <c r="B932" i="1" a="1"/>
  <c r="B932" i="1" s="1"/>
  <c r="B933" i="1" a="1"/>
  <c r="B933" i="1" s="1"/>
  <c r="B934" i="1" a="1"/>
  <c r="B934" i="1" s="1"/>
  <c r="B935" i="1" a="1"/>
  <c r="B935" i="1" s="1"/>
  <c r="B936" i="1" a="1"/>
  <c r="B936" i="1" s="1"/>
  <c r="B937" i="1" a="1"/>
  <c r="B937" i="1" s="1"/>
  <c r="B938" i="1" a="1"/>
  <c r="B938" i="1" s="1"/>
  <c r="B939" i="1" a="1"/>
  <c r="B939" i="1" s="1"/>
  <c r="B940" i="1" a="1"/>
  <c r="B940" i="1" s="1"/>
  <c r="B941" i="1" a="1"/>
  <c r="B941" i="1" s="1"/>
  <c r="B942" i="1" a="1"/>
  <c r="B942" i="1" s="1"/>
  <c r="B943" i="1" a="1"/>
  <c r="B943" i="1" s="1"/>
  <c r="B944" i="1" a="1"/>
  <c r="B944" i="1" s="1"/>
  <c r="B945" i="1" a="1"/>
  <c r="B945" i="1" s="1"/>
  <c r="B946" i="1" a="1"/>
  <c r="B946" i="1" s="1"/>
  <c r="B947" i="1" a="1"/>
  <c r="B947" i="1" s="1"/>
  <c r="B948" i="1" a="1"/>
  <c r="B948" i="1" s="1"/>
  <c r="B949" i="1" a="1"/>
  <c r="B949" i="1" s="1"/>
  <c r="B950" i="1" a="1"/>
  <c r="B950" i="1" s="1"/>
  <c r="B951" i="1" a="1"/>
  <c r="B951" i="1" s="1"/>
  <c r="B952" i="1" a="1"/>
  <c r="B952" i="1" s="1"/>
  <c r="B953" i="1" a="1"/>
  <c r="B953" i="1" s="1"/>
  <c r="B954" i="1" a="1"/>
  <c r="B954" i="1" s="1"/>
  <c r="B955" i="1" a="1"/>
  <c r="B955" i="1" s="1"/>
  <c r="B956" i="1" a="1"/>
  <c r="B956" i="1" s="1"/>
  <c r="B957" i="1" a="1"/>
  <c r="B957" i="1" s="1"/>
  <c r="B958" i="1" a="1"/>
  <c r="B958" i="1" s="1"/>
  <c r="B959" i="1" a="1"/>
  <c r="B959" i="1" s="1"/>
  <c r="B960" i="1" a="1"/>
  <c r="B960" i="1" s="1"/>
  <c r="B961" i="1" a="1"/>
  <c r="B961" i="1" s="1"/>
  <c r="B962" i="1" a="1"/>
  <c r="B962" i="1" s="1"/>
  <c r="B963" i="1" a="1"/>
  <c r="B963" i="1" s="1"/>
  <c r="B964" i="1" a="1"/>
  <c r="B964" i="1" s="1"/>
  <c r="B965" i="1" a="1"/>
  <c r="B965" i="1" s="1"/>
  <c r="B966" i="1" a="1"/>
  <c r="B966" i="1" s="1"/>
  <c r="B967" i="1" a="1"/>
  <c r="B967" i="1" s="1"/>
  <c r="B968" i="1" a="1"/>
  <c r="B968" i="1" s="1"/>
  <c r="B969" i="1" a="1"/>
  <c r="B969" i="1" s="1"/>
  <c r="B970" i="1" a="1"/>
  <c r="B970" i="1" s="1"/>
  <c r="B971" i="1" a="1"/>
  <c r="B971" i="1" s="1"/>
  <c r="B972" i="1" a="1"/>
  <c r="B972" i="1" s="1"/>
  <c r="B973" i="1" a="1"/>
  <c r="B973" i="1" s="1"/>
  <c r="B974" i="1" a="1"/>
  <c r="B974" i="1" s="1"/>
  <c r="B975" i="1" a="1"/>
  <c r="B975" i="1" s="1"/>
  <c r="L2" i="1" a="1"/>
  <c r="L2" i="1" s="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3" i="1" s="1"/>
  <c r="L184" i="1" a="1"/>
  <c r="L184" i="1" s="1"/>
  <c r="L185" i="1" a="1"/>
  <c r="L185" i="1" s="1"/>
  <c r="L186" i="1" a="1"/>
  <c r="L186" i="1" s="1"/>
  <c r="L187" i="1" a="1"/>
  <c r="L187" i="1" s="1"/>
  <c r="L188" i="1" a="1"/>
  <c r="L188" i="1" s="1"/>
  <c r="L189" i="1" a="1"/>
  <c r="L189" i="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s="1"/>
  <c r="L237" i="1" a="1"/>
  <c r="L237" i="1" s="1"/>
  <c r="L238" i="1" a="1"/>
  <c r="L238" i="1" s="1"/>
  <c r="L239" i="1" a="1"/>
  <c r="L239" i="1" s="1"/>
  <c r="L240" i="1" a="1"/>
  <c r="L240" i="1" s="1"/>
  <c r="L241" i="1" a="1"/>
  <c r="L241" i="1" s="1"/>
  <c r="L242" i="1" a="1"/>
  <c r="L242" i="1"/>
  <c r="L243" i="1" a="1"/>
  <c r="L243" i="1" s="1"/>
  <c r="L244" i="1" a="1"/>
  <c r="L244" i="1" s="1"/>
  <c r="L245" i="1" a="1"/>
  <c r="L245" i="1" s="1"/>
  <c r="L246" i="1" a="1"/>
  <c r="L246" i="1" s="1"/>
  <c r="L247" i="1" a="1"/>
  <c r="L247" i="1" s="1"/>
  <c r="L248" i="1" a="1"/>
  <c r="L248" i="1" s="1"/>
  <c r="L249" i="1" a="1"/>
  <c r="L249" i="1" s="1"/>
  <c r="L250" i="1" a="1"/>
  <c r="L250" i="1" s="1"/>
  <c r="L251" i="1" a="1"/>
  <c r="L251" i="1" s="1"/>
  <c r="L252" i="1" a="1"/>
  <c r="L252" i="1" s="1"/>
  <c r="L253" i="1" a="1"/>
  <c r="L253" i="1" s="1"/>
  <c r="L254" i="1" a="1"/>
  <c r="L254" i="1" s="1"/>
  <c r="L255" i="1" a="1"/>
  <c r="L255" i="1" s="1"/>
  <c r="L256" i="1" a="1"/>
  <c r="L256" i="1" s="1"/>
  <c r="L257" i="1" a="1"/>
  <c r="L257" i="1" s="1"/>
  <c r="L258" i="1" a="1"/>
  <c r="L258" i="1" s="1"/>
  <c r="L259" i="1" a="1"/>
  <c r="L259" i="1" s="1"/>
  <c r="L260" i="1" a="1"/>
  <c r="L260" i="1" s="1"/>
  <c r="L261" i="1" a="1"/>
  <c r="L261" i="1" s="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s="1"/>
  <c r="L342" i="1" a="1"/>
  <c r="L342" i="1" s="1"/>
  <c r="L343" i="1" a="1"/>
  <c r="L343" i="1" s="1"/>
  <c r="L344" i="1" a="1"/>
  <c r="L344" i="1" s="1"/>
  <c r="L345" i="1" a="1"/>
  <c r="L345" i="1" s="1"/>
  <c r="L346" i="1" a="1"/>
  <c r="L346" i="1" s="1"/>
  <c r="L347" i="1" a="1"/>
  <c r="L347" i="1" s="1"/>
  <c r="L348" i="1" a="1"/>
  <c r="L348" i="1" s="1"/>
  <c r="L349" i="1" a="1"/>
  <c r="L349" i="1" s="1"/>
  <c r="L350" i="1" a="1"/>
  <c r="L350" i="1"/>
  <c r="L351" i="1" a="1"/>
  <c r="L351" i="1" s="1"/>
  <c r="L352" i="1" a="1"/>
  <c r="L352" i="1" s="1"/>
  <c r="L353" i="1" a="1"/>
  <c r="L353" i="1" s="1"/>
  <c r="L354" i="1" a="1"/>
  <c r="L354" i="1" s="1"/>
  <c r="L355" i="1" a="1"/>
  <c r="L355" i="1" s="1"/>
  <c r="L356" i="1" a="1"/>
  <c r="L356" i="1" s="1"/>
  <c r="L357" i="1" a="1"/>
  <c r="L357" i="1" s="1"/>
  <c r="L358" i="1" a="1"/>
  <c r="L358" i="1" s="1"/>
  <c r="L359" i="1" a="1"/>
  <c r="L359" i="1" s="1"/>
  <c r="L360" i="1" a="1"/>
  <c r="L360" i="1" s="1"/>
  <c r="L361" i="1" a="1"/>
  <c r="L361" i="1" s="1"/>
  <c r="L362" i="1" a="1"/>
  <c r="L362" i="1" s="1"/>
  <c r="L363" i="1" a="1"/>
  <c r="L363" i="1" s="1"/>
  <c r="L364" i="1" a="1"/>
  <c r="L364" i="1" s="1"/>
  <c r="L365" i="1" a="1"/>
  <c r="L365" i="1" s="1"/>
  <c r="L366" i="1" a="1"/>
  <c r="L366" i="1" s="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s="1"/>
  <c r="L378" i="1" a="1"/>
  <c r="L378" i="1" s="1"/>
  <c r="L379" i="1" a="1"/>
  <c r="L379" i="1" s="1"/>
  <c r="L380" i="1" a="1"/>
  <c r="L380" i="1" s="1"/>
  <c r="L381" i="1" a="1"/>
  <c r="L381" i="1" s="1"/>
  <c r="L382" i="1" a="1"/>
  <c r="L382" i="1" s="1"/>
  <c r="L383" i="1" a="1"/>
  <c r="L383" i="1" s="1"/>
  <c r="L384" i="1" a="1"/>
  <c r="L384" i="1" s="1"/>
  <c r="L385" i="1" a="1"/>
  <c r="L385" i="1" s="1"/>
  <c r="L386" i="1" a="1"/>
  <c r="L386" i="1" s="1"/>
  <c r="L387" i="1" a="1"/>
  <c r="L387" i="1" s="1"/>
  <c r="L388" i="1" a="1"/>
  <c r="L388" i="1" s="1"/>
  <c r="L389" i="1" a="1"/>
  <c r="L389" i="1" s="1"/>
  <c r="L390" i="1" a="1"/>
  <c r="L390" i="1" s="1"/>
  <c r="L391" i="1" a="1"/>
  <c r="L391" i="1" s="1"/>
  <c r="L392" i="1" a="1"/>
  <c r="L392" i="1" s="1"/>
  <c r="L393" i="1" a="1"/>
  <c r="L393" i="1" s="1"/>
  <c r="L394" i="1" a="1"/>
  <c r="L394" i="1" s="1"/>
  <c r="L395" i="1" a="1"/>
  <c r="L395" i="1" s="1"/>
  <c r="L396" i="1" a="1"/>
  <c r="L396" i="1" s="1"/>
  <c r="L397" i="1" a="1"/>
  <c r="L397" i="1" s="1"/>
  <c r="L398" i="1" a="1"/>
  <c r="L398" i="1" s="1"/>
  <c r="L399" i="1" a="1"/>
  <c r="L399" i="1"/>
  <c r="L400" i="1" a="1"/>
  <c r="L400" i="1" s="1"/>
  <c r="L401" i="1" a="1"/>
  <c r="L401" i="1" s="1"/>
  <c r="L402" i="1" a="1"/>
  <c r="L402" i="1" s="1"/>
  <c r="L403" i="1" a="1"/>
  <c r="L403" i="1" s="1"/>
  <c r="L404" i="1" a="1"/>
  <c r="L404" i="1" s="1"/>
  <c r="L405" i="1" a="1"/>
  <c r="L405" i="1" s="1"/>
  <c r="L406" i="1" a="1"/>
  <c r="L406" i="1" s="1"/>
  <c r="L407" i="1" a="1"/>
  <c r="L407" i="1" s="1"/>
  <c r="L408" i="1" a="1"/>
  <c r="L408" i="1" s="1"/>
  <c r="L409" i="1" a="1"/>
  <c r="L409" i="1" s="1"/>
  <c r="L410" i="1" a="1"/>
  <c r="L410" i="1" s="1"/>
  <c r="L411" i="1" a="1"/>
  <c r="L411" i="1" s="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s="1"/>
  <c r="L424" i="1" a="1"/>
  <c r="L424" i="1" s="1"/>
  <c r="L425" i="1" a="1"/>
  <c r="L425" i="1" s="1"/>
  <c r="L426" i="1" a="1"/>
  <c r="L426" i="1" s="1"/>
  <c r="L427" i="1" a="1"/>
  <c r="L427" i="1" s="1"/>
  <c r="L428" i="1" a="1"/>
  <c r="L428" i="1" s="1"/>
  <c r="L429" i="1" a="1"/>
  <c r="L429" i="1" s="1"/>
  <c r="L430" i="1" a="1"/>
  <c r="L430" i="1" s="1"/>
  <c r="L431" i="1" a="1"/>
  <c r="L431" i="1" s="1"/>
  <c r="L432" i="1" a="1"/>
  <c r="L432" i="1" s="1"/>
  <c r="L433" i="1" a="1"/>
  <c r="L433" i="1" s="1"/>
  <c r="L434" i="1" a="1"/>
  <c r="L434" i="1" s="1"/>
  <c r="L435" i="1" a="1"/>
  <c r="L435" i="1" s="1"/>
  <c r="L436" i="1" a="1"/>
  <c r="L436" i="1" s="1"/>
  <c r="L437" i="1" a="1"/>
  <c r="L437" i="1" s="1"/>
  <c r="L438" i="1" a="1"/>
  <c r="L438" i="1" s="1"/>
  <c r="L439" i="1" a="1"/>
  <c r="L439" i="1" s="1"/>
  <c r="L440" i="1" a="1"/>
  <c r="L440" i="1" s="1"/>
  <c r="L441" i="1" a="1"/>
  <c r="L441" i="1" s="1"/>
  <c r="L442" i="1" a="1"/>
  <c r="L442" i="1" s="1"/>
  <c r="L443" i="1" a="1"/>
  <c r="L443" i="1" s="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s="1"/>
  <c r="L455" i="1" a="1"/>
  <c r="L455" i="1" s="1"/>
  <c r="L456" i="1" a="1"/>
  <c r="L456" i="1" s="1"/>
  <c r="L457" i="1" a="1"/>
  <c r="L457" i="1" s="1"/>
  <c r="L458" i="1" a="1"/>
  <c r="L458" i="1" s="1"/>
  <c r="L459" i="1" a="1"/>
  <c r="L459" i="1" s="1"/>
  <c r="L460" i="1" a="1"/>
  <c r="L460" i="1" s="1"/>
  <c r="L461" i="1" a="1"/>
  <c r="L461" i="1" s="1"/>
  <c r="L462" i="1" a="1"/>
  <c r="L462" i="1" s="1"/>
  <c r="L463" i="1" a="1"/>
  <c r="L463" i="1" s="1"/>
  <c r="L464" i="1" a="1"/>
  <c r="L464" i="1" s="1"/>
  <c r="L465" i="1" a="1"/>
  <c r="L465" i="1" s="1"/>
  <c r="L466" i="1" a="1"/>
  <c r="L466" i="1" s="1"/>
  <c r="L467" i="1" a="1"/>
  <c r="L467" i="1" s="1"/>
  <c r="L468" i="1" a="1"/>
  <c r="L468" i="1" s="1"/>
  <c r="L469" i="1" a="1"/>
  <c r="L469" i="1" s="1"/>
  <c r="L470" i="1" a="1"/>
  <c r="L470" i="1" s="1"/>
  <c r="L471" i="1" a="1"/>
  <c r="L471" i="1" s="1"/>
  <c r="L472" i="1" a="1"/>
  <c r="L472" i="1" s="1"/>
  <c r="L473" i="1" a="1"/>
  <c r="L473" i="1" s="1"/>
  <c r="L474" i="1" a="1"/>
  <c r="L474" i="1" s="1"/>
  <c r="L475" i="1" a="1"/>
  <c r="L475" i="1" s="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s="1"/>
  <c r="L488" i="1" a="1"/>
  <c r="L488" i="1" s="1"/>
  <c r="L489" i="1" a="1"/>
  <c r="L489" i="1" s="1"/>
  <c r="L490" i="1" a="1"/>
  <c r="L490" i="1" s="1"/>
  <c r="L491" i="1" a="1"/>
  <c r="L491" i="1" s="1"/>
  <c r="L492" i="1" a="1"/>
  <c r="L492" i="1" s="1"/>
  <c r="L493" i="1" a="1"/>
  <c r="L493" i="1" s="1"/>
  <c r="L494" i="1" a="1"/>
  <c r="L494" i="1" s="1"/>
  <c r="L495" i="1" a="1"/>
  <c r="L495" i="1" s="1"/>
  <c r="L496" i="1" a="1"/>
  <c r="L496" i="1" s="1"/>
  <c r="L497" i="1" a="1"/>
  <c r="L497" i="1" s="1"/>
  <c r="L498" i="1" a="1"/>
  <c r="L498" i="1" s="1"/>
  <c r="L499" i="1" a="1"/>
  <c r="L499" i="1" s="1"/>
  <c r="L500" i="1" a="1"/>
  <c r="L500" i="1" s="1"/>
  <c r="L501" i="1" a="1"/>
  <c r="L501" i="1" s="1"/>
  <c r="L502" i="1" a="1"/>
  <c r="L502" i="1" s="1"/>
  <c r="L503" i="1" a="1"/>
  <c r="L503" i="1" s="1"/>
  <c r="L504" i="1" a="1"/>
  <c r="L504" i="1" s="1"/>
  <c r="L505" i="1" a="1"/>
  <c r="L505" i="1" s="1"/>
  <c r="L506" i="1" a="1"/>
  <c r="L506" i="1" s="1"/>
  <c r="L507" i="1" a="1"/>
  <c r="L507" i="1" s="1"/>
  <c r="L508" i="1" a="1"/>
  <c r="L508" i="1" s="1"/>
  <c r="L509" i="1" a="1"/>
  <c r="L509" i="1" s="1"/>
  <c r="L510" i="1" a="1"/>
  <c r="L510" i="1" s="1"/>
  <c r="L511" i="1" a="1"/>
  <c r="L511" i="1" s="1"/>
  <c r="L512" i="1" a="1"/>
  <c r="L512" i="1" s="1"/>
  <c r="L513" i="1" a="1"/>
  <c r="L513" i="1" s="1"/>
  <c r="L514" i="1" a="1"/>
  <c r="L514" i="1" s="1"/>
  <c r="L515" i="1" a="1"/>
  <c r="L515" i="1" s="1"/>
  <c r="L516" i="1" a="1"/>
  <c r="L516" i="1" s="1"/>
  <c r="L517" i="1" a="1"/>
  <c r="L517" i="1" s="1"/>
  <c r="L518" i="1" a="1"/>
  <c r="L518" i="1" s="1"/>
  <c r="L519" i="1" a="1"/>
  <c r="L519" i="1" s="1"/>
  <c r="L520" i="1" a="1"/>
  <c r="L520" i="1" s="1"/>
  <c r="L521" i="1" a="1"/>
  <c r="L521" i="1" s="1"/>
  <c r="L522" i="1" a="1"/>
  <c r="L522" i="1" s="1"/>
  <c r="L523" i="1" a="1"/>
  <c r="L523" i="1" s="1"/>
  <c r="L524" i="1" a="1"/>
  <c r="L524" i="1" s="1"/>
  <c r="L525" i="1" a="1"/>
  <c r="L525" i="1" s="1"/>
  <c r="L526" i="1" a="1"/>
  <c r="L526" i="1" s="1"/>
  <c r="L527" i="1" a="1"/>
  <c r="L527" i="1" s="1"/>
  <c r="L528" i="1" a="1"/>
  <c r="L528" i="1" s="1"/>
  <c r="L529" i="1" a="1"/>
  <c r="L529" i="1" s="1"/>
  <c r="L530" i="1" a="1"/>
  <c r="L530" i="1" s="1"/>
  <c r="L531" i="1" a="1"/>
  <c r="L531" i="1" s="1"/>
  <c r="L532" i="1" a="1"/>
  <c r="L532" i="1" s="1"/>
  <c r="L533" i="1" a="1"/>
  <c r="L533" i="1" s="1"/>
  <c r="L534" i="1" a="1"/>
  <c r="L534" i="1" s="1"/>
  <c r="L535" i="1" a="1"/>
  <c r="L535" i="1" s="1"/>
  <c r="L536" i="1" a="1"/>
  <c r="L536" i="1" s="1"/>
  <c r="L537" i="1" a="1"/>
  <c r="L537" i="1" s="1"/>
  <c r="L538" i="1" a="1"/>
  <c r="L538" i="1" s="1"/>
  <c r="L539" i="1" a="1"/>
  <c r="L539" i="1" s="1"/>
  <c r="L540" i="1" a="1"/>
  <c r="L540" i="1" s="1"/>
  <c r="L541" i="1" a="1"/>
  <c r="L541" i="1" s="1"/>
  <c r="L542" i="1" a="1"/>
  <c r="L542" i="1" s="1"/>
  <c r="L543" i="1" a="1"/>
  <c r="L543" i="1" s="1"/>
  <c r="L544" i="1" a="1"/>
  <c r="L544" i="1" s="1"/>
  <c r="L545" i="1" a="1"/>
  <c r="L545" i="1" s="1"/>
  <c r="L546" i="1" a="1"/>
  <c r="L546" i="1" s="1"/>
  <c r="L547" i="1" a="1"/>
  <c r="L547" i="1" s="1"/>
  <c r="L548" i="1" a="1"/>
  <c r="L548" i="1" s="1"/>
  <c r="L549" i="1" a="1"/>
  <c r="L549" i="1" s="1"/>
  <c r="L550" i="1" a="1"/>
  <c r="L550" i="1" s="1"/>
  <c r="L551" i="1" a="1"/>
  <c r="L551" i="1" s="1"/>
  <c r="L552" i="1" a="1"/>
  <c r="L552" i="1" s="1"/>
  <c r="L553" i="1" a="1"/>
  <c r="L553" i="1" s="1"/>
  <c r="L554" i="1" a="1"/>
  <c r="L554" i="1" s="1"/>
  <c r="L555" i="1" a="1"/>
  <c r="L555" i="1" s="1"/>
  <c r="L556" i="1" a="1"/>
  <c r="L556" i="1" s="1"/>
  <c r="L557" i="1" a="1"/>
  <c r="L557" i="1" s="1"/>
  <c r="L558" i="1" a="1"/>
  <c r="L558" i="1" s="1"/>
  <c r="L559" i="1" a="1"/>
  <c r="L559" i="1" s="1"/>
  <c r="L560" i="1" a="1"/>
  <c r="L560" i="1" s="1"/>
  <c r="L561" i="1" a="1"/>
  <c r="L561" i="1" s="1"/>
  <c r="L562" i="1" a="1"/>
  <c r="L562" i="1" s="1"/>
  <c r="L563" i="1" a="1"/>
  <c r="L563" i="1" s="1"/>
  <c r="L564" i="1" a="1"/>
  <c r="L564" i="1" s="1"/>
  <c r="L565" i="1" a="1"/>
  <c r="L565" i="1" s="1"/>
  <c r="L566" i="1" a="1"/>
  <c r="L566" i="1" s="1"/>
  <c r="L567" i="1" a="1"/>
  <c r="L567" i="1" s="1"/>
  <c r="L568" i="1" a="1"/>
  <c r="L568" i="1" s="1"/>
  <c r="L569" i="1" a="1"/>
  <c r="L569" i="1" s="1"/>
  <c r="L570" i="1" a="1"/>
  <c r="L570" i="1" s="1"/>
  <c r="L571" i="1" a="1"/>
  <c r="L571" i="1" s="1"/>
  <c r="L572" i="1" a="1"/>
  <c r="L572" i="1" s="1"/>
  <c r="L573" i="1" a="1"/>
  <c r="L573" i="1" s="1"/>
  <c r="L574" i="1" a="1"/>
  <c r="L574" i="1" s="1"/>
  <c r="L575" i="1" a="1"/>
  <c r="L575" i="1" s="1"/>
  <c r="L576" i="1" a="1"/>
  <c r="L576" i="1" s="1"/>
  <c r="L577" i="1" a="1"/>
  <c r="L577" i="1" s="1"/>
  <c r="L578" i="1" a="1"/>
  <c r="L578" i="1" s="1"/>
  <c r="L579" i="1" a="1"/>
  <c r="L579" i="1" s="1"/>
  <c r="L580" i="1" a="1"/>
  <c r="L580" i="1" s="1"/>
  <c r="L581" i="1" a="1"/>
  <c r="L581" i="1" s="1"/>
  <c r="L582" i="1" a="1"/>
  <c r="L582" i="1" s="1"/>
  <c r="L583" i="1" a="1"/>
  <c r="L583" i="1" s="1"/>
  <c r="L584" i="1" a="1"/>
  <c r="L584" i="1" s="1"/>
  <c r="L585" i="1" a="1"/>
  <c r="L585" i="1" s="1"/>
  <c r="L586" i="1" a="1"/>
  <c r="L586" i="1" s="1"/>
  <c r="L587" i="1" a="1"/>
  <c r="L587" i="1" s="1"/>
  <c r="L588" i="1" a="1"/>
  <c r="L588" i="1" s="1"/>
  <c r="L589" i="1" a="1"/>
  <c r="L589" i="1" s="1"/>
  <c r="L590" i="1" a="1"/>
  <c r="L590" i="1" s="1"/>
  <c r="L591" i="1" a="1"/>
  <c r="L591" i="1" s="1"/>
  <c r="L592" i="1" a="1"/>
  <c r="L592" i="1" s="1"/>
  <c r="L593" i="1" a="1"/>
  <c r="L593" i="1" s="1"/>
  <c r="L594" i="1" a="1"/>
  <c r="L594" i="1" s="1"/>
  <c r="L595" i="1" a="1"/>
  <c r="L595" i="1" s="1"/>
  <c r="L596" i="1" a="1"/>
  <c r="L596" i="1" s="1"/>
  <c r="L597" i="1" a="1"/>
  <c r="L597" i="1" s="1"/>
  <c r="L598" i="1" a="1"/>
  <c r="L598" i="1" s="1"/>
  <c r="L599" i="1" a="1"/>
  <c r="L599" i="1" s="1"/>
  <c r="L600" i="1" a="1"/>
  <c r="L600" i="1" s="1"/>
  <c r="L601" i="1" a="1"/>
  <c r="L601" i="1" s="1"/>
  <c r="L602" i="1" a="1"/>
  <c r="L602" i="1" s="1"/>
  <c r="L603" i="1" a="1"/>
  <c r="L603" i="1" s="1"/>
  <c r="L604" i="1" a="1"/>
  <c r="L604" i="1" s="1"/>
  <c r="L605" i="1" a="1"/>
  <c r="L605" i="1" s="1"/>
  <c r="L606" i="1" a="1"/>
  <c r="L606" i="1" s="1"/>
  <c r="L607" i="1" a="1"/>
  <c r="L607" i="1" s="1"/>
  <c r="L608" i="1" a="1"/>
  <c r="L608" i="1" s="1"/>
  <c r="L609" i="1" a="1"/>
  <c r="L609" i="1" s="1"/>
  <c r="L610" i="1" a="1"/>
  <c r="L610" i="1" s="1"/>
  <c r="L611" i="1" a="1"/>
  <c r="L611" i="1" s="1"/>
  <c r="L612" i="1" a="1"/>
  <c r="L612" i="1" s="1"/>
  <c r="L613" i="1" a="1"/>
  <c r="L613" i="1" s="1"/>
  <c r="L614" i="1" a="1"/>
  <c r="L614" i="1" s="1"/>
  <c r="L615" i="1" a="1"/>
  <c r="L615" i="1" s="1"/>
  <c r="L616" i="1" a="1"/>
  <c r="L616" i="1" s="1"/>
  <c r="L617" i="1" a="1"/>
  <c r="L617" i="1" s="1"/>
  <c r="L618" i="1" a="1"/>
  <c r="L618" i="1" s="1"/>
  <c r="L619" i="1" a="1"/>
  <c r="L619" i="1" s="1"/>
  <c r="L620" i="1" a="1"/>
  <c r="L620" i="1" s="1"/>
  <c r="L621" i="1" a="1"/>
  <c r="L621" i="1" s="1"/>
  <c r="L622" i="1" a="1"/>
  <c r="L622" i="1" s="1"/>
  <c r="L623" i="1" a="1"/>
  <c r="L623" i="1" s="1"/>
  <c r="L624" i="1" a="1"/>
  <c r="L624" i="1" s="1"/>
  <c r="L625" i="1" a="1"/>
  <c r="L625" i="1" s="1"/>
  <c r="L626" i="1" a="1"/>
  <c r="L626" i="1" s="1"/>
  <c r="L627" i="1" a="1"/>
  <c r="L627" i="1" s="1"/>
  <c r="L628" i="1" a="1"/>
  <c r="L628" i="1" s="1"/>
  <c r="L629" i="1" a="1"/>
  <c r="L629" i="1" s="1"/>
  <c r="L630" i="1" a="1"/>
  <c r="L630" i="1" s="1"/>
  <c r="L631" i="1" a="1"/>
  <c r="L631" i="1" s="1"/>
  <c r="L632" i="1" a="1"/>
  <c r="L632" i="1" s="1"/>
  <c r="L633" i="1" a="1"/>
  <c r="L633" i="1" s="1"/>
  <c r="L634" i="1" a="1"/>
  <c r="L634" i="1" s="1"/>
  <c r="L635" i="1" a="1"/>
  <c r="L635" i="1" s="1"/>
  <c r="L636" i="1" a="1"/>
  <c r="L636" i="1" s="1"/>
  <c r="L637" i="1" a="1"/>
  <c r="L637" i="1" s="1"/>
  <c r="L638" i="1" a="1"/>
  <c r="L638" i="1" s="1"/>
  <c r="L639" i="1" a="1"/>
  <c r="L639" i="1" s="1"/>
  <c r="L640" i="1" a="1"/>
  <c r="L640" i="1" s="1"/>
  <c r="L641" i="1" a="1"/>
  <c r="L641" i="1" s="1"/>
  <c r="L642" i="1" a="1"/>
  <c r="L642" i="1" s="1"/>
  <c r="L643" i="1" a="1"/>
  <c r="L643" i="1" s="1"/>
  <c r="L644" i="1" a="1"/>
  <c r="L644" i="1" s="1"/>
  <c r="L645" i="1" a="1"/>
  <c r="L645" i="1" s="1"/>
  <c r="L646" i="1" a="1"/>
  <c r="L646" i="1" s="1"/>
  <c r="L647" i="1" a="1"/>
  <c r="L647" i="1" s="1"/>
  <c r="L648" i="1" a="1"/>
  <c r="L648" i="1" s="1"/>
  <c r="L649" i="1" a="1"/>
  <c r="L649" i="1" s="1"/>
  <c r="L650" i="1" a="1"/>
  <c r="L650" i="1" s="1"/>
  <c r="L651" i="1" a="1"/>
  <c r="L651" i="1" s="1"/>
  <c r="L652" i="1" a="1"/>
  <c r="L652" i="1" s="1"/>
  <c r="L653" i="1" a="1"/>
  <c r="L653" i="1" s="1"/>
  <c r="L654" i="1" a="1"/>
  <c r="L654" i="1" s="1"/>
  <c r="L655" i="1" a="1"/>
  <c r="L655" i="1" s="1"/>
  <c r="L656" i="1" a="1"/>
  <c r="L656" i="1" s="1"/>
  <c r="L657" i="1" a="1"/>
  <c r="L657" i="1" s="1"/>
  <c r="L658" i="1" a="1"/>
  <c r="L658" i="1" s="1"/>
  <c r="L659" i="1" a="1"/>
  <c r="L659" i="1" s="1"/>
  <c r="L660" i="1" a="1"/>
  <c r="L660" i="1" s="1"/>
  <c r="L661" i="1" a="1"/>
  <c r="L661" i="1" s="1"/>
  <c r="L662" i="1" a="1"/>
  <c r="L662" i="1" s="1"/>
  <c r="L663" i="1" a="1"/>
  <c r="L663" i="1" s="1"/>
  <c r="L664" i="1" a="1"/>
  <c r="L664" i="1" s="1"/>
  <c r="L665" i="1" a="1"/>
  <c r="L665" i="1" s="1"/>
  <c r="L666" i="1" a="1"/>
  <c r="L666" i="1" s="1"/>
  <c r="L667" i="1" a="1"/>
  <c r="L667" i="1" s="1"/>
  <c r="L668" i="1" a="1"/>
  <c r="L668" i="1" s="1"/>
  <c r="L669" i="1" a="1"/>
  <c r="L669" i="1" s="1"/>
  <c r="L670" i="1" a="1"/>
  <c r="L670" i="1" s="1"/>
  <c r="L671" i="1" a="1"/>
  <c r="L671" i="1" s="1"/>
  <c r="L672" i="1" a="1"/>
  <c r="L672" i="1" s="1"/>
  <c r="L673" i="1" a="1"/>
  <c r="L673" i="1" s="1"/>
  <c r="L674" i="1" a="1"/>
  <c r="L674" i="1" s="1"/>
  <c r="L675" i="1" a="1"/>
  <c r="L675" i="1" s="1"/>
  <c r="L676" i="1" a="1"/>
  <c r="L676" i="1" s="1"/>
  <c r="L677" i="1" a="1"/>
  <c r="L677" i="1" s="1"/>
  <c r="L678" i="1" a="1"/>
  <c r="L678" i="1" s="1"/>
  <c r="L679" i="1" a="1"/>
  <c r="L679" i="1" s="1"/>
  <c r="L680" i="1" a="1"/>
  <c r="L680" i="1" s="1"/>
  <c r="L681" i="1" a="1"/>
  <c r="L681" i="1" s="1"/>
  <c r="L682" i="1" a="1"/>
  <c r="L682" i="1" s="1"/>
  <c r="L683" i="1" a="1"/>
  <c r="L683" i="1" s="1"/>
  <c r="L684" i="1" a="1"/>
  <c r="L684" i="1" s="1"/>
  <c r="L685" i="1" a="1"/>
  <c r="L685" i="1" s="1"/>
  <c r="L686" i="1" a="1"/>
  <c r="L686" i="1" s="1"/>
  <c r="L687" i="1" a="1"/>
  <c r="L687" i="1" s="1"/>
  <c r="L688" i="1" a="1"/>
  <c r="L688" i="1" s="1"/>
  <c r="L689" i="1" a="1"/>
  <c r="L689" i="1" s="1"/>
  <c r="L690" i="1" a="1"/>
  <c r="L690" i="1" s="1"/>
  <c r="L691" i="1" a="1"/>
  <c r="L691" i="1" s="1"/>
  <c r="L692" i="1" a="1"/>
  <c r="L692" i="1" s="1"/>
  <c r="L693" i="1" a="1"/>
  <c r="L693" i="1" s="1"/>
  <c r="L694" i="1" a="1"/>
  <c r="L694" i="1" s="1"/>
  <c r="L695" i="1" a="1"/>
  <c r="L695" i="1" s="1"/>
  <c r="L696" i="1" a="1"/>
  <c r="L696" i="1" s="1"/>
  <c r="L697" i="1" a="1"/>
  <c r="L697" i="1" s="1"/>
  <c r="L698" i="1" a="1"/>
  <c r="L698" i="1" s="1"/>
  <c r="L699" i="1" a="1"/>
  <c r="L699" i="1" s="1"/>
  <c r="L700" i="1" a="1"/>
  <c r="L700" i="1" s="1"/>
  <c r="L701" i="1" a="1"/>
  <c r="L701" i="1" s="1"/>
  <c r="L702" i="1" a="1"/>
  <c r="L702" i="1" s="1"/>
  <c r="L703" i="1" a="1"/>
  <c r="L703" i="1" s="1"/>
  <c r="L704" i="1" a="1"/>
  <c r="L704" i="1" s="1"/>
  <c r="L705" i="1" a="1"/>
  <c r="L705" i="1" s="1"/>
  <c r="L706" i="1" a="1"/>
  <c r="L706" i="1" s="1"/>
  <c r="L707" i="1" a="1"/>
  <c r="L707" i="1" s="1"/>
  <c r="L708" i="1" a="1"/>
  <c r="L708" i="1" s="1"/>
  <c r="L709" i="1" a="1"/>
  <c r="L709" i="1" s="1"/>
  <c r="L710" i="1" a="1"/>
  <c r="L710" i="1" s="1"/>
  <c r="L711" i="1" a="1"/>
  <c r="L711" i="1" s="1"/>
  <c r="L712" i="1" a="1"/>
  <c r="L712" i="1" s="1"/>
  <c r="L713" i="1" a="1"/>
  <c r="L713" i="1" s="1"/>
  <c r="L714" i="1" a="1"/>
  <c r="L714" i="1" s="1"/>
  <c r="L715" i="1" a="1"/>
  <c r="L715" i="1" s="1"/>
  <c r="L716" i="1" a="1"/>
  <c r="L716" i="1" s="1"/>
  <c r="L717" i="1" a="1"/>
  <c r="L717" i="1" s="1"/>
  <c r="L718" i="1" a="1"/>
  <c r="L718" i="1" s="1"/>
  <c r="L719" i="1" a="1"/>
  <c r="L719" i="1" s="1"/>
  <c r="L720" i="1" a="1"/>
  <c r="L720" i="1" s="1"/>
  <c r="L721" i="1" a="1"/>
  <c r="L721" i="1" s="1"/>
  <c r="L722" i="1" a="1"/>
  <c r="L722" i="1" s="1"/>
  <c r="L723" i="1" a="1"/>
  <c r="L723" i="1" s="1"/>
  <c r="L724" i="1" a="1"/>
  <c r="L724" i="1" s="1"/>
  <c r="L725" i="1" a="1"/>
  <c r="L725" i="1" s="1"/>
  <c r="L726" i="1" a="1"/>
  <c r="L726" i="1" s="1"/>
  <c r="L727" i="1" a="1"/>
  <c r="L727" i="1" s="1"/>
  <c r="L728" i="1" a="1"/>
  <c r="L728" i="1" s="1"/>
  <c r="L729" i="1" a="1"/>
  <c r="L729" i="1" s="1"/>
  <c r="L730" i="1" a="1"/>
  <c r="L730" i="1" s="1"/>
  <c r="L731" i="1" a="1"/>
  <c r="L731" i="1" s="1"/>
  <c r="L732" i="1" a="1"/>
  <c r="L732" i="1" s="1"/>
  <c r="L733" i="1" a="1"/>
  <c r="L733" i="1" s="1"/>
  <c r="L734" i="1" a="1"/>
  <c r="L734" i="1" s="1"/>
  <c r="L735" i="1" a="1"/>
  <c r="L735" i="1" s="1"/>
  <c r="L736" i="1" a="1"/>
  <c r="L736" i="1" s="1"/>
  <c r="L737" i="1" a="1"/>
  <c r="L737" i="1" s="1"/>
  <c r="L738" i="1" a="1"/>
  <c r="L738" i="1" s="1"/>
  <c r="L739" i="1" a="1"/>
  <c r="L739" i="1" s="1"/>
  <c r="L740" i="1" a="1"/>
  <c r="L740" i="1" s="1"/>
  <c r="L741" i="1" a="1"/>
  <c r="L741" i="1" s="1"/>
  <c r="L742" i="1" a="1"/>
  <c r="L742" i="1" s="1"/>
  <c r="L743" i="1" a="1"/>
  <c r="L743" i="1" s="1"/>
  <c r="L744" i="1" a="1"/>
  <c r="L744" i="1" s="1"/>
  <c r="L745" i="1" a="1"/>
  <c r="L745" i="1" s="1"/>
  <c r="L746" i="1" a="1"/>
  <c r="L746" i="1" s="1"/>
  <c r="L747" i="1" a="1"/>
  <c r="L747" i="1" s="1"/>
  <c r="L748" i="1" a="1"/>
  <c r="L748" i="1" s="1"/>
  <c r="L749" i="1" a="1"/>
  <c r="L749" i="1" s="1"/>
  <c r="L750" i="1" a="1"/>
  <c r="L750" i="1" s="1"/>
  <c r="L751" i="1" a="1"/>
  <c r="L751" i="1" s="1"/>
  <c r="L752" i="1" a="1"/>
  <c r="L752" i="1" s="1"/>
  <c r="L753" i="1" a="1"/>
  <c r="L753" i="1" s="1"/>
  <c r="L754" i="1" a="1"/>
  <c r="L754" i="1" s="1"/>
  <c r="L755" i="1" a="1"/>
  <c r="L755" i="1" s="1"/>
  <c r="L756" i="1" a="1"/>
  <c r="L756" i="1" s="1"/>
  <c r="L757" i="1" a="1"/>
  <c r="L757" i="1" s="1"/>
  <c r="L758" i="1" a="1"/>
  <c r="L758" i="1" s="1"/>
  <c r="L759" i="1" a="1"/>
  <c r="L759" i="1" s="1"/>
  <c r="L760" i="1" a="1"/>
  <c r="L760" i="1" s="1"/>
  <c r="L761" i="1" a="1"/>
  <c r="L761" i="1" s="1"/>
  <c r="L762" i="1" a="1"/>
  <c r="L762" i="1" s="1"/>
  <c r="L763" i="1" a="1"/>
  <c r="L763" i="1" s="1"/>
  <c r="L764" i="1" a="1"/>
  <c r="L764" i="1" s="1"/>
  <c r="L765" i="1" a="1"/>
  <c r="L765" i="1" s="1"/>
  <c r="L766" i="1" a="1"/>
  <c r="L766" i="1" s="1"/>
  <c r="L767" i="1" a="1"/>
  <c r="L767" i="1" s="1"/>
  <c r="L768" i="1" a="1"/>
  <c r="L768" i="1" s="1"/>
  <c r="L769" i="1" a="1"/>
  <c r="L769" i="1" s="1"/>
  <c r="L770" i="1" a="1"/>
  <c r="L770" i="1" s="1"/>
  <c r="L771" i="1" a="1"/>
  <c r="L771" i="1" s="1"/>
  <c r="L772" i="1" a="1"/>
  <c r="L772" i="1" s="1"/>
  <c r="L773" i="1" a="1"/>
  <c r="L773" i="1" s="1"/>
  <c r="L774" i="1" a="1"/>
  <c r="L774" i="1" s="1"/>
  <c r="L775" i="1" a="1"/>
  <c r="L775" i="1" s="1"/>
  <c r="L776" i="1" a="1"/>
  <c r="L776" i="1" s="1"/>
  <c r="L777" i="1" a="1"/>
  <c r="L777" i="1" s="1"/>
  <c r="L778" i="1" a="1"/>
  <c r="L778" i="1" s="1"/>
  <c r="L779" i="1" a="1"/>
  <c r="L779" i="1" s="1"/>
  <c r="L780" i="1" a="1"/>
  <c r="L780" i="1" s="1"/>
  <c r="L781" i="1" a="1"/>
  <c r="L781" i="1" s="1"/>
  <c r="L782" i="1" a="1"/>
  <c r="L782" i="1" s="1"/>
  <c r="L783" i="1" a="1"/>
  <c r="L783" i="1" s="1"/>
  <c r="L784" i="1" a="1"/>
  <c r="L784" i="1" s="1"/>
  <c r="L785" i="1" a="1"/>
  <c r="L785" i="1" s="1"/>
  <c r="L786" i="1" a="1"/>
  <c r="L786" i="1" s="1"/>
  <c r="L787" i="1" a="1"/>
  <c r="L787" i="1" s="1"/>
  <c r="L788" i="1" a="1"/>
  <c r="L788" i="1" s="1"/>
  <c r="L789" i="1" a="1"/>
  <c r="L789" i="1" s="1"/>
  <c r="L790" i="1" a="1"/>
  <c r="L790" i="1" s="1"/>
  <c r="L791" i="1" a="1"/>
  <c r="L791" i="1" s="1"/>
  <c r="L792" i="1" a="1"/>
  <c r="L792" i="1" s="1"/>
  <c r="L793" i="1" a="1"/>
  <c r="L793" i="1" s="1"/>
  <c r="L794" i="1" a="1"/>
  <c r="L794" i="1" s="1"/>
  <c r="L795" i="1" a="1"/>
  <c r="L795" i="1" s="1"/>
  <c r="L796" i="1" a="1"/>
  <c r="L796" i="1" s="1"/>
  <c r="L797" i="1" a="1"/>
  <c r="L797" i="1" s="1"/>
  <c r="L798" i="1" a="1"/>
  <c r="L798" i="1" s="1"/>
  <c r="L799" i="1" a="1"/>
  <c r="L799" i="1" s="1"/>
  <c r="L800" i="1" a="1"/>
  <c r="L800" i="1" s="1"/>
  <c r="L801" i="1" a="1"/>
  <c r="L801" i="1" s="1"/>
  <c r="L802" i="1" a="1"/>
  <c r="L802" i="1" s="1"/>
  <c r="L803" i="1" a="1"/>
  <c r="L803" i="1" s="1"/>
  <c r="L804" i="1" a="1"/>
  <c r="L804" i="1" s="1"/>
  <c r="L805" i="1" a="1"/>
  <c r="L805" i="1" s="1"/>
  <c r="L806" i="1" a="1"/>
  <c r="L806" i="1" s="1"/>
  <c r="L807" i="1" a="1"/>
  <c r="L807" i="1" s="1"/>
  <c r="L808" i="1" a="1"/>
  <c r="L808" i="1" s="1"/>
  <c r="L809" i="1" a="1"/>
  <c r="L809" i="1" s="1"/>
  <c r="L810" i="1" a="1"/>
  <c r="L810" i="1" s="1"/>
  <c r="L811" i="1" a="1"/>
  <c r="L811" i="1" s="1"/>
  <c r="L812" i="1" a="1"/>
  <c r="L812" i="1" s="1"/>
  <c r="L813" i="1" a="1"/>
  <c r="L813" i="1" s="1"/>
  <c r="L814" i="1" a="1"/>
  <c r="L814" i="1" s="1"/>
  <c r="L815" i="1" a="1"/>
  <c r="L815" i="1" s="1"/>
  <c r="L816" i="1" a="1"/>
  <c r="L816" i="1" s="1"/>
  <c r="L817" i="1" a="1"/>
  <c r="L817" i="1" s="1"/>
  <c r="L818" i="1" a="1"/>
  <c r="L818" i="1" s="1"/>
  <c r="L819" i="1" a="1"/>
  <c r="L819" i="1" s="1"/>
  <c r="L820" i="1" a="1"/>
  <c r="L820" i="1" s="1"/>
  <c r="L821" i="1" a="1"/>
  <c r="L821" i="1" s="1"/>
  <c r="L822" i="1" a="1"/>
  <c r="L822" i="1" s="1"/>
  <c r="L823" i="1" a="1"/>
  <c r="L823" i="1" s="1"/>
  <c r="L824" i="1" a="1"/>
  <c r="L824" i="1" s="1"/>
  <c r="L825" i="1" a="1"/>
  <c r="L825" i="1" s="1"/>
  <c r="L826" i="1" a="1"/>
  <c r="L826" i="1" s="1"/>
  <c r="L827" i="1" a="1"/>
  <c r="L827" i="1" s="1"/>
  <c r="L828" i="1" a="1"/>
  <c r="L828" i="1" s="1"/>
  <c r="L829" i="1" a="1"/>
  <c r="L829" i="1" s="1"/>
  <c r="L830" i="1" a="1"/>
  <c r="L830" i="1" s="1"/>
  <c r="L831" i="1" a="1"/>
  <c r="L831" i="1" s="1"/>
  <c r="L832" i="1" a="1"/>
  <c r="L832" i="1" s="1"/>
  <c r="L833" i="1" a="1"/>
  <c r="L833" i="1" s="1"/>
  <c r="L834" i="1" a="1"/>
  <c r="L834" i="1" s="1"/>
  <c r="L835" i="1" a="1"/>
  <c r="L835" i="1" s="1"/>
  <c r="L836" i="1" a="1"/>
  <c r="L836" i="1" s="1"/>
  <c r="L837" i="1" a="1"/>
  <c r="L837" i="1" s="1"/>
  <c r="L838" i="1" a="1"/>
  <c r="L838" i="1" s="1"/>
  <c r="L839" i="1" a="1"/>
  <c r="L839" i="1" s="1"/>
  <c r="L840" i="1" a="1"/>
  <c r="L840" i="1" s="1"/>
  <c r="L841" i="1" a="1"/>
  <c r="L841" i="1" s="1"/>
  <c r="L842" i="1" a="1"/>
  <c r="L842" i="1" s="1"/>
  <c r="L843" i="1" a="1"/>
  <c r="L843" i="1" s="1"/>
  <c r="L844" i="1" a="1"/>
  <c r="L844" i="1" s="1"/>
  <c r="L845" i="1" a="1"/>
  <c r="L845" i="1" s="1"/>
  <c r="L846" i="1" a="1"/>
  <c r="L846" i="1" s="1"/>
  <c r="L847" i="1" a="1"/>
  <c r="L847" i="1" s="1"/>
  <c r="L848" i="1" a="1"/>
  <c r="L848" i="1" s="1"/>
  <c r="L849" i="1" a="1"/>
  <c r="L849" i="1" s="1"/>
  <c r="L850" i="1" a="1"/>
  <c r="L850" i="1" s="1"/>
  <c r="L851" i="1" a="1"/>
  <c r="L851" i="1" s="1"/>
  <c r="L852" i="1" a="1"/>
  <c r="L852" i="1" s="1"/>
  <c r="L853" i="1" a="1"/>
  <c r="L853" i="1" s="1"/>
  <c r="L854" i="1" a="1"/>
  <c r="L854" i="1" s="1"/>
  <c r="L855" i="1" a="1"/>
  <c r="L855" i="1" s="1"/>
  <c r="L856" i="1" a="1"/>
  <c r="L856" i="1" s="1"/>
  <c r="L857" i="1" a="1"/>
  <c r="L857" i="1" s="1"/>
  <c r="L858" i="1" a="1"/>
  <c r="L858" i="1" s="1"/>
  <c r="L859" i="1" a="1"/>
  <c r="L859" i="1" s="1"/>
  <c r="L860" i="1" a="1"/>
  <c r="L860" i="1" s="1"/>
  <c r="L861" i="1" a="1"/>
  <c r="L861" i="1" s="1"/>
  <c r="L862" i="1" a="1"/>
  <c r="L862" i="1" s="1"/>
  <c r="L863" i="1" a="1"/>
  <c r="L863" i="1" s="1"/>
  <c r="L864" i="1" a="1"/>
  <c r="L864" i="1" s="1"/>
  <c r="L865" i="1" a="1"/>
  <c r="L865" i="1" s="1"/>
  <c r="L866" i="1" a="1"/>
  <c r="L866" i="1" s="1"/>
  <c r="L867" i="1" a="1"/>
  <c r="L867" i="1" s="1"/>
  <c r="L868" i="1" a="1"/>
  <c r="L868" i="1" s="1"/>
  <c r="L869" i="1" a="1"/>
  <c r="L869" i="1" s="1"/>
  <c r="L870" i="1" a="1"/>
  <c r="L870" i="1" s="1"/>
  <c r="L871" i="1" a="1"/>
  <c r="L871" i="1" s="1"/>
  <c r="L872" i="1" a="1"/>
  <c r="L872" i="1" s="1"/>
  <c r="L873" i="1" a="1"/>
  <c r="L873" i="1" s="1"/>
  <c r="L874" i="1" a="1"/>
  <c r="L874" i="1" s="1"/>
  <c r="L875" i="1" a="1"/>
  <c r="L875" i="1" s="1"/>
  <c r="L876" i="1" a="1"/>
  <c r="L876" i="1" s="1"/>
  <c r="L877" i="1" a="1"/>
  <c r="L877" i="1" s="1"/>
  <c r="L878" i="1" a="1"/>
  <c r="L878" i="1" s="1"/>
  <c r="L879" i="1" a="1"/>
  <c r="L879" i="1" s="1"/>
  <c r="L880" i="1" a="1"/>
  <c r="L880" i="1" s="1"/>
  <c r="L881" i="1" a="1"/>
  <c r="L881" i="1" s="1"/>
  <c r="L882" i="1" a="1"/>
  <c r="L882" i="1" s="1"/>
  <c r="L883" i="1" a="1"/>
  <c r="L883" i="1" s="1"/>
  <c r="L884" i="1" a="1"/>
  <c r="L884" i="1" s="1"/>
  <c r="L885" i="1" a="1"/>
  <c r="L885" i="1" s="1"/>
  <c r="L886" i="1" a="1"/>
  <c r="L886" i="1" s="1"/>
  <c r="L887" i="1" a="1"/>
  <c r="L887" i="1" s="1"/>
  <c r="L888" i="1" a="1"/>
  <c r="L888" i="1" s="1"/>
  <c r="L889" i="1" a="1"/>
  <c r="L889" i="1" s="1"/>
  <c r="L890" i="1" a="1"/>
  <c r="L890" i="1" s="1"/>
  <c r="L891" i="1" a="1"/>
  <c r="L891" i="1" s="1"/>
  <c r="L892" i="1" a="1"/>
  <c r="L892" i="1" s="1"/>
  <c r="L893" i="1" a="1"/>
  <c r="L893" i="1" s="1"/>
  <c r="L894" i="1" a="1"/>
  <c r="L894" i="1" s="1"/>
  <c r="L895" i="1" a="1"/>
  <c r="L895" i="1" s="1"/>
  <c r="L896" i="1" a="1"/>
  <c r="L896" i="1" s="1"/>
  <c r="L897" i="1" a="1"/>
  <c r="L897" i="1" s="1"/>
  <c r="L898" i="1" a="1"/>
  <c r="L898" i="1" s="1"/>
  <c r="L899" i="1" a="1"/>
  <c r="L899" i="1" s="1"/>
  <c r="L900" i="1" a="1"/>
  <c r="L900" i="1" s="1"/>
  <c r="L901" i="1" a="1"/>
  <c r="L901" i="1" s="1"/>
  <c r="L902" i="1" a="1"/>
  <c r="L902" i="1" s="1"/>
  <c r="L903" i="1" a="1"/>
  <c r="L903" i="1" s="1"/>
  <c r="L904" i="1" a="1"/>
  <c r="L904" i="1" s="1"/>
  <c r="L905" i="1" a="1"/>
  <c r="L905" i="1" s="1"/>
  <c r="L906" i="1" a="1"/>
  <c r="L906" i="1" s="1"/>
  <c r="L907" i="1" a="1"/>
  <c r="L907" i="1" s="1"/>
  <c r="L908" i="1" a="1"/>
  <c r="L908" i="1" s="1"/>
  <c r="L909" i="1" a="1"/>
  <c r="L909" i="1" s="1"/>
  <c r="L910" i="1" a="1"/>
  <c r="L910" i="1" s="1"/>
  <c r="L911" i="1" a="1"/>
  <c r="L911" i="1" s="1"/>
  <c r="L912" i="1" a="1"/>
  <c r="L912" i="1" s="1"/>
  <c r="L913" i="1" a="1"/>
  <c r="L913" i="1" s="1"/>
  <c r="L914" i="1" a="1"/>
  <c r="L914" i="1" s="1"/>
  <c r="L915" i="1" a="1"/>
  <c r="L915" i="1" s="1"/>
  <c r="L916" i="1" a="1"/>
  <c r="L916" i="1" s="1"/>
  <c r="L917" i="1" a="1"/>
  <c r="L917" i="1" s="1"/>
  <c r="L918" i="1" a="1"/>
  <c r="L918" i="1" s="1"/>
  <c r="L919" i="1" a="1"/>
  <c r="L919" i="1" s="1"/>
  <c r="L920" i="1" a="1"/>
  <c r="L920" i="1" s="1"/>
  <c r="L921" i="1" a="1"/>
  <c r="L921" i="1" s="1"/>
  <c r="L922" i="1" a="1"/>
  <c r="L922" i="1" s="1"/>
  <c r="L923" i="1" a="1"/>
  <c r="L923" i="1" s="1"/>
  <c r="L924" i="1" a="1"/>
  <c r="L924" i="1" s="1"/>
  <c r="L925" i="1" a="1"/>
  <c r="L925" i="1" s="1"/>
  <c r="L926" i="1" a="1"/>
  <c r="L926" i="1" s="1"/>
  <c r="L927" i="1" a="1"/>
  <c r="L927" i="1" s="1"/>
  <c r="L928" i="1" a="1"/>
  <c r="L928" i="1" s="1"/>
  <c r="L929" i="1" a="1"/>
  <c r="L929" i="1" s="1"/>
  <c r="L930" i="1" a="1"/>
  <c r="L930" i="1" s="1"/>
  <c r="L931" i="1" a="1"/>
  <c r="L931" i="1" s="1"/>
  <c r="L932" i="1" a="1"/>
  <c r="L932" i="1" s="1"/>
  <c r="L933" i="1" a="1"/>
  <c r="L933" i="1" s="1"/>
  <c r="L934" i="1" a="1"/>
  <c r="L934" i="1" s="1"/>
  <c r="L935" i="1" a="1"/>
  <c r="L935" i="1" s="1"/>
  <c r="L936" i="1" a="1"/>
  <c r="L936" i="1" s="1"/>
  <c r="L937" i="1" a="1"/>
  <c r="L937" i="1" s="1"/>
  <c r="L938" i="1" a="1"/>
  <c r="L938" i="1" s="1"/>
  <c r="L939" i="1" a="1"/>
  <c r="L939" i="1" s="1"/>
  <c r="L940" i="1" a="1"/>
  <c r="L940" i="1" s="1"/>
  <c r="L941" i="1" a="1"/>
  <c r="L941" i="1" s="1"/>
  <c r="L942" i="1" a="1"/>
  <c r="L942" i="1" s="1"/>
  <c r="L943" i="1" a="1"/>
  <c r="L943" i="1" s="1"/>
  <c r="L944" i="1" a="1"/>
  <c r="L944" i="1" s="1"/>
  <c r="L945" i="1" a="1"/>
  <c r="L945" i="1" s="1"/>
  <c r="L946" i="1" a="1"/>
  <c r="L946" i="1" s="1"/>
  <c r="L947" i="1" a="1"/>
  <c r="L947" i="1" s="1"/>
  <c r="L948" i="1" a="1"/>
  <c r="L948" i="1" s="1"/>
  <c r="L949" i="1" a="1"/>
  <c r="L949" i="1" s="1"/>
  <c r="L950" i="1" a="1"/>
  <c r="L950" i="1" s="1"/>
  <c r="L951" i="1" a="1"/>
  <c r="L951" i="1" s="1"/>
  <c r="L952" i="1" a="1"/>
  <c r="L952" i="1" s="1"/>
  <c r="L953" i="1" a="1"/>
  <c r="L953" i="1" s="1"/>
  <c r="L954" i="1" a="1"/>
  <c r="L954" i="1" s="1"/>
  <c r="L955" i="1" a="1"/>
  <c r="L955" i="1" s="1"/>
  <c r="L956" i="1" a="1"/>
  <c r="L956" i="1" s="1"/>
  <c r="L957" i="1" a="1"/>
  <c r="L957" i="1" s="1"/>
  <c r="L958" i="1" a="1"/>
  <c r="L958" i="1" s="1"/>
  <c r="L959" i="1" a="1"/>
  <c r="L959" i="1" s="1"/>
  <c r="L960" i="1" a="1"/>
  <c r="L960" i="1" s="1"/>
  <c r="L961" i="1" a="1"/>
  <c r="L961" i="1" s="1"/>
  <c r="L962" i="1" a="1"/>
  <c r="L962" i="1" s="1"/>
  <c r="L963" i="1" a="1"/>
  <c r="L963" i="1" s="1"/>
  <c r="L964" i="1" a="1"/>
  <c r="L964" i="1" s="1"/>
  <c r="L965" i="1" a="1"/>
  <c r="L965" i="1" s="1"/>
  <c r="L966" i="1" a="1"/>
  <c r="L966" i="1" s="1"/>
  <c r="L967" i="1" a="1"/>
  <c r="L967" i="1" s="1"/>
  <c r="L968" i="1" a="1"/>
  <c r="L968" i="1" s="1"/>
  <c r="L969" i="1" a="1"/>
  <c r="L969" i="1" s="1"/>
  <c r="L970" i="1" a="1"/>
  <c r="L970" i="1" s="1"/>
  <c r="L971" i="1" a="1"/>
  <c r="L971" i="1" s="1"/>
  <c r="L972" i="1" a="1"/>
  <c r="L972" i="1" s="1"/>
  <c r="L973" i="1" a="1"/>
  <c r="L973" i="1" s="1"/>
  <c r="L974" i="1" a="1"/>
  <c r="L974" i="1" s="1"/>
  <c r="L975" i="1" a="1"/>
  <c r="L975" i="1" s="1"/>
  <c r="F2" i="1" a="1"/>
  <c r="F2" i="1" s="1"/>
  <c r="F3" i="1" a="1"/>
  <c r="F3" i="1" s="1"/>
  <c r="F4" i="1" a="1"/>
  <c r="F4" i="1" s="1"/>
  <c r="F5" i="1" a="1"/>
  <c r="F5" i="1" s="1"/>
  <c r="F6" i="1" a="1"/>
  <c r="F6" i="1" s="1"/>
  <c r="F7" i="1" a="1"/>
  <c r="F7"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s="1"/>
  <c r="F43" i="1" a="1"/>
  <c r="F43" i="1" s="1"/>
  <c r="F44" i="1" a="1"/>
  <c r="F44" i="1" s="1"/>
  <c r="F45" i="1" a="1"/>
  <c r="F45" i="1" s="1"/>
  <c r="F46" i="1" a="1"/>
  <c r="F46" i="1" s="1"/>
  <c r="F47" i="1" a="1"/>
  <c r="F47" i="1" s="1"/>
  <c r="F48" i="1" a="1"/>
  <c r="F48" i="1" s="1"/>
  <c r="F49" i="1" a="1"/>
  <c r="F49" i="1" s="1"/>
  <c r="F50" i="1" a="1"/>
  <c r="F50" i="1" s="1"/>
  <c r="F51" i="1" a="1"/>
  <c r="F51" i="1" s="1"/>
  <c r="F52" i="1" a="1"/>
  <c r="F52" i="1" s="1"/>
  <c r="F53" i="1" a="1"/>
  <c r="F53" i="1" s="1"/>
  <c r="F54" i="1" a="1"/>
  <c r="F54" i="1" s="1"/>
  <c r="F55" i="1" a="1"/>
  <c r="F55" i="1" s="1"/>
  <c r="F56" i="1" a="1"/>
  <c r="F56" i="1" s="1"/>
  <c r="F57" i="1" a="1"/>
  <c r="F57" i="1" s="1"/>
  <c r="F58" i="1" a="1"/>
  <c r="F58" i="1" s="1"/>
  <c r="F59" i="1" a="1"/>
  <c r="F59" i="1" s="1"/>
  <c r="F60" i="1" a="1"/>
  <c r="F60" i="1" s="1"/>
  <c r="F61" i="1" a="1"/>
  <c r="F61" i="1" s="1"/>
  <c r="F62" i="1" a="1"/>
  <c r="F62" i="1" s="1"/>
  <c r="F63" i="1" a="1"/>
  <c r="F63" i="1" s="1"/>
  <c r="F64" i="1" a="1"/>
  <c r="F64" i="1" s="1"/>
  <c r="F65" i="1" a="1"/>
  <c r="F65" i="1" s="1"/>
  <c r="F66" i="1" a="1"/>
  <c r="F66" i="1" s="1"/>
  <c r="F67" i="1" a="1"/>
  <c r="F67" i="1" s="1"/>
  <c r="F68" i="1" a="1"/>
  <c r="F68" i="1" s="1"/>
  <c r="F69" i="1" a="1"/>
  <c r="F69" i="1" s="1"/>
  <c r="F70" i="1" a="1"/>
  <c r="F70" i="1" s="1"/>
  <c r="F71" i="1" a="1"/>
  <c r="F71" i="1" s="1"/>
  <c r="F72" i="1" a="1"/>
  <c r="F72" i="1" s="1"/>
  <c r="F73" i="1" a="1"/>
  <c r="F73" i="1" s="1"/>
  <c r="F74" i="1" a="1"/>
  <c r="F74" i="1" s="1"/>
  <c r="F75" i="1" a="1"/>
  <c r="F75" i="1" s="1"/>
  <c r="F76" i="1" a="1"/>
  <c r="F76" i="1" s="1"/>
  <c r="F77" i="1" a="1"/>
  <c r="F77" i="1" s="1"/>
  <c r="F78" i="1" a="1"/>
  <c r="F78" i="1" s="1"/>
  <c r="F79" i="1" a="1"/>
  <c r="F79" i="1" s="1"/>
  <c r="F80" i="1" a="1"/>
  <c r="F80" i="1" s="1"/>
  <c r="F81" i="1" a="1"/>
  <c r="F81" i="1" s="1"/>
  <c r="F82" i="1" a="1"/>
  <c r="F82" i="1" s="1"/>
  <c r="F83" i="1" a="1"/>
  <c r="F83" i="1" s="1"/>
  <c r="F84" i="1" a="1"/>
  <c r="F84" i="1" s="1"/>
  <c r="F85" i="1" a="1"/>
  <c r="F85" i="1" s="1"/>
  <c r="F86" i="1" a="1"/>
  <c r="F86" i="1" s="1"/>
  <c r="F87" i="1" a="1"/>
  <c r="F87" i="1" s="1"/>
  <c r="F88" i="1" a="1"/>
  <c r="F88" i="1" s="1"/>
  <c r="F89" i="1" a="1"/>
  <c r="F89" i="1" s="1"/>
  <c r="F90" i="1" a="1"/>
  <c r="F90" i="1" s="1"/>
  <c r="F91" i="1" a="1"/>
  <c r="F91" i="1" s="1"/>
  <c r="F92" i="1" a="1"/>
  <c r="F92" i="1" s="1"/>
  <c r="F93" i="1" a="1"/>
  <c r="F93" i="1" s="1"/>
  <c r="F94" i="1" a="1"/>
  <c r="F94" i="1" s="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s="1"/>
  <c r="F109" i="1" a="1"/>
  <c r="F109" i="1" s="1"/>
  <c r="F110" i="1" a="1"/>
  <c r="F110" i="1" s="1"/>
  <c r="F111" i="1" a="1"/>
  <c r="F111" i="1" s="1"/>
  <c r="F112" i="1" a="1"/>
  <c r="F112" i="1" s="1"/>
  <c r="F113" i="1" a="1"/>
  <c r="F113" i="1" s="1"/>
  <c r="F114" i="1" a="1"/>
  <c r="F114" i="1" s="1"/>
  <c r="F115" i="1" a="1"/>
  <c r="F115" i="1" s="1"/>
  <c r="F116" i="1" a="1"/>
  <c r="F116" i="1" s="1"/>
  <c r="F117" i="1" a="1"/>
  <c r="F117" i="1" s="1"/>
  <c r="F118" i="1" a="1"/>
  <c r="F118" i="1" s="1"/>
  <c r="F119" i="1" a="1"/>
  <c r="F119" i="1" s="1"/>
  <c r="F120" i="1" a="1"/>
  <c r="F120" i="1" s="1"/>
  <c r="F121" i="1" a="1"/>
  <c r="F121" i="1" s="1"/>
  <c r="F122" i="1" a="1"/>
  <c r="F122" i="1" s="1"/>
  <c r="F123" i="1" a="1"/>
  <c r="F123" i="1" s="1"/>
  <c r="F124" i="1" a="1"/>
  <c r="F124" i="1" s="1"/>
  <c r="F125" i="1" a="1"/>
  <c r="F125" i="1" s="1"/>
  <c r="F126" i="1" a="1"/>
  <c r="F126" i="1" s="1"/>
  <c r="F127" i="1" a="1"/>
  <c r="F127" i="1" s="1"/>
  <c r="F128" i="1" a="1"/>
  <c r="F128" i="1" s="1"/>
  <c r="F129" i="1" a="1"/>
  <c r="F129" i="1" s="1"/>
  <c r="F130" i="1" a="1"/>
  <c r="F130" i="1" s="1"/>
  <c r="F131" i="1" a="1"/>
  <c r="F131" i="1" s="1"/>
  <c r="F132" i="1" a="1"/>
  <c r="F132" i="1" s="1"/>
  <c r="F133" i="1" a="1"/>
  <c r="F133" i="1" s="1"/>
  <c r="F134" i="1" a="1"/>
  <c r="F134" i="1" s="1"/>
  <c r="F135" i="1" a="1"/>
  <c r="F135" i="1" s="1"/>
  <c r="F136" i="1" a="1"/>
  <c r="F136" i="1" s="1"/>
  <c r="F137" i="1" a="1"/>
  <c r="F137" i="1" s="1"/>
  <c r="F138" i="1" a="1"/>
  <c r="F138" i="1" s="1"/>
  <c r="F139" i="1" a="1"/>
  <c r="F139" i="1"/>
  <c r="F140" i="1" a="1"/>
  <c r="F140" i="1" s="1"/>
  <c r="F141" i="1" a="1"/>
  <c r="F141" i="1" s="1"/>
  <c r="F142" i="1" a="1"/>
  <c r="F142" i="1" s="1"/>
  <c r="F143" i="1" a="1"/>
  <c r="F143" i="1" s="1"/>
  <c r="F144" i="1" a="1"/>
  <c r="F144" i="1" s="1"/>
  <c r="F145" i="1" a="1"/>
  <c r="F145" i="1" s="1"/>
  <c r="F146" i="1" a="1"/>
  <c r="F146" i="1" s="1"/>
  <c r="F147" i="1" a="1"/>
  <c r="F147" i="1" s="1"/>
  <c r="F148" i="1" a="1"/>
  <c r="F148" i="1" s="1"/>
  <c r="F149" i="1" a="1"/>
  <c r="F149" i="1" s="1"/>
  <c r="F150" i="1" a="1"/>
  <c r="F150" i="1" s="1"/>
  <c r="F151" i="1" a="1"/>
  <c r="F151" i="1" s="1"/>
  <c r="F152" i="1" a="1"/>
  <c r="F152" i="1" s="1"/>
  <c r="F153" i="1" a="1"/>
  <c r="F153" i="1" s="1"/>
  <c r="F154" i="1" a="1"/>
  <c r="F154" i="1" s="1"/>
  <c r="F155" i="1" a="1"/>
  <c r="F155" i="1" s="1"/>
  <c r="F156" i="1" a="1"/>
  <c r="F156" i="1" s="1"/>
  <c r="F157" i="1" a="1"/>
  <c r="F157" i="1" s="1"/>
  <c r="F158" i="1" a="1"/>
  <c r="F158" i="1" s="1"/>
  <c r="F159" i="1" a="1"/>
  <c r="F159" i="1" s="1"/>
  <c r="F160" i="1" a="1"/>
  <c r="F160" i="1" s="1"/>
  <c r="F161" i="1" a="1"/>
  <c r="F161" i="1" s="1"/>
  <c r="F162" i="1" a="1"/>
  <c r="F162" i="1" s="1"/>
  <c r="F163" i="1" a="1"/>
  <c r="F163" i="1" s="1"/>
  <c r="F164" i="1" a="1"/>
  <c r="F164" i="1" s="1"/>
  <c r="F165" i="1" a="1"/>
  <c r="F165" i="1" s="1"/>
  <c r="F166" i="1" a="1"/>
  <c r="F166" i="1" s="1"/>
  <c r="F167" i="1" a="1"/>
  <c r="F167" i="1" s="1"/>
  <c r="F168" i="1" a="1"/>
  <c r="F168" i="1" s="1"/>
  <c r="F169" i="1" a="1"/>
  <c r="F169" i="1" s="1"/>
  <c r="F170" i="1" a="1"/>
  <c r="F170" i="1" s="1"/>
  <c r="F171" i="1" a="1"/>
  <c r="F171" i="1" s="1"/>
  <c r="F172" i="1" a="1"/>
  <c r="F172" i="1" s="1"/>
  <c r="F173" i="1" a="1"/>
  <c r="F173" i="1" s="1"/>
  <c r="F174" i="1" a="1"/>
  <c r="F174" i="1" s="1"/>
  <c r="F175" i="1" a="1"/>
  <c r="F175" i="1" s="1"/>
  <c r="F176" i="1" a="1"/>
  <c r="F176" i="1" s="1"/>
  <c r="F177" i="1" a="1"/>
  <c r="F177" i="1" s="1"/>
  <c r="F178" i="1" a="1"/>
  <c r="F178" i="1" s="1"/>
  <c r="F179" i="1" a="1"/>
  <c r="F179" i="1" s="1"/>
  <c r="F180" i="1" a="1"/>
  <c r="F180" i="1" s="1"/>
  <c r="F181" i="1" a="1"/>
  <c r="F181" i="1" s="1"/>
  <c r="F182" i="1" a="1"/>
  <c r="F182" i="1" s="1"/>
  <c r="F183" i="1" a="1"/>
  <c r="F183" i="1" s="1"/>
  <c r="F184" i="1" a="1"/>
  <c r="F184" i="1" s="1"/>
  <c r="F185" i="1" a="1"/>
  <c r="F185" i="1" s="1"/>
  <c r="F186" i="1" a="1"/>
  <c r="F186" i="1" s="1"/>
  <c r="F187" i="1" a="1"/>
  <c r="F187" i="1" s="1"/>
  <c r="F188" i="1" a="1"/>
  <c r="F188" i="1" s="1"/>
  <c r="F189" i="1" a="1"/>
  <c r="F189" i="1" s="1"/>
  <c r="F190" i="1" a="1"/>
  <c r="F190" i="1" s="1"/>
  <c r="F191" i="1" a="1"/>
  <c r="F191" i="1" s="1"/>
  <c r="F192" i="1" a="1"/>
  <c r="F192" i="1" s="1"/>
  <c r="F193" i="1" a="1"/>
  <c r="F193" i="1" s="1"/>
  <c r="F194" i="1" a="1"/>
  <c r="F194" i="1" s="1"/>
  <c r="F195" i="1" a="1"/>
  <c r="F195" i="1" s="1"/>
  <c r="F196" i="1" a="1"/>
  <c r="F196" i="1" s="1"/>
  <c r="F197" i="1" a="1"/>
  <c r="F197" i="1" s="1"/>
  <c r="F198" i="1" a="1"/>
  <c r="F198" i="1" s="1"/>
  <c r="F199" i="1" a="1"/>
  <c r="F199" i="1" s="1"/>
  <c r="F200" i="1" a="1"/>
  <c r="F200" i="1" s="1"/>
  <c r="F201" i="1" a="1"/>
  <c r="F201" i="1" s="1"/>
  <c r="F202" i="1" a="1"/>
  <c r="F202" i="1" s="1"/>
  <c r="F203" i="1" a="1"/>
  <c r="F203" i="1" s="1"/>
  <c r="F204" i="1" a="1"/>
  <c r="F204" i="1" s="1"/>
  <c r="F205" i="1" a="1"/>
  <c r="F205" i="1" s="1"/>
  <c r="F206" i="1" a="1"/>
  <c r="F206" i="1" s="1"/>
  <c r="F207" i="1" a="1"/>
  <c r="F207" i="1" s="1"/>
  <c r="F208" i="1" a="1"/>
  <c r="F208" i="1" s="1"/>
  <c r="F209" i="1" a="1"/>
  <c r="F209" i="1" s="1"/>
  <c r="F210" i="1" a="1"/>
  <c r="F210" i="1" s="1"/>
  <c r="F211" i="1" a="1"/>
  <c r="F211" i="1" s="1"/>
  <c r="F212" i="1" a="1"/>
  <c r="F212" i="1" s="1"/>
  <c r="F213" i="1" a="1"/>
  <c r="F213" i="1" s="1"/>
  <c r="F214" i="1" a="1"/>
  <c r="F214" i="1" s="1"/>
  <c r="F215" i="1" a="1"/>
  <c r="F215" i="1" s="1"/>
  <c r="F216" i="1" a="1"/>
  <c r="F216" i="1" s="1"/>
  <c r="F217" i="1" a="1"/>
  <c r="F217" i="1" s="1"/>
  <c r="F218" i="1" a="1"/>
  <c r="F218" i="1" s="1"/>
  <c r="F219" i="1" a="1"/>
  <c r="F219" i="1" s="1"/>
  <c r="F220" i="1" a="1"/>
  <c r="F220" i="1" s="1"/>
  <c r="F221" i="1" a="1"/>
  <c r="F221" i="1" s="1"/>
  <c r="F222" i="1" a="1"/>
  <c r="F222" i="1" s="1"/>
  <c r="F223" i="1" a="1"/>
  <c r="F223" i="1" s="1"/>
  <c r="F224" i="1" a="1"/>
  <c r="F224" i="1" s="1"/>
  <c r="F225" i="1" a="1"/>
  <c r="F225" i="1" s="1"/>
  <c r="F226" i="1" a="1"/>
  <c r="F226" i="1" s="1"/>
  <c r="F227" i="1" a="1"/>
  <c r="F227" i="1" s="1"/>
  <c r="F228" i="1" a="1"/>
  <c r="F228" i="1" s="1"/>
  <c r="F229" i="1" a="1"/>
  <c r="F229" i="1" s="1"/>
  <c r="F230" i="1" a="1"/>
  <c r="F230" i="1" s="1"/>
  <c r="F231" i="1" a="1"/>
  <c r="F231" i="1" s="1"/>
  <c r="F232" i="1" a="1"/>
  <c r="F232" i="1" s="1"/>
  <c r="F233" i="1" a="1"/>
  <c r="F233" i="1" s="1"/>
  <c r="F234" i="1" a="1"/>
  <c r="F234" i="1" s="1"/>
  <c r="F235" i="1" a="1"/>
  <c r="F235" i="1" s="1"/>
  <c r="F236" i="1" a="1"/>
  <c r="F236" i="1" s="1"/>
  <c r="F237" i="1" a="1"/>
  <c r="F237" i="1" s="1"/>
  <c r="F238" i="1" a="1"/>
  <c r="F238" i="1" s="1"/>
  <c r="F239" i="1" a="1"/>
  <c r="F239" i="1" s="1"/>
  <c r="F240" i="1" a="1"/>
  <c r="F240" i="1" s="1"/>
  <c r="F241" i="1" a="1"/>
  <c r="F241" i="1" s="1"/>
  <c r="F242" i="1" a="1"/>
  <c r="F242" i="1" s="1"/>
  <c r="F243" i="1" a="1"/>
  <c r="F243" i="1" s="1"/>
  <c r="F244" i="1" a="1"/>
  <c r="F244" i="1" s="1"/>
  <c r="F245" i="1" a="1"/>
  <c r="F245" i="1" s="1"/>
  <c r="F246" i="1" a="1"/>
  <c r="F246" i="1" s="1"/>
  <c r="F247" i="1" a="1"/>
  <c r="F247" i="1" s="1"/>
  <c r="F248" i="1" a="1"/>
  <c r="F248" i="1" s="1"/>
  <c r="F249" i="1" a="1"/>
  <c r="F249" i="1" s="1"/>
  <c r="F250" i="1" a="1"/>
  <c r="F250" i="1" s="1"/>
  <c r="F251" i="1" a="1"/>
  <c r="F251" i="1" s="1"/>
  <c r="F252" i="1" a="1"/>
  <c r="F252" i="1" s="1"/>
  <c r="F253" i="1" a="1"/>
  <c r="F253" i="1" s="1"/>
  <c r="F254" i="1" a="1"/>
  <c r="F254" i="1" s="1"/>
  <c r="F255" i="1" a="1"/>
  <c r="F255" i="1" s="1"/>
  <c r="F256" i="1" a="1"/>
  <c r="F256" i="1" s="1"/>
  <c r="F257" i="1" a="1"/>
  <c r="F257" i="1" s="1"/>
  <c r="F258" i="1" a="1"/>
  <c r="F258" i="1" s="1"/>
  <c r="F259" i="1" a="1"/>
  <c r="F259" i="1" s="1"/>
  <c r="F260" i="1" a="1"/>
  <c r="F260" i="1" s="1"/>
  <c r="F261" i="1" a="1"/>
  <c r="F261" i="1" s="1"/>
  <c r="F262" i="1" a="1"/>
  <c r="F262" i="1" s="1"/>
  <c r="F263" i="1" a="1"/>
  <c r="F263" i="1" s="1"/>
  <c r="F264" i="1" a="1"/>
  <c r="F264" i="1" s="1"/>
  <c r="F265" i="1" a="1"/>
  <c r="F265" i="1" s="1"/>
  <c r="F266" i="1" a="1"/>
  <c r="F266" i="1" s="1"/>
  <c r="F267" i="1" a="1"/>
  <c r="F267" i="1" s="1"/>
  <c r="F268" i="1" a="1"/>
  <c r="F268" i="1" s="1"/>
  <c r="F269" i="1" a="1"/>
  <c r="F269" i="1" s="1"/>
  <c r="F270" i="1" a="1"/>
  <c r="F270" i="1" s="1"/>
  <c r="F271" i="1" a="1"/>
  <c r="F271" i="1" s="1"/>
  <c r="F272" i="1" a="1"/>
  <c r="F272" i="1" s="1"/>
  <c r="F273" i="1" a="1"/>
  <c r="F273" i="1" s="1"/>
  <c r="F274" i="1" a="1"/>
  <c r="F274" i="1" s="1"/>
  <c r="F275" i="1" a="1"/>
  <c r="F275" i="1" s="1"/>
  <c r="F276" i="1" a="1"/>
  <c r="F276" i="1" s="1"/>
  <c r="F277" i="1" a="1"/>
  <c r="F277" i="1" s="1"/>
  <c r="F278" i="1" a="1"/>
  <c r="F278" i="1" s="1"/>
  <c r="F279" i="1" a="1"/>
  <c r="F279" i="1" s="1"/>
  <c r="F280" i="1" a="1"/>
  <c r="F280" i="1" s="1"/>
  <c r="F281" i="1" a="1"/>
  <c r="F281" i="1" s="1"/>
  <c r="F282" i="1" a="1"/>
  <c r="F282" i="1" s="1"/>
  <c r="F283" i="1" a="1"/>
  <c r="F283" i="1" s="1"/>
  <c r="F284" i="1" a="1"/>
  <c r="F284" i="1" s="1"/>
  <c r="F285" i="1" a="1"/>
  <c r="F285" i="1" s="1"/>
  <c r="F286" i="1" a="1"/>
  <c r="F286" i="1" s="1"/>
  <c r="F287" i="1" a="1"/>
  <c r="F287" i="1" s="1"/>
  <c r="F288" i="1" a="1"/>
  <c r="F288" i="1" s="1"/>
  <c r="F289" i="1" a="1"/>
  <c r="F289" i="1" s="1"/>
  <c r="F290" i="1" a="1"/>
  <c r="F290" i="1" s="1"/>
  <c r="F291" i="1" a="1"/>
  <c r="F291" i="1" s="1"/>
  <c r="F292" i="1" a="1"/>
  <c r="F292" i="1" s="1"/>
  <c r="F293" i="1" a="1"/>
  <c r="F293" i="1" s="1"/>
  <c r="F294" i="1" a="1"/>
  <c r="F294" i="1" s="1"/>
  <c r="F295" i="1" a="1"/>
  <c r="F295" i="1" s="1"/>
  <c r="F296" i="1" a="1"/>
  <c r="F296" i="1" s="1"/>
  <c r="F297" i="1" a="1"/>
  <c r="F297" i="1" s="1"/>
  <c r="F298" i="1" a="1"/>
  <c r="F298" i="1" s="1"/>
  <c r="F299" i="1" a="1"/>
  <c r="F299" i="1" s="1"/>
  <c r="F300" i="1" a="1"/>
  <c r="F300" i="1" s="1"/>
  <c r="F301" i="1" a="1"/>
  <c r="F301" i="1" s="1"/>
  <c r="F302" i="1" a="1"/>
  <c r="F302" i="1" s="1"/>
  <c r="F303" i="1" a="1"/>
  <c r="F303" i="1" s="1"/>
  <c r="F304" i="1" a="1"/>
  <c r="F304" i="1" s="1"/>
  <c r="F305" i="1" a="1"/>
  <c r="F305" i="1" s="1"/>
  <c r="F306" i="1" a="1"/>
  <c r="F306" i="1" s="1"/>
  <c r="F307" i="1" a="1"/>
  <c r="F307" i="1" s="1"/>
  <c r="F308" i="1" a="1"/>
  <c r="F308" i="1" s="1"/>
  <c r="F309" i="1" a="1"/>
  <c r="F309" i="1" s="1"/>
  <c r="F310" i="1" a="1"/>
  <c r="F310" i="1" s="1"/>
  <c r="F311" i="1" a="1"/>
  <c r="F311" i="1" s="1"/>
  <c r="F312" i="1" a="1"/>
  <c r="F312" i="1" s="1"/>
  <c r="F313" i="1" a="1"/>
  <c r="F313" i="1" s="1"/>
  <c r="F314" i="1" a="1"/>
  <c r="F314" i="1" s="1"/>
  <c r="F315" i="1" a="1"/>
  <c r="F315" i="1" s="1"/>
  <c r="F316" i="1" a="1"/>
  <c r="F316" i="1" s="1"/>
  <c r="F317" i="1" a="1"/>
  <c r="F317" i="1" s="1"/>
  <c r="F318" i="1" a="1"/>
  <c r="F318" i="1"/>
  <c r="F319" i="1" a="1"/>
  <c r="F319" i="1" s="1"/>
  <c r="F320" i="1" a="1"/>
  <c r="F320" i="1" s="1"/>
  <c r="F321" i="1" a="1"/>
  <c r="F321" i="1" s="1"/>
  <c r="F322" i="1" a="1"/>
  <c r="F322" i="1" s="1"/>
  <c r="F323" i="1" a="1"/>
  <c r="F323" i="1" s="1"/>
  <c r="F324" i="1" a="1"/>
  <c r="F324" i="1" s="1"/>
  <c r="F325" i="1" a="1"/>
  <c r="F325" i="1" s="1"/>
  <c r="F326" i="1" a="1"/>
  <c r="F326" i="1" s="1"/>
  <c r="F327" i="1" a="1"/>
  <c r="F327" i="1" s="1"/>
  <c r="F328" i="1" a="1"/>
  <c r="F328" i="1" s="1"/>
  <c r="F329" i="1" a="1"/>
  <c r="F329" i="1" s="1"/>
  <c r="F330" i="1" a="1"/>
  <c r="F330" i="1" s="1"/>
  <c r="F331" i="1" a="1"/>
  <c r="F331" i="1" s="1"/>
  <c r="F332" i="1" a="1"/>
  <c r="F332" i="1" s="1"/>
  <c r="F333" i="1" a="1"/>
  <c r="F333" i="1" s="1"/>
  <c r="F334" i="1" a="1"/>
  <c r="F334" i="1" s="1"/>
  <c r="F335" i="1" a="1"/>
  <c r="F335" i="1" s="1"/>
  <c r="F336" i="1" a="1"/>
  <c r="F336" i="1" s="1"/>
  <c r="F337" i="1" a="1"/>
  <c r="F337" i="1" s="1"/>
  <c r="F338" i="1" a="1"/>
  <c r="F338" i="1" s="1"/>
  <c r="F339" i="1" a="1"/>
  <c r="F339" i="1" s="1"/>
  <c r="F340" i="1" a="1"/>
  <c r="F340" i="1" s="1"/>
  <c r="F341" i="1" a="1"/>
  <c r="F341" i="1" s="1"/>
  <c r="F342" i="1" a="1"/>
  <c r="F342" i="1" s="1"/>
  <c r="F343" i="1" a="1"/>
  <c r="F343" i="1" s="1"/>
  <c r="F344" i="1" a="1"/>
  <c r="F344" i="1" s="1"/>
  <c r="F345" i="1" a="1"/>
  <c r="F345" i="1" s="1"/>
  <c r="F346" i="1" a="1"/>
  <c r="F346" i="1" s="1"/>
  <c r="F347" i="1" a="1"/>
  <c r="F347" i="1" s="1"/>
  <c r="F348" i="1" a="1"/>
  <c r="F348" i="1" s="1"/>
  <c r="F349" i="1" a="1"/>
  <c r="F349" i="1" s="1"/>
  <c r="F350" i="1" a="1"/>
  <c r="F350" i="1"/>
  <c r="F351" i="1" a="1"/>
  <c r="F351" i="1" s="1"/>
  <c r="F352" i="1" a="1"/>
  <c r="F352" i="1" s="1"/>
  <c r="F353" i="1" a="1"/>
  <c r="F353" i="1" s="1"/>
  <c r="F354" i="1" a="1"/>
  <c r="F354" i="1" s="1"/>
  <c r="F355" i="1" a="1"/>
  <c r="F355" i="1" s="1"/>
  <c r="F356" i="1" a="1"/>
  <c r="F356" i="1" s="1"/>
  <c r="F357" i="1" a="1"/>
  <c r="F357" i="1" s="1"/>
  <c r="F358" i="1" a="1"/>
  <c r="F358" i="1" s="1"/>
  <c r="F359" i="1" a="1"/>
  <c r="F359" i="1" s="1"/>
  <c r="F360" i="1" a="1"/>
  <c r="F360" i="1" s="1"/>
  <c r="F361" i="1" a="1"/>
  <c r="F361" i="1" s="1"/>
  <c r="F362" i="1" a="1"/>
  <c r="F362" i="1" s="1"/>
  <c r="F363" i="1" a="1"/>
  <c r="F363" i="1" s="1"/>
  <c r="F364" i="1" a="1"/>
  <c r="F364" i="1" s="1"/>
  <c r="F365" i="1" a="1"/>
  <c r="F365" i="1" s="1"/>
  <c r="F366" i="1" a="1"/>
  <c r="F366" i="1" s="1"/>
  <c r="F367" i="1" a="1"/>
  <c r="F367" i="1" s="1"/>
  <c r="F368" i="1" a="1"/>
  <c r="F368" i="1" s="1"/>
  <c r="F369" i="1" a="1"/>
  <c r="F369" i="1" s="1"/>
  <c r="F370" i="1" a="1"/>
  <c r="F370" i="1" s="1"/>
  <c r="F371" i="1" a="1"/>
  <c r="F371" i="1" s="1"/>
  <c r="F372" i="1" a="1"/>
  <c r="F372" i="1" s="1"/>
  <c r="F373" i="1" a="1"/>
  <c r="F373" i="1" s="1"/>
  <c r="F374" i="1" a="1"/>
  <c r="F374" i="1" s="1"/>
  <c r="F375" i="1" a="1"/>
  <c r="F375" i="1" s="1"/>
  <c r="F376" i="1" a="1"/>
  <c r="F376" i="1" s="1"/>
  <c r="F377" i="1" a="1"/>
  <c r="F377" i="1" s="1"/>
  <c r="F378" i="1" a="1"/>
  <c r="F378" i="1" s="1"/>
  <c r="F379" i="1" a="1"/>
  <c r="F379" i="1" s="1"/>
  <c r="F380" i="1" a="1"/>
  <c r="F380" i="1" s="1"/>
  <c r="F381" i="1" a="1"/>
  <c r="F381" i="1" s="1"/>
  <c r="F382" i="1" a="1"/>
  <c r="F382" i="1" s="1"/>
  <c r="F383" i="1" a="1"/>
  <c r="F383" i="1" s="1"/>
  <c r="F384" i="1" a="1"/>
  <c r="F384" i="1" s="1"/>
  <c r="F385" i="1" a="1"/>
  <c r="F385" i="1" s="1"/>
  <c r="F386" i="1" a="1"/>
  <c r="F386" i="1" s="1"/>
  <c r="F387" i="1" a="1"/>
  <c r="F387" i="1" s="1"/>
  <c r="F388" i="1" a="1"/>
  <c r="F388" i="1" s="1"/>
  <c r="F389" i="1" a="1"/>
  <c r="F389" i="1" s="1"/>
  <c r="F390" i="1" a="1"/>
  <c r="F390" i="1" s="1"/>
  <c r="F391" i="1" a="1"/>
  <c r="F391" i="1" s="1"/>
  <c r="F392" i="1" a="1"/>
  <c r="F392" i="1" s="1"/>
  <c r="F393" i="1" a="1"/>
  <c r="F393" i="1" s="1"/>
  <c r="F394" i="1" a="1"/>
  <c r="F394" i="1" s="1"/>
  <c r="F395" i="1" a="1"/>
  <c r="F395" i="1" s="1"/>
  <c r="F396" i="1" a="1"/>
  <c r="F396" i="1" s="1"/>
  <c r="F397" i="1" a="1"/>
  <c r="F397" i="1" s="1"/>
  <c r="F398" i="1" a="1"/>
  <c r="F398" i="1" s="1"/>
  <c r="F399" i="1" a="1"/>
  <c r="F399" i="1" s="1"/>
  <c r="F400" i="1" a="1"/>
  <c r="F400" i="1" s="1"/>
  <c r="F401" i="1" a="1"/>
  <c r="F401" i="1" s="1"/>
  <c r="F402" i="1" a="1"/>
  <c r="F402" i="1" s="1"/>
  <c r="F403" i="1" a="1"/>
  <c r="F403" i="1" s="1"/>
  <c r="F404" i="1" a="1"/>
  <c r="F404" i="1" s="1"/>
  <c r="F405" i="1" a="1"/>
  <c r="F405" i="1" s="1"/>
  <c r="F406" i="1" a="1"/>
  <c r="F406" i="1" s="1"/>
  <c r="F407" i="1" a="1"/>
  <c r="F407" i="1" s="1"/>
  <c r="F408" i="1" a="1"/>
  <c r="F408" i="1" s="1"/>
  <c r="F409" i="1" a="1"/>
  <c r="F409" i="1" s="1"/>
  <c r="F410" i="1" a="1"/>
  <c r="F410" i="1" s="1"/>
  <c r="F411" i="1" a="1"/>
  <c r="F411" i="1" s="1"/>
  <c r="F412" i="1" a="1"/>
  <c r="F412" i="1" s="1"/>
  <c r="F413" i="1" a="1"/>
  <c r="F413" i="1" s="1"/>
  <c r="F414" i="1" a="1"/>
  <c r="F414" i="1" s="1"/>
  <c r="F415" i="1" a="1"/>
  <c r="F415" i="1" s="1"/>
  <c r="F416" i="1" a="1"/>
  <c r="F416" i="1" s="1"/>
  <c r="F417" i="1" a="1"/>
  <c r="F417" i="1" s="1"/>
  <c r="F418" i="1" a="1"/>
  <c r="F418" i="1" s="1"/>
  <c r="F419" i="1" a="1"/>
  <c r="F419" i="1" s="1"/>
  <c r="F420" i="1" a="1"/>
  <c r="F420" i="1" s="1"/>
  <c r="F421" i="1" a="1"/>
  <c r="F421" i="1" s="1"/>
  <c r="F422" i="1" a="1"/>
  <c r="F422" i="1" s="1"/>
  <c r="F423" i="1" a="1"/>
  <c r="F423" i="1" s="1"/>
  <c r="F424" i="1" a="1"/>
  <c r="F424" i="1" s="1"/>
  <c r="F425" i="1" a="1"/>
  <c r="F425" i="1" s="1"/>
  <c r="F426" i="1" a="1"/>
  <c r="F426" i="1" s="1"/>
  <c r="F427" i="1" a="1"/>
  <c r="F427" i="1" s="1"/>
  <c r="F428" i="1" a="1"/>
  <c r="F428" i="1" s="1"/>
  <c r="F429" i="1" a="1"/>
  <c r="F429" i="1" s="1"/>
  <c r="F430" i="1" a="1"/>
  <c r="F430" i="1" s="1"/>
  <c r="F431" i="1" a="1"/>
  <c r="F431" i="1" s="1"/>
  <c r="F432" i="1" a="1"/>
  <c r="F432" i="1" s="1"/>
  <c r="F433" i="1" a="1"/>
  <c r="F433" i="1" s="1"/>
  <c r="F434" i="1" a="1"/>
  <c r="F434" i="1" s="1"/>
  <c r="F435" i="1" a="1"/>
  <c r="F435" i="1" s="1"/>
  <c r="F436" i="1" a="1"/>
  <c r="F436" i="1" s="1"/>
  <c r="F437" i="1" a="1"/>
  <c r="F437" i="1" s="1"/>
  <c r="F438" i="1" a="1"/>
  <c r="F438" i="1" s="1"/>
  <c r="F439" i="1" a="1"/>
  <c r="F439" i="1" s="1"/>
  <c r="F440" i="1" a="1"/>
  <c r="F440" i="1" s="1"/>
  <c r="F441" i="1" a="1"/>
  <c r="F441" i="1" s="1"/>
  <c r="F442" i="1" a="1"/>
  <c r="F442" i="1" s="1"/>
  <c r="F443" i="1" a="1"/>
  <c r="F443" i="1" s="1"/>
  <c r="F444" i="1" a="1"/>
  <c r="F444" i="1" s="1"/>
  <c r="F445" i="1" a="1"/>
  <c r="F445" i="1" s="1"/>
  <c r="F446" i="1" a="1"/>
  <c r="F446" i="1" s="1"/>
  <c r="F447" i="1" a="1"/>
  <c r="F447" i="1" s="1"/>
  <c r="F448" i="1" a="1"/>
  <c r="F448" i="1" s="1"/>
  <c r="F449" i="1" a="1"/>
  <c r="F449" i="1" s="1"/>
  <c r="F450" i="1" a="1"/>
  <c r="F450" i="1" s="1"/>
  <c r="F451" i="1" a="1"/>
  <c r="F451" i="1" s="1"/>
  <c r="F452" i="1" a="1"/>
  <c r="F452" i="1" s="1"/>
  <c r="F453" i="1" a="1"/>
  <c r="F453" i="1" s="1"/>
  <c r="F454" i="1" a="1"/>
  <c r="F454" i="1" s="1"/>
  <c r="F455" i="1" a="1"/>
  <c r="F455" i="1" s="1"/>
  <c r="F456" i="1" a="1"/>
  <c r="F456" i="1" s="1"/>
  <c r="F457" i="1" a="1"/>
  <c r="F457" i="1" s="1"/>
  <c r="F458" i="1" a="1"/>
  <c r="F458" i="1" s="1"/>
  <c r="F459" i="1" a="1"/>
  <c r="F459" i="1" s="1"/>
  <c r="F460" i="1" a="1"/>
  <c r="F460" i="1" s="1"/>
  <c r="F461" i="1" a="1"/>
  <c r="F461" i="1" s="1"/>
  <c r="F462" i="1" a="1"/>
  <c r="F462" i="1" s="1"/>
  <c r="F463" i="1" a="1"/>
  <c r="F463" i="1" s="1"/>
  <c r="F464" i="1" a="1"/>
  <c r="F464" i="1" s="1"/>
  <c r="F465" i="1" a="1"/>
  <c r="F465" i="1" s="1"/>
  <c r="F466" i="1" a="1"/>
  <c r="F466" i="1" s="1"/>
  <c r="F467" i="1" a="1"/>
  <c r="F467" i="1" s="1"/>
  <c r="F468" i="1" a="1"/>
  <c r="F468" i="1" s="1"/>
  <c r="F469" i="1" a="1"/>
  <c r="F469" i="1" s="1"/>
  <c r="F470" i="1" a="1"/>
  <c r="F470" i="1" s="1"/>
  <c r="F471" i="1" a="1"/>
  <c r="F471" i="1" s="1"/>
  <c r="F472" i="1" a="1"/>
  <c r="F472" i="1" s="1"/>
  <c r="F473" i="1" a="1"/>
  <c r="F473" i="1" s="1"/>
  <c r="F474" i="1" a="1"/>
  <c r="F474" i="1" s="1"/>
  <c r="F475" i="1" a="1"/>
  <c r="F475" i="1" s="1"/>
  <c r="F476" i="1" a="1"/>
  <c r="F476" i="1" s="1"/>
  <c r="F477" i="1" a="1"/>
  <c r="F477" i="1" s="1"/>
  <c r="F478" i="1" a="1"/>
  <c r="F478" i="1" s="1"/>
  <c r="F479" i="1" a="1"/>
  <c r="F479" i="1" s="1"/>
  <c r="F480" i="1" a="1"/>
  <c r="F480" i="1" s="1"/>
  <c r="F481" i="1" a="1"/>
  <c r="F481" i="1" s="1"/>
  <c r="F482" i="1" a="1"/>
  <c r="F482" i="1" s="1"/>
  <c r="F483" i="1" a="1"/>
  <c r="F483" i="1" s="1"/>
  <c r="F484" i="1" a="1"/>
  <c r="F484" i="1" s="1"/>
  <c r="F485" i="1" a="1"/>
  <c r="F485" i="1" s="1"/>
  <c r="F486" i="1" a="1"/>
  <c r="F486" i="1" s="1"/>
  <c r="F487" i="1" a="1"/>
  <c r="F487" i="1" s="1"/>
  <c r="F488" i="1" a="1"/>
  <c r="F488" i="1" s="1"/>
  <c r="F489" i="1" a="1"/>
  <c r="F489" i="1" s="1"/>
  <c r="F490" i="1" a="1"/>
  <c r="F490" i="1" s="1"/>
  <c r="F491" i="1" a="1"/>
  <c r="F491" i="1" s="1"/>
  <c r="F492" i="1" a="1"/>
  <c r="F492" i="1" s="1"/>
  <c r="F493" i="1" a="1"/>
  <c r="F493" i="1" s="1"/>
  <c r="F494" i="1" a="1"/>
  <c r="F494" i="1" s="1"/>
  <c r="F495" i="1" a="1"/>
  <c r="F495" i="1" s="1"/>
  <c r="F496" i="1" a="1"/>
  <c r="F496" i="1" s="1"/>
  <c r="F497" i="1" a="1"/>
  <c r="F497" i="1" s="1"/>
  <c r="F498" i="1" a="1"/>
  <c r="F498" i="1"/>
  <c r="F499" i="1" a="1"/>
  <c r="F499" i="1" s="1"/>
  <c r="F500" i="1" a="1"/>
  <c r="F500" i="1" s="1"/>
  <c r="F501" i="1" a="1"/>
  <c r="F501" i="1" s="1"/>
  <c r="F502" i="1" a="1"/>
  <c r="F502" i="1" s="1"/>
  <c r="F503" i="1" a="1"/>
  <c r="F503" i="1" s="1"/>
  <c r="F504" i="1" a="1"/>
  <c r="F504" i="1" s="1"/>
  <c r="F505" i="1" a="1"/>
  <c r="F505" i="1" s="1"/>
  <c r="F506" i="1" a="1"/>
  <c r="F506" i="1" s="1"/>
  <c r="F507" i="1" a="1"/>
  <c r="F507" i="1" s="1"/>
  <c r="F508" i="1" a="1"/>
  <c r="F508" i="1" s="1"/>
  <c r="F509" i="1" a="1"/>
  <c r="F509" i="1" s="1"/>
  <c r="F510" i="1" a="1"/>
  <c r="F510" i="1" s="1"/>
  <c r="F511" i="1" a="1"/>
  <c r="F511" i="1" s="1"/>
  <c r="F512" i="1" a="1"/>
  <c r="F512" i="1" s="1"/>
  <c r="F513" i="1" a="1"/>
  <c r="F513" i="1" s="1"/>
  <c r="F514" i="1" a="1"/>
  <c r="F514" i="1" s="1"/>
  <c r="F515" i="1" a="1"/>
  <c r="F515" i="1" s="1"/>
  <c r="F516" i="1" a="1"/>
  <c r="F516" i="1" s="1"/>
  <c r="F517" i="1" a="1"/>
  <c r="F517" i="1" s="1"/>
  <c r="F518" i="1" a="1"/>
  <c r="F518" i="1" s="1"/>
  <c r="F519" i="1" a="1"/>
  <c r="F519" i="1" s="1"/>
  <c r="F520" i="1" a="1"/>
  <c r="F520" i="1" s="1"/>
  <c r="F521" i="1" a="1"/>
  <c r="F521" i="1" s="1"/>
  <c r="F522" i="1" a="1"/>
  <c r="F522" i="1" s="1"/>
  <c r="F523" i="1" a="1"/>
  <c r="F523" i="1" s="1"/>
  <c r="F524" i="1" a="1"/>
  <c r="F524" i="1" s="1"/>
  <c r="F525" i="1" a="1"/>
  <c r="F525" i="1" s="1"/>
  <c r="F526" i="1" a="1"/>
  <c r="F526" i="1" s="1"/>
  <c r="F527" i="1" a="1"/>
  <c r="F527" i="1" s="1"/>
  <c r="F528" i="1" a="1"/>
  <c r="F528" i="1" s="1"/>
  <c r="F529" i="1" a="1"/>
  <c r="F529" i="1" s="1"/>
  <c r="F530" i="1" a="1"/>
  <c r="F530" i="1" s="1"/>
  <c r="F531" i="1" a="1"/>
  <c r="F531" i="1" s="1"/>
  <c r="F532" i="1" a="1"/>
  <c r="F532" i="1" s="1"/>
  <c r="F533" i="1" a="1"/>
  <c r="F533" i="1" s="1"/>
  <c r="F534" i="1" a="1"/>
  <c r="F534" i="1" s="1"/>
  <c r="F535" i="1" a="1"/>
  <c r="F535" i="1" s="1"/>
  <c r="F536" i="1" a="1"/>
  <c r="F536" i="1" s="1"/>
  <c r="F537" i="1" a="1"/>
  <c r="F537" i="1" s="1"/>
  <c r="F538" i="1" a="1"/>
  <c r="F538" i="1" s="1"/>
  <c r="F539" i="1" a="1"/>
  <c r="F539" i="1" s="1"/>
  <c r="F540" i="1" a="1"/>
  <c r="F540" i="1" s="1"/>
  <c r="F541" i="1" a="1"/>
  <c r="F541" i="1" s="1"/>
  <c r="F542" i="1" a="1"/>
  <c r="F542" i="1" s="1"/>
  <c r="F543" i="1" a="1"/>
  <c r="F543" i="1" s="1"/>
  <c r="F544" i="1" a="1"/>
  <c r="F544" i="1" s="1"/>
  <c r="F545" i="1" a="1"/>
  <c r="F545" i="1" s="1"/>
  <c r="F546" i="1" a="1"/>
  <c r="F546" i="1" s="1"/>
  <c r="F547" i="1" a="1"/>
  <c r="F547" i="1" s="1"/>
  <c r="F548" i="1" a="1"/>
  <c r="F548" i="1" s="1"/>
  <c r="F549" i="1" a="1"/>
  <c r="F549" i="1" s="1"/>
  <c r="F550" i="1" a="1"/>
  <c r="F550" i="1" s="1"/>
  <c r="F551" i="1" a="1"/>
  <c r="F551" i="1" s="1"/>
  <c r="F552" i="1" a="1"/>
  <c r="F552" i="1" s="1"/>
  <c r="F553" i="1" a="1"/>
  <c r="F553" i="1" s="1"/>
  <c r="F554" i="1" a="1"/>
  <c r="F554" i="1" s="1"/>
  <c r="F555" i="1" a="1"/>
  <c r="F555" i="1" s="1"/>
  <c r="F556" i="1" a="1"/>
  <c r="F556" i="1" s="1"/>
  <c r="F557" i="1" a="1"/>
  <c r="F557" i="1" s="1"/>
  <c r="F558" i="1" a="1"/>
  <c r="F558" i="1" s="1"/>
  <c r="F559" i="1" a="1"/>
  <c r="F559" i="1" s="1"/>
  <c r="F560" i="1" a="1"/>
  <c r="F560" i="1" s="1"/>
  <c r="F561" i="1" a="1"/>
  <c r="F561" i="1" s="1"/>
  <c r="F562" i="1" a="1"/>
  <c r="F562" i="1" s="1"/>
  <c r="F563" i="1" a="1"/>
  <c r="F563" i="1" s="1"/>
  <c r="F564" i="1" a="1"/>
  <c r="F564" i="1" s="1"/>
  <c r="F565" i="1" a="1"/>
  <c r="F565" i="1" s="1"/>
  <c r="F566" i="1" a="1"/>
  <c r="F566" i="1" s="1"/>
  <c r="F567" i="1" a="1"/>
  <c r="F567" i="1" s="1"/>
  <c r="F568" i="1" a="1"/>
  <c r="F568" i="1" s="1"/>
  <c r="F569" i="1" a="1"/>
  <c r="F569" i="1" s="1"/>
  <c r="F570" i="1" a="1"/>
  <c r="F570" i="1" s="1"/>
  <c r="F571" i="1" a="1"/>
  <c r="F571" i="1" s="1"/>
  <c r="F572" i="1" a="1"/>
  <c r="F572" i="1" s="1"/>
  <c r="F573" i="1" a="1"/>
  <c r="F573" i="1" s="1"/>
  <c r="F574" i="1" a="1"/>
  <c r="F574" i="1" s="1"/>
  <c r="F575" i="1" a="1"/>
  <c r="F575" i="1" s="1"/>
  <c r="F576" i="1" a="1"/>
  <c r="F576" i="1" s="1"/>
  <c r="F577" i="1" a="1"/>
  <c r="F577" i="1" s="1"/>
  <c r="F578" i="1" a="1"/>
  <c r="F578" i="1" s="1"/>
  <c r="F579" i="1" a="1"/>
  <c r="F579" i="1" s="1"/>
  <c r="F580" i="1" a="1"/>
  <c r="F580" i="1" s="1"/>
  <c r="F581" i="1" a="1"/>
  <c r="F581" i="1" s="1"/>
  <c r="F582" i="1" a="1"/>
  <c r="F582" i="1" s="1"/>
  <c r="F583" i="1" a="1"/>
  <c r="F583" i="1" s="1"/>
  <c r="F584" i="1" a="1"/>
  <c r="F584" i="1" s="1"/>
  <c r="F585" i="1" a="1"/>
  <c r="F585" i="1" s="1"/>
  <c r="F586" i="1" a="1"/>
  <c r="F586" i="1" s="1"/>
  <c r="F587" i="1" a="1"/>
  <c r="F587" i="1" s="1"/>
  <c r="F588" i="1" a="1"/>
  <c r="F588" i="1" s="1"/>
  <c r="F589" i="1" a="1"/>
  <c r="F589" i="1" s="1"/>
  <c r="F590" i="1" a="1"/>
  <c r="F590" i="1" s="1"/>
  <c r="F591" i="1" a="1"/>
  <c r="F591" i="1" s="1"/>
  <c r="F592" i="1" a="1"/>
  <c r="F592" i="1" s="1"/>
  <c r="F593" i="1" a="1"/>
  <c r="F593" i="1" s="1"/>
  <c r="F594" i="1" a="1"/>
  <c r="F594" i="1" s="1"/>
  <c r="F595" i="1" a="1"/>
  <c r="F595" i="1" s="1"/>
  <c r="F596" i="1" a="1"/>
  <c r="F596" i="1" s="1"/>
  <c r="F597" i="1" a="1"/>
  <c r="F597" i="1" s="1"/>
  <c r="F598" i="1" a="1"/>
  <c r="F598" i="1" s="1"/>
  <c r="F599" i="1" a="1"/>
  <c r="F599" i="1" s="1"/>
  <c r="F600" i="1" a="1"/>
  <c r="F600" i="1" s="1"/>
  <c r="F601" i="1" a="1"/>
  <c r="F601" i="1" s="1"/>
  <c r="F602" i="1" a="1"/>
  <c r="F602" i="1" s="1"/>
  <c r="F603" i="1" a="1"/>
  <c r="F603" i="1" s="1"/>
  <c r="F604" i="1" a="1"/>
  <c r="F604" i="1" s="1"/>
  <c r="F605" i="1" a="1"/>
  <c r="F605" i="1" s="1"/>
  <c r="F606" i="1" a="1"/>
  <c r="F606" i="1" s="1"/>
  <c r="F607" i="1" a="1"/>
  <c r="F607" i="1" s="1"/>
  <c r="F608" i="1" a="1"/>
  <c r="F608" i="1" s="1"/>
  <c r="F609" i="1" a="1"/>
  <c r="F609" i="1" s="1"/>
  <c r="F610" i="1" a="1"/>
  <c r="F610" i="1" s="1"/>
  <c r="F611" i="1" a="1"/>
  <c r="F611" i="1" s="1"/>
  <c r="F612" i="1" a="1"/>
  <c r="F612" i="1" s="1"/>
  <c r="F613" i="1" a="1"/>
  <c r="F613" i="1" s="1"/>
  <c r="F614" i="1" a="1"/>
  <c r="F614" i="1" s="1"/>
  <c r="F615" i="1" a="1"/>
  <c r="F615" i="1" s="1"/>
  <c r="F616" i="1" a="1"/>
  <c r="F616" i="1" s="1"/>
  <c r="F617" i="1" a="1"/>
  <c r="F617" i="1" s="1"/>
  <c r="F618" i="1" a="1"/>
  <c r="F618" i="1" s="1"/>
  <c r="F619" i="1" a="1"/>
  <c r="F619" i="1" s="1"/>
  <c r="F620" i="1" a="1"/>
  <c r="F620" i="1" s="1"/>
  <c r="F621" i="1" a="1"/>
  <c r="F621" i="1" s="1"/>
  <c r="F622" i="1" a="1"/>
  <c r="F622" i="1" s="1"/>
  <c r="F623" i="1" a="1"/>
  <c r="F623" i="1" s="1"/>
  <c r="F624" i="1" a="1"/>
  <c r="F624" i="1" s="1"/>
  <c r="F625" i="1" a="1"/>
  <c r="F625" i="1" s="1"/>
  <c r="F626" i="1" a="1"/>
  <c r="F626" i="1" s="1"/>
  <c r="F627" i="1" a="1"/>
  <c r="F627" i="1" s="1"/>
  <c r="F628" i="1" a="1"/>
  <c r="F628" i="1" s="1"/>
  <c r="F629" i="1" a="1"/>
  <c r="F629" i="1" s="1"/>
  <c r="F630" i="1" a="1"/>
  <c r="F630" i="1" s="1"/>
  <c r="F631" i="1" a="1"/>
  <c r="F631" i="1" s="1"/>
  <c r="F632" i="1" a="1"/>
  <c r="F632" i="1" s="1"/>
  <c r="F633" i="1" a="1"/>
  <c r="F633" i="1" s="1"/>
  <c r="F634" i="1" a="1"/>
  <c r="F634" i="1" s="1"/>
  <c r="F635" i="1" a="1"/>
  <c r="F635" i="1" s="1"/>
  <c r="F636" i="1" a="1"/>
  <c r="F636" i="1" s="1"/>
  <c r="F637" i="1" a="1"/>
  <c r="F637" i="1" s="1"/>
  <c r="F638" i="1" a="1"/>
  <c r="F638" i="1" s="1"/>
  <c r="F639" i="1" a="1"/>
  <c r="F639" i="1" s="1"/>
  <c r="F640" i="1" a="1"/>
  <c r="F640" i="1" s="1"/>
  <c r="F641" i="1" a="1"/>
  <c r="F641" i="1" s="1"/>
  <c r="F642" i="1" a="1"/>
  <c r="F642" i="1" s="1"/>
  <c r="F643" i="1" a="1"/>
  <c r="F643" i="1" s="1"/>
  <c r="F644" i="1" a="1"/>
  <c r="F644" i="1" s="1"/>
  <c r="F645" i="1" a="1"/>
  <c r="F645" i="1" s="1"/>
  <c r="F646" i="1" a="1"/>
  <c r="F646" i="1" s="1"/>
  <c r="F647" i="1" a="1"/>
  <c r="F647" i="1" s="1"/>
  <c r="F648" i="1" a="1"/>
  <c r="F648" i="1" s="1"/>
  <c r="F649" i="1" a="1"/>
  <c r="F649" i="1" s="1"/>
  <c r="F650" i="1" a="1"/>
  <c r="F650" i="1" s="1"/>
  <c r="F651" i="1" a="1"/>
  <c r="F651" i="1" s="1"/>
  <c r="F652" i="1" a="1"/>
  <c r="F652" i="1" s="1"/>
  <c r="F653" i="1" a="1"/>
  <c r="F653" i="1" s="1"/>
  <c r="F654" i="1" a="1"/>
  <c r="F654" i="1" s="1"/>
  <c r="F655" i="1" a="1"/>
  <c r="F655" i="1" s="1"/>
  <c r="F656" i="1" a="1"/>
  <c r="F656" i="1" s="1"/>
  <c r="F657" i="1" a="1"/>
  <c r="F657" i="1" s="1"/>
  <c r="F658" i="1" a="1"/>
  <c r="F658" i="1" s="1"/>
  <c r="F659" i="1" a="1"/>
  <c r="F659" i="1" s="1"/>
  <c r="F660" i="1" a="1"/>
  <c r="F660" i="1" s="1"/>
  <c r="F661" i="1" a="1"/>
  <c r="F661" i="1" s="1"/>
  <c r="F662" i="1" a="1"/>
  <c r="F662" i="1" s="1"/>
  <c r="F663" i="1" a="1"/>
  <c r="F663" i="1" s="1"/>
  <c r="F664" i="1" a="1"/>
  <c r="F664" i="1" s="1"/>
  <c r="F665" i="1" a="1"/>
  <c r="F665" i="1" s="1"/>
  <c r="F666" i="1" a="1"/>
  <c r="F666" i="1" s="1"/>
  <c r="F667" i="1" a="1"/>
  <c r="F667" i="1" s="1"/>
  <c r="F668" i="1" a="1"/>
  <c r="F668" i="1" s="1"/>
  <c r="F669" i="1" a="1"/>
  <c r="F669" i="1" s="1"/>
  <c r="F670" i="1" a="1"/>
  <c r="F670" i="1" s="1"/>
  <c r="F671" i="1" a="1"/>
  <c r="F671" i="1" s="1"/>
  <c r="F672" i="1" a="1"/>
  <c r="F672" i="1" s="1"/>
  <c r="F673" i="1" a="1"/>
  <c r="F673" i="1" s="1"/>
  <c r="F674" i="1" a="1"/>
  <c r="F674" i="1" s="1"/>
  <c r="F675" i="1" a="1"/>
  <c r="F675" i="1" s="1"/>
  <c r="F676" i="1" a="1"/>
  <c r="F676" i="1" s="1"/>
  <c r="F677" i="1" a="1"/>
  <c r="F677" i="1" s="1"/>
  <c r="F678" i="1" a="1"/>
  <c r="F678" i="1" s="1"/>
  <c r="F679" i="1" a="1"/>
  <c r="F679" i="1" s="1"/>
  <c r="F680" i="1" a="1"/>
  <c r="F680" i="1" s="1"/>
  <c r="F681" i="1" a="1"/>
  <c r="F681" i="1" s="1"/>
  <c r="F682" i="1" a="1"/>
  <c r="F682" i="1" s="1"/>
  <c r="F683" i="1" a="1"/>
  <c r="F683" i="1" s="1"/>
  <c r="F684" i="1" a="1"/>
  <c r="F684" i="1" s="1"/>
  <c r="F685" i="1" a="1"/>
  <c r="F685" i="1" s="1"/>
  <c r="F686" i="1" a="1"/>
  <c r="F686" i="1" s="1"/>
  <c r="F687" i="1" a="1"/>
  <c r="F687" i="1" s="1"/>
  <c r="F688" i="1" a="1"/>
  <c r="F688" i="1" s="1"/>
  <c r="F689" i="1" a="1"/>
  <c r="F689" i="1" s="1"/>
  <c r="F690" i="1" a="1"/>
  <c r="F690" i="1" s="1"/>
  <c r="F691" i="1" a="1"/>
  <c r="F691" i="1" s="1"/>
  <c r="F692" i="1" a="1"/>
  <c r="F692" i="1" s="1"/>
  <c r="F693" i="1" a="1"/>
  <c r="F693" i="1"/>
  <c r="F694" i="1" a="1"/>
  <c r="F694" i="1" s="1"/>
  <c r="F695" i="1" a="1"/>
  <c r="F695" i="1" s="1"/>
  <c r="F696" i="1" a="1"/>
  <c r="F696" i="1" s="1"/>
  <c r="F697" i="1" a="1"/>
  <c r="F697" i="1" s="1"/>
  <c r="F698" i="1" a="1"/>
  <c r="F698" i="1" s="1"/>
  <c r="F699" i="1" a="1"/>
  <c r="F699" i="1" s="1"/>
  <c r="F700" i="1" a="1"/>
  <c r="F700" i="1" s="1"/>
  <c r="F701" i="1" a="1"/>
  <c r="F701" i="1" s="1"/>
  <c r="F702" i="1" a="1"/>
  <c r="F702" i="1" s="1"/>
  <c r="F703" i="1" a="1"/>
  <c r="F703" i="1" s="1"/>
  <c r="F704" i="1" a="1"/>
  <c r="F704" i="1" s="1"/>
  <c r="F705" i="1" a="1"/>
  <c r="F705" i="1" s="1"/>
  <c r="F706" i="1" a="1"/>
  <c r="F706" i="1" s="1"/>
  <c r="F707" i="1" a="1"/>
  <c r="F707" i="1" s="1"/>
  <c r="F708" i="1" a="1"/>
  <c r="F708" i="1" s="1"/>
  <c r="F709" i="1" a="1"/>
  <c r="F709" i="1" s="1"/>
  <c r="F710" i="1" a="1"/>
  <c r="F710" i="1" s="1"/>
  <c r="F711" i="1" a="1"/>
  <c r="F711" i="1" s="1"/>
  <c r="F712" i="1" a="1"/>
  <c r="F712" i="1" s="1"/>
  <c r="F713" i="1" a="1"/>
  <c r="F713" i="1" s="1"/>
  <c r="F714" i="1" a="1"/>
  <c r="F714" i="1" s="1"/>
  <c r="F715" i="1" a="1"/>
  <c r="F715" i="1" s="1"/>
  <c r="F716" i="1" a="1"/>
  <c r="F716" i="1" s="1"/>
  <c r="F717" i="1" a="1"/>
  <c r="F717" i="1" s="1"/>
  <c r="F718" i="1" a="1"/>
  <c r="F718" i="1" s="1"/>
  <c r="F719" i="1" a="1"/>
  <c r="F719" i="1" s="1"/>
  <c r="F720" i="1" a="1"/>
  <c r="F720" i="1" s="1"/>
  <c r="F721" i="1" a="1"/>
  <c r="F721" i="1" s="1"/>
  <c r="F722" i="1" a="1"/>
  <c r="F722" i="1" s="1"/>
  <c r="F723" i="1" a="1"/>
  <c r="F723" i="1" s="1"/>
  <c r="F724" i="1" a="1"/>
  <c r="F724" i="1" s="1"/>
  <c r="F725" i="1" a="1"/>
  <c r="F725" i="1" s="1"/>
  <c r="F726" i="1" a="1"/>
  <c r="F726" i="1" s="1"/>
  <c r="F727" i="1" a="1"/>
  <c r="F727" i="1" s="1"/>
  <c r="F728" i="1" a="1"/>
  <c r="F728" i="1" s="1"/>
  <c r="F729" i="1" a="1"/>
  <c r="F729" i="1" s="1"/>
  <c r="F730" i="1" a="1"/>
  <c r="F730" i="1" s="1"/>
  <c r="F731" i="1" a="1"/>
  <c r="F731" i="1" s="1"/>
  <c r="F732" i="1" a="1"/>
  <c r="F732" i="1" s="1"/>
  <c r="F733" i="1" a="1"/>
  <c r="F733" i="1" s="1"/>
  <c r="F734" i="1" a="1"/>
  <c r="F734" i="1" s="1"/>
  <c r="F735" i="1" a="1"/>
  <c r="F735" i="1" s="1"/>
  <c r="F736" i="1" a="1"/>
  <c r="F736" i="1" s="1"/>
  <c r="F737" i="1" a="1"/>
  <c r="F737" i="1" s="1"/>
  <c r="F738" i="1" a="1"/>
  <c r="F738" i="1" s="1"/>
  <c r="F739" i="1" a="1"/>
  <c r="F739" i="1" s="1"/>
  <c r="F740" i="1" a="1"/>
  <c r="F740" i="1" s="1"/>
  <c r="F741" i="1" a="1"/>
  <c r="F741" i="1" s="1"/>
  <c r="F742" i="1" a="1"/>
  <c r="F742" i="1" s="1"/>
  <c r="F743" i="1" a="1"/>
  <c r="F743" i="1" s="1"/>
  <c r="F744" i="1" a="1"/>
  <c r="F744" i="1" s="1"/>
  <c r="F745" i="1" a="1"/>
  <c r="F745" i="1" s="1"/>
  <c r="F746" i="1" a="1"/>
  <c r="F746" i="1" s="1"/>
  <c r="F747" i="1" a="1"/>
  <c r="F747" i="1" s="1"/>
  <c r="F748" i="1" a="1"/>
  <c r="F748" i="1" s="1"/>
  <c r="F749" i="1" a="1"/>
  <c r="F749" i="1" s="1"/>
  <c r="F750" i="1" a="1"/>
  <c r="F750" i="1" s="1"/>
  <c r="F751" i="1" a="1"/>
  <c r="F751" i="1" s="1"/>
  <c r="F752" i="1" a="1"/>
  <c r="F752" i="1" s="1"/>
  <c r="F753" i="1" a="1"/>
  <c r="F753" i="1" s="1"/>
  <c r="F754" i="1" a="1"/>
  <c r="F754" i="1" s="1"/>
  <c r="F755" i="1" a="1"/>
  <c r="F755" i="1" s="1"/>
  <c r="F756" i="1" a="1"/>
  <c r="F756" i="1" s="1"/>
  <c r="F757" i="1" a="1"/>
  <c r="F757" i="1" s="1"/>
  <c r="F758" i="1" a="1"/>
  <c r="F758" i="1" s="1"/>
  <c r="F759" i="1" a="1"/>
  <c r="F759" i="1" s="1"/>
  <c r="F760" i="1" a="1"/>
  <c r="F760" i="1" s="1"/>
  <c r="F761" i="1" a="1"/>
  <c r="F761" i="1" s="1"/>
  <c r="F762" i="1" a="1"/>
  <c r="F762" i="1" s="1"/>
  <c r="F763" i="1" a="1"/>
  <c r="F763" i="1" s="1"/>
  <c r="F764" i="1" a="1"/>
  <c r="F764" i="1" s="1"/>
  <c r="F765" i="1" a="1"/>
  <c r="F765" i="1" s="1"/>
  <c r="F766" i="1" a="1"/>
  <c r="F766" i="1" s="1"/>
  <c r="F767" i="1" a="1"/>
  <c r="F767" i="1" s="1"/>
  <c r="F768" i="1" a="1"/>
  <c r="F768" i="1" s="1"/>
  <c r="F769" i="1" a="1"/>
  <c r="F769" i="1" s="1"/>
  <c r="F770" i="1" a="1"/>
  <c r="F770" i="1" s="1"/>
  <c r="F771" i="1" a="1"/>
  <c r="F771" i="1" s="1"/>
  <c r="F772" i="1" a="1"/>
  <c r="F772" i="1" s="1"/>
  <c r="F773" i="1" a="1"/>
  <c r="F773" i="1" s="1"/>
  <c r="F774" i="1" a="1"/>
  <c r="F774" i="1" s="1"/>
  <c r="F775" i="1" a="1"/>
  <c r="F775" i="1" s="1"/>
  <c r="F776" i="1" a="1"/>
  <c r="F776" i="1" s="1"/>
  <c r="F777" i="1" a="1"/>
  <c r="F777" i="1" s="1"/>
  <c r="F778" i="1" a="1"/>
  <c r="F778" i="1" s="1"/>
  <c r="F779" i="1" a="1"/>
  <c r="F779" i="1" s="1"/>
  <c r="F780" i="1" a="1"/>
  <c r="F780" i="1" s="1"/>
  <c r="F781" i="1" a="1"/>
  <c r="F781" i="1" s="1"/>
  <c r="F782" i="1" a="1"/>
  <c r="F782" i="1" s="1"/>
  <c r="F783" i="1" a="1"/>
  <c r="F783" i="1"/>
  <c r="F784" i="1" a="1"/>
  <c r="F784" i="1" s="1"/>
  <c r="F785" i="1" a="1"/>
  <c r="F785" i="1" s="1"/>
  <c r="F786" i="1" a="1"/>
  <c r="F786" i="1" s="1"/>
  <c r="F787" i="1" a="1"/>
  <c r="F787" i="1" s="1"/>
  <c r="F788" i="1" a="1"/>
  <c r="F788" i="1" s="1"/>
  <c r="F789" i="1" a="1"/>
  <c r="F789" i="1" s="1"/>
  <c r="F790" i="1" a="1"/>
  <c r="F790" i="1" s="1"/>
  <c r="F791" i="1" a="1"/>
  <c r="F791" i="1" s="1"/>
  <c r="F792" i="1" a="1"/>
  <c r="F792" i="1" s="1"/>
  <c r="F793" i="1" a="1"/>
  <c r="F793" i="1" s="1"/>
  <c r="F794" i="1" a="1"/>
  <c r="F794" i="1" s="1"/>
  <c r="F795" i="1" a="1"/>
  <c r="F795" i="1" s="1"/>
  <c r="F796" i="1" a="1"/>
  <c r="F796" i="1" s="1"/>
  <c r="F797" i="1" a="1"/>
  <c r="F797" i="1" s="1"/>
  <c r="F798" i="1" a="1"/>
  <c r="F798" i="1" s="1"/>
  <c r="F799" i="1" a="1"/>
  <c r="F799" i="1" s="1"/>
  <c r="F800" i="1" a="1"/>
  <c r="F800" i="1" s="1"/>
  <c r="F801" i="1" a="1"/>
  <c r="F801" i="1" s="1"/>
  <c r="F802" i="1" a="1"/>
  <c r="F802" i="1" s="1"/>
  <c r="F803" i="1" a="1"/>
  <c r="F803" i="1" s="1"/>
  <c r="F804" i="1" a="1"/>
  <c r="F804" i="1" s="1"/>
  <c r="F805" i="1" a="1"/>
  <c r="F805" i="1" s="1"/>
  <c r="F806" i="1" a="1"/>
  <c r="F806" i="1" s="1"/>
  <c r="F807" i="1" a="1"/>
  <c r="F807" i="1" s="1"/>
  <c r="F808" i="1" a="1"/>
  <c r="F808" i="1" s="1"/>
  <c r="F809" i="1" a="1"/>
  <c r="F809" i="1" s="1"/>
  <c r="F810" i="1" a="1"/>
  <c r="F810" i="1" s="1"/>
  <c r="F811" i="1" a="1"/>
  <c r="F811" i="1" s="1"/>
  <c r="F812" i="1" a="1"/>
  <c r="F812" i="1" s="1"/>
  <c r="F813" i="1" a="1"/>
  <c r="F813" i="1" s="1"/>
  <c r="F814" i="1" a="1"/>
  <c r="F814" i="1" s="1"/>
  <c r="F815" i="1" a="1"/>
  <c r="F815" i="1" s="1"/>
  <c r="F816" i="1" a="1"/>
  <c r="F816" i="1" s="1"/>
  <c r="F817" i="1" a="1"/>
  <c r="F817" i="1" s="1"/>
  <c r="F818" i="1" a="1"/>
  <c r="F818" i="1" s="1"/>
  <c r="F819" i="1" a="1"/>
  <c r="F819" i="1" s="1"/>
  <c r="F820" i="1" a="1"/>
  <c r="F820" i="1" s="1"/>
  <c r="F821" i="1" a="1"/>
  <c r="F821" i="1" s="1"/>
  <c r="F822" i="1" a="1"/>
  <c r="F822" i="1" s="1"/>
  <c r="F823" i="1" a="1"/>
  <c r="F823" i="1" s="1"/>
  <c r="F824" i="1" a="1"/>
  <c r="F824" i="1" s="1"/>
  <c r="F825" i="1" a="1"/>
  <c r="F825" i="1" s="1"/>
  <c r="F826" i="1" a="1"/>
  <c r="F826" i="1" s="1"/>
  <c r="F827" i="1" a="1"/>
  <c r="F827" i="1" s="1"/>
  <c r="F828" i="1" a="1"/>
  <c r="F828" i="1" s="1"/>
  <c r="F829" i="1" a="1"/>
  <c r="F829" i="1" s="1"/>
  <c r="F830" i="1" a="1"/>
  <c r="F830" i="1" s="1"/>
  <c r="F831" i="1" a="1"/>
  <c r="F831" i="1" s="1"/>
  <c r="F832" i="1" a="1"/>
  <c r="F832" i="1" s="1"/>
  <c r="F833" i="1" a="1"/>
  <c r="F833" i="1" s="1"/>
  <c r="F834" i="1" a="1"/>
  <c r="F834" i="1" s="1"/>
  <c r="F835" i="1" a="1"/>
  <c r="F835" i="1" s="1"/>
  <c r="F836" i="1" a="1"/>
  <c r="F836" i="1" s="1"/>
  <c r="F837" i="1" a="1"/>
  <c r="F837" i="1" s="1"/>
  <c r="F838" i="1" a="1"/>
  <c r="F838" i="1" s="1"/>
  <c r="F839" i="1" a="1"/>
  <c r="F839" i="1" s="1"/>
  <c r="F840" i="1" a="1"/>
  <c r="F840" i="1" s="1"/>
  <c r="F841" i="1" a="1"/>
  <c r="F841" i="1" s="1"/>
  <c r="F842" i="1" a="1"/>
  <c r="F842" i="1" s="1"/>
  <c r="F843" i="1" a="1"/>
  <c r="F843" i="1" s="1"/>
  <c r="F844" i="1" a="1"/>
  <c r="F844" i="1" s="1"/>
  <c r="F845" i="1" a="1"/>
  <c r="F845" i="1" s="1"/>
  <c r="F846" i="1" a="1"/>
  <c r="F846" i="1" s="1"/>
  <c r="F847" i="1" a="1"/>
  <c r="F847" i="1" s="1"/>
  <c r="F848" i="1" a="1"/>
  <c r="F848" i="1" s="1"/>
  <c r="F849" i="1" a="1"/>
  <c r="F849" i="1" s="1"/>
  <c r="F850" i="1" a="1"/>
  <c r="F850" i="1" s="1"/>
  <c r="F851" i="1" a="1"/>
  <c r="F851" i="1" s="1"/>
  <c r="F852" i="1" a="1"/>
  <c r="F852" i="1" s="1"/>
  <c r="F853" i="1" a="1"/>
  <c r="F853" i="1" s="1"/>
  <c r="F854" i="1" a="1"/>
  <c r="F854" i="1" s="1"/>
  <c r="F855" i="1" a="1"/>
  <c r="F855" i="1" s="1"/>
  <c r="F856" i="1" a="1"/>
  <c r="F856" i="1" s="1"/>
  <c r="F857" i="1" a="1"/>
  <c r="F857" i="1" s="1"/>
  <c r="F858" i="1" a="1"/>
  <c r="F858" i="1" s="1"/>
  <c r="F859" i="1" a="1"/>
  <c r="F859" i="1" s="1"/>
  <c r="F860" i="1" a="1"/>
  <c r="F860" i="1" s="1"/>
  <c r="F861" i="1" a="1"/>
  <c r="F861" i="1" s="1"/>
  <c r="F862" i="1" a="1"/>
  <c r="F862" i="1" s="1"/>
  <c r="F863" i="1" a="1"/>
  <c r="F863" i="1" s="1"/>
  <c r="F864" i="1" a="1"/>
  <c r="F864" i="1" s="1"/>
  <c r="F865" i="1" a="1"/>
  <c r="F865" i="1" s="1"/>
  <c r="F866" i="1" a="1"/>
  <c r="F866" i="1" s="1"/>
  <c r="F867" i="1" a="1"/>
  <c r="F867" i="1" s="1"/>
  <c r="F868" i="1" a="1"/>
  <c r="F868" i="1" s="1"/>
  <c r="F869" i="1" a="1"/>
  <c r="F869" i="1" s="1"/>
  <c r="F870" i="1" a="1"/>
  <c r="F870" i="1" s="1"/>
  <c r="F871" i="1" a="1"/>
  <c r="F871" i="1" s="1"/>
  <c r="F872" i="1" a="1"/>
  <c r="F872" i="1" s="1"/>
  <c r="F873" i="1" a="1"/>
  <c r="F873" i="1" s="1"/>
  <c r="F874" i="1" a="1"/>
  <c r="F874" i="1" s="1"/>
  <c r="F875" i="1" a="1"/>
  <c r="F875" i="1" s="1"/>
  <c r="F876" i="1" a="1"/>
  <c r="F876" i="1" s="1"/>
  <c r="F877" i="1" a="1"/>
  <c r="F877" i="1" s="1"/>
  <c r="F878" i="1" a="1"/>
  <c r="F878" i="1" s="1"/>
  <c r="F879" i="1" a="1"/>
  <c r="F879" i="1" s="1"/>
  <c r="F880" i="1" a="1"/>
  <c r="F880" i="1" s="1"/>
  <c r="F881" i="1" a="1"/>
  <c r="F881" i="1"/>
  <c r="F882" i="1" a="1"/>
  <c r="F882" i="1" s="1"/>
  <c r="F883" i="1" a="1"/>
  <c r="F883" i="1" s="1"/>
  <c r="F884" i="1" a="1"/>
  <c r="F884" i="1" s="1"/>
  <c r="F885" i="1" a="1"/>
  <c r="F885" i="1" s="1"/>
  <c r="F886" i="1" a="1"/>
  <c r="F886" i="1" s="1"/>
  <c r="F887" i="1" a="1"/>
  <c r="F887" i="1" s="1"/>
  <c r="F888" i="1" a="1"/>
  <c r="F888" i="1" s="1"/>
  <c r="F889" i="1" a="1"/>
  <c r="F889" i="1" s="1"/>
  <c r="F890" i="1" a="1"/>
  <c r="F890" i="1" s="1"/>
  <c r="F891" i="1" a="1"/>
  <c r="F891" i="1" s="1"/>
  <c r="F892" i="1" a="1"/>
  <c r="F892" i="1" s="1"/>
  <c r="F893" i="1" a="1"/>
  <c r="F893" i="1" s="1"/>
  <c r="F894" i="1" a="1"/>
  <c r="F894" i="1" s="1"/>
  <c r="F895" i="1" a="1"/>
  <c r="F895" i="1" s="1"/>
  <c r="F896" i="1" a="1"/>
  <c r="F896" i="1" s="1"/>
  <c r="F897" i="1" a="1"/>
  <c r="F897" i="1" s="1"/>
  <c r="F898" i="1" a="1"/>
  <c r="F898" i="1" s="1"/>
  <c r="F899" i="1" a="1"/>
  <c r="F899" i="1" s="1"/>
  <c r="F900" i="1" a="1"/>
  <c r="F900" i="1" s="1"/>
  <c r="F901" i="1" a="1"/>
  <c r="F901" i="1" s="1"/>
  <c r="F902" i="1" a="1"/>
  <c r="F902" i="1" s="1"/>
  <c r="F903" i="1" a="1"/>
  <c r="F903" i="1" s="1"/>
  <c r="F904" i="1" a="1"/>
  <c r="F904" i="1" s="1"/>
  <c r="F905" i="1" a="1"/>
  <c r="F905" i="1" s="1"/>
  <c r="F906" i="1" a="1"/>
  <c r="F906" i="1" s="1"/>
  <c r="F907" i="1" a="1"/>
  <c r="F907" i="1" s="1"/>
  <c r="F908" i="1" a="1"/>
  <c r="F908" i="1" s="1"/>
  <c r="F909" i="1" a="1"/>
  <c r="F909" i="1" s="1"/>
  <c r="F910" i="1" a="1"/>
  <c r="F910" i="1" s="1"/>
  <c r="F911" i="1" a="1"/>
  <c r="F911" i="1" s="1"/>
  <c r="F912" i="1" a="1"/>
  <c r="F912" i="1" s="1"/>
  <c r="F913" i="1" a="1"/>
  <c r="F913" i="1" s="1"/>
  <c r="F914" i="1" a="1"/>
  <c r="F914" i="1" s="1"/>
  <c r="F915" i="1" a="1"/>
  <c r="F915" i="1" s="1"/>
  <c r="F916" i="1" a="1"/>
  <c r="F916" i="1" s="1"/>
  <c r="F917" i="1" a="1"/>
  <c r="F917" i="1" s="1"/>
  <c r="F918" i="1" a="1"/>
  <c r="F918" i="1" s="1"/>
  <c r="F919" i="1" a="1"/>
  <c r="F919" i="1" s="1"/>
  <c r="F920" i="1" a="1"/>
  <c r="F920" i="1" s="1"/>
  <c r="F921" i="1" a="1"/>
  <c r="F921" i="1" s="1"/>
  <c r="F922" i="1" a="1"/>
  <c r="F922" i="1" s="1"/>
  <c r="F923" i="1" a="1"/>
  <c r="F923" i="1" s="1"/>
  <c r="F924" i="1" a="1"/>
  <c r="F924" i="1" s="1"/>
  <c r="F925" i="1" a="1"/>
  <c r="F925" i="1" s="1"/>
  <c r="F926" i="1" a="1"/>
  <c r="F926" i="1" s="1"/>
  <c r="F927" i="1" a="1"/>
  <c r="F927" i="1" s="1"/>
  <c r="F928" i="1" a="1"/>
  <c r="F928" i="1" s="1"/>
  <c r="F929" i="1" a="1"/>
  <c r="F929" i="1" s="1"/>
  <c r="F930" i="1" a="1"/>
  <c r="F930" i="1" s="1"/>
  <c r="F931" i="1" a="1"/>
  <c r="F931" i="1" s="1"/>
  <c r="F932" i="1" a="1"/>
  <c r="F932" i="1" s="1"/>
  <c r="F933" i="1" a="1"/>
  <c r="F933" i="1" s="1"/>
  <c r="F934" i="1" a="1"/>
  <c r="F934" i="1" s="1"/>
  <c r="F935" i="1" a="1"/>
  <c r="F935" i="1" s="1"/>
  <c r="F936" i="1" a="1"/>
  <c r="F936" i="1" s="1"/>
  <c r="F937" i="1" a="1"/>
  <c r="F937" i="1"/>
  <c r="F938" i="1" a="1"/>
  <c r="F938" i="1" s="1"/>
  <c r="F939" i="1" a="1"/>
  <c r="F939" i="1" s="1"/>
  <c r="F940" i="1" a="1"/>
  <c r="F940" i="1" s="1"/>
  <c r="F941" i="1" a="1"/>
  <c r="F941" i="1" s="1"/>
  <c r="F942" i="1" a="1"/>
  <c r="F942" i="1" s="1"/>
  <c r="F943" i="1" a="1"/>
  <c r="F943" i="1" s="1"/>
  <c r="F944" i="1" a="1"/>
  <c r="F944" i="1" s="1"/>
  <c r="F945" i="1" a="1"/>
  <c r="F945" i="1" s="1"/>
  <c r="F946" i="1" a="1"/>
  <c r="F946" i="1" s="1"/>
  <c r="F947" i="1" a="1"/>
  <c r="F947" i="1" s="1"/>
  <c r="F948" i="1" a="1"/>
  <c r="F948" i="1" s="1"/>
  <c r="F949" i="1" a="1"/>
  <c r="F949" i="1" s="1"/>
  <c r="F950" i="1" a="1"/>
  <c r="F950" i="1" s="1"/>
  <c r="F951" i="1" a="1"/>
  <c r="F951" i="1" s="1"/>
  <c r="F952" i="1" a="1"/>
  <c r="F952" i="1" s="1"/>
  <c r="F953" i="1" a="1"/>
  <c r="F953" i="1" s="1"/>
  <c r="F954" i="1" a="1"/>
  <c r="F954" i="1" s="1"/>
  <c r="F955" i="1" a="1"/>
  <c r="F955" i="1" s="1"/>
  <c r="F956" i="1" a="1"/>
  <c r="F956" i="1" s="1"/>
  <c r="F957" i="1" a="1"/>
  <c r="F957" i="1" s="1"/>
  <c r="F958" i="1" a="1"/>
  <c r="F958" i="1" s="1"/>
  <c r="F959" i="1" a="1"/>
  <c r="F959" i="1" s="1"/>
  <c r="F960" i="1" a="1"/>
  <c r="F960" i="1" s="1"/>
  <c r="F961" i="1" a="1"/>
  <c r="F961" i="1" s="1"/>
  <c r="F962" i="1" a="1"/>
  <c r="F962" i="1" s="1"/>
  <c r="F963" i="1" a="1"/>
  <c r="F963" i="1" s="1"/>
  <c r="F964" i="1" a="1"/>
  <c r="F964" i="1" s="1"/>
  <c r="F965" i="1" a="1"/>
  <c r="F965" i="1" s="1"/>
  <c r="F966" i="1" a="1"/>
  <c r="F966" i="1" s="1"/>
  <c r="F967" i="1" a="1"/>
  <c r="F967" i="1"/>
  <c r="F968" i="1" a="1"/>
  <c r="F968" i="1" s="1"/>
  <c r="F969" i="1" a="1"/>
  <c r="F969" i="1" s="1"/>
  <c r="F970" i="1" a="1"/>
  <c r="F970" i="1" s="1"/>
  <c r="F971" i="1" a="1"/>
  <c r="F971" i="1" s="1"/>
  <c r="F972" i="1" a="1"/>
  <c r="F972" i="1" s="1"/>
  <c r="F973" i="1" a="1"/>
  <c r="F973" i="1" s="1"/>
  <c r="F974" i="1" a="1"/>
  <c r="F974" i="1" s="1"/>
  <c r="F975" i="1" a="1"/>
  <c r="F975"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<sst xmlns="http://schemas.openxmlformats.org/spreadsheetml/2006/main" count="9012" uniqueCount="1109">
  <si>
    <t>Customer ID</t>
  </si>
  <si>
    <t>Full Name</t>
  </si>
  <si>
    <t>Date of Purchase</t>
  </si>
  <si>
    <t>Age</t>
  </si>
  <si>
    <t>State</t>
  </si>
  <si>
    <t>MTN Device</t>
  </si>
  <si>
    <t>Gender</t>
  </si>
  <si>
    <t>Satisfaction Rate</t>
  </si>
  <si>
    <t>Customer Review</t>
  </si>
  <si>
    <t>Customer Tenure in months</t>
  </si>
  <si>
    <t>Subscription Plan</t>
  </si>
  <si>
    <t>Unit Price</t>
  </si>
  <si>
    <t>Number of Times Purchased</t>
  </si>
  <si>
    <t>Total Revenue</t>
  </si>
  <si>
    <t>Data Usage</t>
  </si>
  <si>
    <t>Customer Churn Status</t>
  </si>
  <si>
    <t>Reasons for Churn</t>
  </si>
  <si>
    <t>CUST0001</t>
  </si>
  <si>
    <t>Ngozi Berry</t>
  </si>
  <si>
    <t>Kwara</t>
  </si>
  <si>
    <t>4G Router</t>
  </si>
  <si>
    <t>Male</t>
  </si>
  <si>
    <t>Fair</t>
  </si>
  <si>
    <t>165GB Monthly Plan</t>
  </si>
  <si>
    <t>Yes</t>
  </si>
  <si>
    <t>Relocation</t>
  </si>
  <si>
    <t>CUST0002</t>
  </si>
  <si>
    <t>Zainab Baker</t>
  </si>
  <si>
    <t>Abuja (FCT)</t>
  </si>
  <si>
    <t>Mobile SIM Card</t>
  </si>
  <si>
    <t>Female</t>
  </si>
  <si>
    <t>12.5GB Monthly Plan</t>
  </si>
  <si>
    <t>Better Offers from Competitors</t>
  </si>
  <si>
    <t>CUST0003</t>
  </si>
  <si>
    <t>Saidu Evans</t>
  </si>
  <si>
    <t>Sokoto</t>
  </si>
  <si>
    <t>5G Broadband Router</t>
  </si>
  <si>
    <t>Poor</t>
  </si>
  <si>
    <t>150GB FUP Monthly Unlimited</t>
  </si>
  <si>
    <t>No</t>
  </si>
  <si>
    <t>1GB+1.5mins Daily Plan</t>
  </si>
  <si>
    <t>Broadband MiFi</t>
  </si>
  <si>
    <t>30GB Monthly Broadband Plan</t>
  </si>
  <si>
    <t>CUST0004</t>
  </si>
  <si>
    <t>Ejiro Walker</t>
  </si>
  <si>
    <t>Gombe</t>
  </si>
  <si>
    <t>10GB+10mins Monthly Plan</t>
  </si>
  <si>
    <t>CUST0005</t>
  </si>
  <si>
    <t>Nura Mann</t>
  </si>
  <si>
    <t>Oyo</t>
  </si>
  <si>
    <t>Good</t>
  </si>
  <si>
    <t>25GB Monthly Plan</t>
  </si>
  <si>
    <t>CUST0006</t>
  </si>
  <si>
    <t>Tamuno Lewis</t>
  </si>
  <si>
    <t>Plateau</t>
  </si>
  <si>
    <t>Excellent</t>
  </si>
  <si>
    <t>7GB Monthly Plan</t>
  </si>
  <si>
    <t>1.5TB Yearly Broadband Plan</t>
  </si>
  <si>
    <t>65GB Monthly Plan</t>
  </si>
  <si>
    <t>CUST0007</t>
  </si>
  <si>
    <t>Boma Stewart</t>
  </si>
  <si>
    <t>Jigawa</t>
  </si>
  <si>
    <t>120GB Monthly Broadband Plan</t>
  </si>
  <si>
    <t>CUST0008</t>
  </si>
  <si>
    <t>Ifeanyi Park</t>
  </si>
  <si>
    <t>300GB FUP Monthly Unlimited</t>
  </si>
  <si>
    <t>CUST0009</t>
  </si>
  <si>
    <t>Bala Robbins</t>
  </si>
  <si>
    <t>CUST0010</t>
  </si>
  <si>
    <t>Halima Ochoa</t>
  </si>
  <si>
    <t>Imo</t>
  </si>
  <si>
    <t>60GB Monthly Broadband Plan</t>
  </si>
  <si>
    <t>500MB Daily Plan</t>
  </si>
  <si>
    <t>CUST0011</t>
  </si>
  <si>
    <t>Ejiro Griffith</t>
  </si>
  <si>
    <t>Bauchi</t>
  </si>
  <si>
    <t>Poor Network</t>
  </si>
  <si>
    <t>CUST0012</t>
  </si>
  <si>
    <t>Zainab Morton</t>
  </si>
  <si>
    <t>Ondo</t>
  </si>
  <si>
    <t>CUST0013</t>
  </si>
  <si>
    <t>Ngozi Moreno</t>
  </si>
  <si>
    <t>Kebbi</t>
  </si>
  <si>
    <t>3.2GB 2-Day Plan</t>
  </si>
  <si>
    <t>CUST0014</t>
  </si>
  <si>
    <t>Ngozi Crawford</t>
  </si>
  <si>
    <t>Adamawa</t>
  </si>
  <si>
    <t>20GB Monthly Plan</t>
  </si>
  <si>
    <t>CUST0015</t>
  </si>
  <si>
    <t>Abubakar Garner</t>
  </si>
  <si>
    <t>Yobe</t>
  </si>
  <si>
    <t>CUST0016</t>
  </si>
  <si>
    <t>Kunle Ford</t>
  </si>
  <si>
    <t>CUST0017</t>
  </si>
  <si>
    <t>Tunde Hayes</t>
  </si>
  <si>
    <t>Anambra</t>
  </si>
  <si>
    <t>Costly Data Plans</t>
  </si>
  <si>
    <t>CUST0018</t>
  </si>
  <si>
    <t>David Fletcher</t>
  </si>
  <si>
    <t>CUST0019</t>
  </si>
  <si>
    <t>Obinna Wright</t>
  </si>
  <si>
    <t>Cross River</t>
  </si>
  <si>
    <t>2.5GB 2-Day Plan</t>
  </si>
  <si>
    <t>CUST0020</t>
  </si>
  <si>
    <t>Amaka Reed</t>
  </si>
  <si>
    <t>450GB 3-Month Broadband Plan</t>
  </si>
  <si>
    <t>CUST0021</t>
  </si>
  <si>
    <t>Oghene Brown</t>
  </si>
  <si>
    <t>CUST0022</t>
  </si>
  <si>
    <t>Shehu Ferguson</t>
  </si>
  <si>
    <t>Kogi</t>
  </si>
  <si>
    <t>CUST0023</t>
  </si>
  <si>
    <t>Oghene Vazquez</t>
  </si>
  <si>
    <t>Osun</t>
  </si>
  <si>
    <t>Very Good</t>
  </si>
  <si>
    <t>200GB Monthly Broadband Plan</t>
  </si>
  <si>
    <t>CUST0024</t>
  </si>
  <si>
    <t>David Johnson</t>
  </si>
  <si>
    <t>Kano</t>
  </si>
  <si>
    <t>CUST0025</t>
  </si>
  <si>
    <t>Ifeanyi Brown</t>
  </si>
  <si>
    <t>Benue</t>
  </si>
  <si>
    <t>CUST0026</t>
  </si>
  <si>
    <t>Ese Simmons</t>
  </si>
  <si>
    <t>CUST0027</t>
  </si>
  <si>
    <t>Maryam Reyes</t>
  </si>
  <si>
    <t>CUST0028</t>
  </si>
  <si>
    <t>Obinna Sanchez</t>
  </si>
  <si>
    <t>Rivers</t>
  </si>
  <si>
    <t>CUST0029</t>
  </si>
  <si>
    <t>Boma Franco</t>
  </si>
  <si>
    <t>Enugu</t>
  </si>
  <si>
    <t>CUST0030</t>
  </si>
  <si>
    <t>Alabo Davis</t>
  </si>
  <si>
    <t>CUST0031</t>
  </si>
  <si>
    <t>Kunle West</t>
  </si>
  <si>
    <t>CUST0032</t>
  </si>
  <si>
    <t>Maryam Terry</t>
  </si>
  <si>
    <t>CUST0033</t>
  </si>
  <si>
    <t>Amina Mosley</t>
  </si>
  <si>
    <t>Borno</t>
  </si>
  <si>
    <t>CUST0034</t>
  </si>
  <si>
    <t>Shehu Anderson</t>
  </si>
  <si>
    <t>Edo</t>
  </si>
  <si>
    <t>CUST0035</t>
  </si>
  <si>
    <t>Oghene Mcguire</t>
  </si>
  <si>
    <t>Kaduna</t>
  </si>
  <si>
    <t>CUST0036</t>
  </si>
  <si>
    <t>Ifeanyi Randall</t>
  </si>
  <si>
    <t>Abia</t>
  </si>
  <si>
    <t>CUST0037</t>
  </si>
  <si>
    <t>Ifeanyi Ruiz</t>
  </si>
  <si>
    <t>Ekiti</t>
  </si>
  <si>
    <t>CUST0038</t>
  </si>
  <si>
    <t>Shehu Randall</t>
  </si>
  <si>
    <t>CUST0039</t>
  </si>
  <si>
    <t>Zina Green</t>
  </si>
  <si>
    <t>Bayelsa</t>
  </si>
  <si>
    <t>CUST0040</t>
  </si>
  <si>
    <t>Chinedu Ruiz</t>
  </si>
  <si>
    <t>CUST0041</t>
  </si>
  <si>
    <t>Ejiro Mason</t>
  </si>
  <si>
    <t>CUST0042</t>
  </si>
  <si>
    <t>Shehu Hoffman</t>
  </si>
  <si>
    <t>1.5GB 2-Day Plan</t>
  </si>
  <si>
    <t>CUST0043</t>
  </si>
  <si>
    <t>Abubakar Johnson</t>
  </si>
  <si>
    <t>Fast Data Consumption</t>
  </si>
  <si>
    <t>CUST0044</t>
  </si>
  <si>
    <t>Grace Walker</t>
  </si>
  <si>
    <t>CUST0045</t>
  </si>
  <si>
    <t>Alabo Thompson</t>
  </si>
  <si>
    <t>CUST0046</t>
  </si>
  <si>
    <t>Amina Wright</t>
  </si>
  <si>
    <t>CUST0047</t>
  </si>
  <si>
    <t>Bala Christian</t>
  </si>
  <si>
    <t>Delta</t>
  </si>
  <si>
    <t>CUST0048</t>
  </si>
  <si>
    <t>Abubakar Gentry</t>
  </si>
  <si>
    <t>CUST0049</t>
  </si>
  <si>
    <t>Zainab Taylor</t>
  </si>
  <si>
    <t>CUST0050</t>
  </si>
  <si>
    <t>Tega Stevens</t>
  </si>
  <si>
    <t>CUST0051</t>
  </si>
  <si>
    <t>Zina Carter</t>
  </si>
  <si>
    <t>CUST0052</t>
  </si>
  <si>
    <t>Halima Johnston</t>
  </si>
  <si>
    <t>CUST0053</t>
  </si>
  <si>
    <t>Grace Christensen</t>
  </si>
  <si>
    <t>Zamfara</t>
  </si>
  <si>
    <t>CUST0054</t>
  </si>
  <si>
    <t>Amaka Potter</t>
  </si>
  <si>
    <t>Akwa Ibom</t>
  </si>
  <si>
    <t>16.5GB+10mins Monthly Plan</t>
  </si>
  <si>
    <t>CUST0055</t>
  </si>
  <si>
    <t>Halima Smith</t>
  </si>
  <si>
    <t>CUST0056</t>
  </si>
  <si>
    <t>Tega Daniels</t>
  </si>
  <si>
    <t>Nasarawa</t>
  </si>
  <si>
    <t>CUST0057</t>
  </si>
  <si>
    <t>Chinedu Davis</t>
  </si>
  <si>
    <t>CUST0058</t>
  </si>
  <si>
    <t>Ngozi Brown</t>
  </si>
  <si>
    <t>CUST0059</t>
  </si>
  <si>
    <t>Halima Williams</t>
  </si>
  <si>
    <t>CUST0060</t>
  </si>
  <si>
    <t>Amina Payne</t>
  </si>
  <si>
    <t>CUST0061</t>
  </si>
  <si>
    <t>Abubakar Ewing</t>
  </si>
  <si>
    <t>CUST0062</t>
  </si>
  <si>
    <t>Ngozi Henson</t>
  </si>
  <si>
    <t>CUST0063</t>
  </si>
  <si>
    <t>Amina Flores</t>
  </si>
  <si>
    <t>Taraba</t>
  </si>
  <si>
    <t>CUST0064</t>
  </si>
  <si>
    <t>Ejiro Ford</t>
  </si>
  <si>
    <t>CUST0065</t>
  </si>
  <si>
    <t>Kunle Shaw</t>
  </si>
  <si>
    <t>CUST0066</t>
  </si>
  <si>
    <t>David Schneider</t>
  </si>
  <si>
    <t>CUST0067</t>
  </si>
  <si>
    <t>Ejiro Smith</t>
  </si>
  <si>
    <t>CUST0068</t>
  </si>
  <si>
    <t>Halima Anderson</t>
  </si>
  <si>
    <t>CUST0069</t>
  </si>
  <si>
    <t>Tunde Oliver</t>
  </si>
  <si>
    <t>CUST0070</t>
  </si>
  <si>
    <t>Ese Obrien</t>
  </si>
  <si>
    <t>CUST0071</t>
  </si>
  <si>
    <t>Alabo Keith</t>
  </si>
  <si>
    <t>CUST0072</t>
  </si>
  <si>
    <t>Ngozi Hernandez</t>
  </si>
  <si>
    <t>CUST0073</t>
  </si>
  <si>
    <t>Ese Flowers</t>
  </si>
  <si>
    <t>CUST0074</t>
  </si>
  <si>
    <t>Ibim Marshall</t>
  </si>
  <si>
    <t>CUST0075</t>
  </si>
  <si>
    <t>Tega Medina</t>
  </si>
  <si>
    <t>CUST0076</t>
  </si>
  <si>
    <t>Nura Mcneil</t>
  </si>
  <si>
    <t>CUST0077</t>
  </si>
  <si>
    <t>Chinedu Pitts</t>
  </si>
  <si>
    <t>CUST0078</t>
  </si>
  <si>
    <t>Alabo Kelly</t>
  </si>
  <si>
    <t>CUST0079</t>
  </si>
  <si>
    <t>Fatima Pennington</t>
  </si>
  <si>
    <t>CUST0080</t>
  </si>
  <si>
    <t>Kunle Williams</t>
  </si>
  <si>
    <t>CUST0081</t>
  </si>
  <si>
    <t>Chinedu Ortiz</t>
  </si>
  <si>
    <t>CUST0082</t>
  </si>
  <si>
    <t>Michael Ortiz</t>
  </si>
  <si>
    <t>CUST0083</t>
  </si>
  <si>
    <t>Shehu Holt</t>
  </si>
  <si>
    <t>CUST0084</t>
  </si>
  <si>
    <t>Maryam Velez</t>
  </si>
  <si>
    <t>CUST0085</t>
  </si>
  <si>
    <t>Alabo Turner</t>
  </si>
  <si>
    <t>Niger</t>
  </si>
  <si>
    <t>CUST0086</t>
  </si>
  <si>
    <t>Amina Rivas</t>
  </si>
  <si>
    <t>CUST0087</t>
  </si>
  <si>
    <t>Omamuzo Guerrero</t>
  </si>
  <si>
    <t>CUST0088</t>
  </si>
  <si>
    <t>Amaka Brown</t>
  </si>
  <si>
    <t>Poor Customer Service</t>
  </si>
  <si>
    <t>CUST0089</t>
  </si>
  <si>
    <t>Michael Schultz</t>
  </si>
  <si>
    <t>CUST0090</t>
  </si>
  <si>
    <t>John Montoya</t>
  </si>
  <si>
    <t>CUST0091</t>
  </si>
  <si>
    <t>Ngozi Fox</t>
  </si>
  <si>
    <t>CUST0092</t>
  </si>
  <si>
    <t>Chinedu Burke</t>
  </si>
  <si>
    <t>CUST0093</t>
  </si>
  <si>
    <t>Amaka Webb</t>
  </si>
  <si>
    <t>CUST0094</t>
  </si>
  <si>
    <t>Maryam Tucker</t>
  </si>
  <si>
    <t>CUST0095</t>
  </si>
  <si>
    <t>Sarah James</t>
  </si>
  <si>
    <t>CUST0096</t>
  </si>
  <si>
    <t>Tega Turner</t>
  </si>
  <si>
    <t>CUST0097</t>
  </si>
  <si>
    <t>Ese Perez</t>
  </si>
  <si>
    <t>High Call Tarriffs</t>
  </si>
  <si>
    <t>CUST0098</t>
  </si>
  <si>
    <t>Tega Murray</t>
  </si>
  <si>
    <t>CUST0099</t>
  </si>
  <si>
    <t>Boma Gonzalez</t>
  </si>
  <si>
    <t>CUST0100</t>
  </si>
  <si>
    <t>Kunle Davis</t>
  </si>
  <si>
    <t>CUST0101</t>
  </si>
  <si>
    <t>Bola Brown</t>
  </si>
  <si>
    <t>CUST0102</t>
  </si>
  <si>
    <t>Ifeanyi Burns</t>
  </si>
  <si>
    <t>CUST0103</t>
  </si>
  <si>
    <t>Chinedu Barrera</t>
  </si>
  <si>
    <t>CUST0104</t>
  </si>
  <si>
    <t>Zina Fischer</t>
  </si>
  <si>
    <t>Katsina</t>
  </si>
  <si>
    <t>CUST0105</t>
  </si>
  <si>
    <t>Amaka Garcia</t>
  </si>
  <si>
    <t>CUST0106</t>
  </si>
  <si>
    <t>Abubakar Holmes</t>
  </si>
  <si>
    <t>CUST0107</t>
  </si>
  <si>
    <t>Bola Rogers</t>
  </si>
  <si>
    <t>CUST0108</t>
  </si>
  <si>
    <t>John Rose</t>
  </si>
  <si>
    <t>CUST0109</t>
  </si>
  <si>
    <t>Tamuno Bates</t>
  </si>
  <si>
    <t>CUST0110</t>
  </si>
  <si>
    <t>Ibim Richards</t>
  </si>
  <si>
    <t>CUST0111</t>
  </si>
  <si>
    <t>Fatima Blevins</t>
  </si>
  <si>
    <t>CUST0112</t>
  </si>
  <si>
    <t>Bala Smith</t>
  </si>
  <si>
    <t>CUST0113</t>
  </si>
  <si>
    <t>Michael Evans</t>
  </si>
  <si>
    <t>CUST0114</t>
  </si>
  <si>
    <t>Amina Todd</t>
  </si>
  <si>
    <t>CUST0115</t>
  </si>
  <si>
    <t>Maryam Smith</t>
  </si>
  <si>
    <t>CUST0116</t>
  </si>
  <si>
    <t>Bola Garcia</t>
  </si>
  <si>
    <t>CUST0117</t>
  </si>
  <si>
    <t>Sade Collins</t>
  </si>
  <si>
    <t>CUST0118</t>
  </si>
  <si>
    <t>Zainab Garcia</t>
  </si>
  <si>
    <t>CUST0119</t>
  </si>
  <si>
    <t>Omamuzo Terry</t>
  </si>
  <si>
    <t>CUST0120</t>
  </si>
  <si>
    <t>Fatima Lindsey</t>
  </si>
  <si>
    <t>CUST0121</t>
  </si>
  <si>
    <t>Tunde Smith</t>
  </si>
  <si>
    <t>CUST0122</t>
  </si>
  <si>
    <t>Grace Fowler</t>
  </si>
  <si>
    <t>CUST0123</t>
  </si>
  <si>
    <t>Tega Chen</t>
  </si>
  <si>
    <t>CUST0124</t>
  </si>
  <si>
    <t>Shehu Nguyen</t>
  </si>
  <si>
    <t>CUST0125</t>
  </si>
  <si>
    <t>Halima Aguilar</t>
  </si>
  <si>
    <t>CUST0126</t>
  </si>
  <si>
    <t>Ejiro Ware</t>
  </si>
  <si>
    <t>CUST0127</t>
  </si>
  <si>
    <t>Ifeanyi Clayton</t>
  </si>
  <si>
    <t>CUST0128</t>
  </si>
  <si>
    <t>Sade Berry</t>
  </si>
  <si>
    <t>CUST0129</t>
  </si>
  <si>
    <t>Shehu Lee</t>
  </si>
  <si>
    <t>CUST0130</t>
  </si>
  <si>
    <t>Tamuno Greer</t>
  </si>
  <si>
    <t>CUST0131</t>
  </si>
  <si>
    <t>Funke Hart</t>
  </si>
  <si>
    <t>CUST0132</t>
  </si>
  <si>
    <t>Nura Yang</t>
  </si>
  <si>
    <t>CUST0133</t>
  </si>
  <si>
    <t>Oghene Cooper</t>
  </si>
  <si>
    <t>CUST0134</t>
  </si>
  <si>
    <t>Obinna Branch</t>
  </si>
  <si>
    <t>CUST0135</t>
  </si>
  <si>
    <t>Bola Anderson</t>
  </si>
  <si>
    <t>CUST0136</t>
  </si>
  <si>
    <t>John Hill</t>
  </si>
  <si>
    <t>CUST0137</t>
  </si>
  <si>
    <t>Zina Singh</t>
  </si>
  <si>
    <t>CUST0138</t>
  </si>
  <si>
    <t>Ibim Brown</t>
  </si>
  <si>
    <t>CUST0139</t>
  </si>
  <si>
    <t>Saidu Holt</t>
  </si>
  <si>
    <t>CUST0140</t>
  </si>
  <si>
    <t>Amaka Vang</t>
  </si>
  <si>
    <t>CUST0141</t>
  </si>
  <si>
    <t>Ibim Faulkner</t>
  </si>
  <si>
    <t>CUST0142</t>
  </si>
  <si>
    <t>Bala Hood</t>
  </si>
  <si>
    <t>CUST0143</t>
  </si>
  <si>
    <t>Bola Brooks</t>
  </si>
  <si>
    <t>CUST0144</t>
  </si>
  <si>
    <t>Fatima Wheeler</t>
  </si>
  <si>
    <t>CUST0145</t>
  </si>
  <si>
    <t>Halima Valencia</t>
  </si>
  <si>
    <t>CUST0146</t>
  </si>
  <si>
    <t>Tamuno Boyd</t>
  </si>
  <si>
    <t>CUST0147</t>
  </si>
  <si>
    <t>Chinedu Martinez</t>
  </si>
  <si>
    <t>CUST0148</t>
  </si>
  <si>
    <t>Ejiro Finley</t>
  </si>
  <si>
    <t>CUST0149</t>
  </si>
  <si>
    <t>Omamuzo Levine</t>
  </si>
  <si>
    <t>CUST0150</t>
  </si>
  <si>
    <t>Ejiro Roman</t>
  </si>
  <si>
    <t>CUST0151</t>
  </si>
  <si>
    <t>Tega Mendez</t>
  </si>
  <si>
    <t>CUST0152</t>
  </si>
  <si>
    <t>Tamuno Yang</t>
  </si>
  <si>
    <t>CUST0153</t>
  </si>
  <si>
    <t>Maryam Williams</t>
  </si>
  <si>
    <t>CUST0154</t>
  </si>
  <si>
    <t>David Miller</t>
  </si>
  <si>
    <t>CUST0155</t>
  </si>
  <si>
    <t>Ngozi Fowler</t>
  </si>
  <si>
    <t>CUST0156</t>
  </si>
  <si>
    <t>Ifeanyi Garcia</t>
  </si>
  <si>
    <t>CUST0157</t>
  </si>
  <si>
    <t>Ifeanyi Jimenez</t>
  </si>
  <si>
    <t>CUST0159</t>
  </si>
  <si>
    <t>Kunle Nielsen</t>
  </si>
  <si>
    <t>CUST0160</t>
  </si>
  <si>
    <t>Oghene Diaz</t>
  </si>
  <si>
    <t>CUST0161</t>
  </si>
  <si>
    <t>Michael Wilson</t>
  </si>
  <si>
    <t>CUST0162</t>
  </si>
  <si>
    <t>Grace Gallegos</t>
  </si>
  <si>
    <t>CUST0163</t>
  </si>
  <si>
    <t>Nura Jackson</t>
  </si>
  <si>
    <t>CUST0164</t>
  </si>
  <si>
    <t>Maryam Diaz</t>
  </si>
  <si>
    <t>CUST0165</t>
  </si>
  <si>
    <t>Oghene Allison</t>
  </si>
  <si>
    <t>CUST0166</t>
  </si>
  <si>
    <t>Sade Suarez</t>
  </si>
  <si>
    <t>CUST0167</t>
  </si>
  <si>
    <t>Ejiro Thomas</t>
  </si>
  <si>
    <t>CUST0168</t>
  </si>
  <si>
    <t>Abubakar Weiss</t>
  </si>
  <si>
    <t>CUST0169</t>
  </si>
  <si>
    <t>Maryam Dean</t>
  </si>
  <si>
    <t>CUST0170</t>
  </si>
  <si>
    <t>Amaka Whitaker</t>
  </si>
  <si>
    <t>CUST0171</t>
  </si>
  <si>
    <t>Maryam Dixon</t>
  </si>
  <si>
    <t>CUST0172</t>
  </si>
  <si>
    <t>Obinna Miller</t>
  </si>
  <si>
    <t>CUST0173</t>
  </si>
  <si>
    <t>Maryam Soto</t>
  </si>
  <si>
    <t>CUST0174</t>
  </si>
  <si>
    <t>Kunle Jones</t>
  </si>
  <si>
    <t>CUST0175</t>
  </si>
  <si>
    <t>Tamuno Patton</t>
  </si>
  <si>
    <t>CUST0176</t>
  </si>
  <si>
    <t>Maryam Martinez</t>
  </si>
  <si>
    <t>CUST0177</t>
  </si>
  <si>
    <t>Amina Johnson</t>
  </si>
  <si>
    <t>CUST0178</t>
  </si>
  <si>
    <t>Ejiro Johnson</t>
  </si>
  <si>
    <t>CUST0179</t>
  </si>
  <si>
    <t>Bola Curtis</t>
  </si>
  <si>
    <t>CUST0180</t>
  </si>
  <si>
    <t>Ese Haley</t>
  </si>
  <si>
    <t>CUST0181</t>
  </si>
  <si>
    <t>Halima Walker</t>
  </si>
  <si>
    <t>Lagos</t>
  </si>
  <si>
    <t>CUST0182</t>
  </si>
  <si>
    <t>Obinna Mills</t>
  </si>
  <si>
    <t>CUST0183</t>
  </si>
  <si>
    <t>CUST0184</t>
  </si>
  <si>
    <t>Ngozi Webb</t>
  </si>
  <si>
    <t>CUST0185</t>
  </si>
  <si>
    <t>Obinna Young</t>
  </si>
  <si>
    <t>CUST0186</t>
  </si>
  <si>
    <t>Halima Harrison</t>
  </si>
  <si>
    <t>CUST0187</t>
  </si>
  <si>
    <t>Chinedu Brown</t>
  </si>
  <si>
    <t>CUST0188</t>
  </si>
  <si>
    <t>Sade Cruz</t>
  </si>
  <si>
    <t>CUST0189</t>
  </si>
  <si>
    <t>Zainab Mcguire</t>
  </si>
  <si>
    <t>CUST0190</t>
  </si>
  <si>
    <t>Funke Thomas</t>
  </si>
  <si>
    <t>CUST0191</t>
  </si>
  <si>
    <t>Sarah Meyer</t>
  </si>
  <si>
    <t>CUST0192</t>
  </si>
  <si>
    <t>Oghene Schroeder</t>
  </si>
  <si>
    <t>CUST0193</t>
  </si>
  <si>
    <t>Sarah Thomas</t>
  </si>
  <si>
    <t>CUST0194</t>
  </si>
  <si>
    <t>Obinna Dunn</t>
  </si>
  <si>
    <t>CUST0195</t>
  </si>
  <si>
    <t>Oghene Munoz</t>
  </si>
  <si>
    <t>CUST0196</t>
  </si>
  <si>
    <t>Halima Burns</t>
  </si>
  <si>
    <t>CUST0197</t>
  </si>
  <si>
    <t>Ibim Murphy</t>
  </si>
  <si>
    <t>CUST0198</t>
  </si>
  <si>
    <t>Bola Potter</t>
  </si>
  <si>
    <t>CUST0199</t>
  </si>
  <si>
    <t>John Morales</t>
  </si>
  <si>
    <t>CUST0200</t>
  </si>
  <si>
    <t>Saidu Tucker</t>
  </si>
  <si>
    <t>CUST0201</t>
  </si>
  <si>
    <t>John Mcgrath</t>
  </si>
  <si>
    <t>CUST0202</t>
  </si>
  <si>
    <t>Shehu Hays</t>
  </si>
  <si>
    <t>CUST0203</t>
  </si>
  <si>
    <t>Ibim Castro</t>
  </si>
  <si>
    <t>CUST0204</t>
  </si>
  <si>
    <t>Obinna Patterson</t>
  </si>
  <si>
    <t>CUST0205</t>
  </si>
  <si>
    <t>Saidu Munoz</t>
  </si>
  <si>
    <t>CUST0206</t>
  </si>
  <si>
    <t>Ngozi Wood</t>
  </si>
  <si>
    <t>CUST0207</t>
  </si>
  <si>
    <t>Bola Miller</t>
  </si>
  <si>
    <t>CUST0208</t>
  </si>
  <si>
    <t>Ngozi Acevedo</t>
  </si>
  <si>
    <t>CUST0209</t>
  </si>
  <si>
    <t>Kunle Bird</t>
  </si>
  <si>
    <t>CUST0210</t>
  </si>
  <si>
    <t>Ejiro Gill</t>
  </si>
  <si>
    <t>CUST0211</t>
  </si>
  <si>
    <t>Alabo Clay</t>
  </si>
  <si>
    <t>CUST0212</t>
  </si>
  <si>
    <t>Michael Williams</t>
  </si>
  <si>
    <t>CUST0213</t>
  </si>
  <si>
    <t>Zainab Clark</t>
  </si>
  <si>
    <t>CUST0214</t>
  </si>
  <si>
    <t>Ese Cooper</t>
  </si>
  <si>
    <t>CUST0215</t>
  </si>
  <si>
    <t>Grace Figueroa</t>
  </si>
  <si>
    <t>CUST0216</t>
  </si>
  <si>
    <t>John Erickson</t>
  </si>
  <si>
    <t>CUST0217</t>
  </si>
  <si>
    <t>Kunle Collins</t>
  </si>
  <si>
    <t>CUST0218</t>
  </si>
  <si>
    <t>Zina Dawson</t>
  </si>
  <si>
    <t>CUST0219</t>
  </si>
  <si>
    <t>Fatima Scott</t>
  </si>
  <si>
    <t>CUST0220</t>
  </si>
  <si>
    <t>CUST0221</t>
  </si>
  <si>
    <t>Zina Cochran</t>
  </si>
  <si>
    <t>CUST0222</t>
  </si>
  <si>
    <t>Fatima Carpenter</t>
  </si>
  <si>
    <t>CUST0223</t>
  </si>
  <si>
    <t>Sade Howell</t>
  </si>
  <si>
    <t>CUST0224</t>
  </si>
  <si>
    <t>Sarah Stevens</t>
  </si>
  <si>
    <t>CUST0225</t>
  </si>
  <si>
    <t>Bala Cummings</t>
  </si>
  <si>
    <t>CUST0226</t>
  </si>
  <si>
    <t>Grace Carter</t>
  </si>
  <si>
    <t>CUST0227</t>
  </si>
  <si>
    <t>Ese Stewart</t>
  </si>
  <si>
    <t>CUST0228</t>
  </si>
  <si>
    <t>Zina Fuller</t>
  </si>
  <si>
    <t>CUST0229</t>
  </si>
  <si>
    <t>John Edwards</t>
  </si>
  <si>
    <t>CUST0230</t>
  </si>
  <si>
    <t>Ngozi Pierce</t>
  </si>
  <si>
    <t>CUST0231</t>
  </si>
  <si>
    <t>Sade Smith</t>
  </si>
  <si>
    <t>CUST0232</t>
  </si>
  <si>
    <t>Chinedu Hughes</t>
  </si>
  <si>
    <t>CUST0233</t>
  </si>
  <si>
    <t>John Benjamin</t>
  </si>
  <si>
    <t>CUST0234</t>
  </si>
  <si>
    <t>Bala Hardin</t>
  </si>
  <si>
    <t>CUST0235</t>
  </si>
  <si>
    <t>Michael Savage</t>
  </si>
  <si>
    <t>CUST0236</t>
  </si>
  <si>
    <t>Omamuzo Stephenson</t>
  </si>
  <si>
    <t>CUST0237</t>
  </si>
  <si>
    <t>Maryam Moore</t>
  </si>
  <si>
    <t>CUST0238</t>
  </si>
  <si>
    <t>John Patel</t>
  </si>
  <si>
    <t>CUST0239</t>
  </si>
  <si>
    <t>Bala Holt</t>
  </si>
  <si>
    <t>CUST0240</t>
  </si>
  <si>
    <t>Omamuzo Roberts</t>
  </si>
  <si>
    <t>CUST0241</t>
  </si>
  <si>
    <t>Bala Calhoun</t>
  </si>
  <si>
    <t>CUST0242</t>
  </si>
  <si>
    <t>CUST0243</t>
  </si>
  <si>
    <t>Chinedu Elliott</t>
  </si>
  <si>
    <t>CUST0244</t>
  </si>
  <si>
    <t>Ifeanyi Austin</t>
  </si>
  <si>
    <t>CUST0245</t>
  </si>
  <si>
    <t>Michael Jones</t>
  </si>
  <si>
    <t>CUST0246</t>
  </si>
  <si>
    <t>Fatima Foster</t>
  </si>
  <si>
    <t>CUST0247</t>
  </si>
  <si>
    <t>Chinedu Yates</t>
  </si>
  <si>
    <t>CUST0248</t>
  </si>
  <si>
    <t>Boma Peterson</t>
  </si>
  <si>
    <t>CUST0249</t>
  </si>
  <si>
    <t>Omamuzo Jones</t>
  </si>
  <si>
    <t>CUST0250</t>
  </si>
  <si>
    <t>Tamuno Lawrence</t>
  </si>
  <si>
    <t>CUST0251</t>
  </si>
  <si>
    <t>Zina Nicholson</t>
  </si>
  <si>
    <t>CUST0252</t>
  </si>
  <si>
    <t>Bala Graham</t>
  </si>
  <si>
    <t>CUST0253</t>
  </si>
  <si>
    <t>Zainab Blackwell</t>
  </si>
  <si>
    <t>CUST0254</t>
  </si>
  <si>
    <t>David Rodriguez</t>
  </si>
  <si>
    <t>CUST0255</t>
  </si>
  <si>
    <t>Ejiro Miller</t>
  </si>
  <si>
    <t>CUST0256</t>
  </si>
  <si>
    <t>Alabo Smith</t>
  </si>
  <si>
    <t>CUST0257</t>
  </si>
  <si>
    <t>Omamuzo Smith</t>
  </si>
  <si>
    <t>CUST0258</t>
  </si>
  <si>
    <t>Sarah Munoz</t>
  </si>
  <si>
    <t>CUST0259</t>
  </si>
  <si>
    <t>Ejiro Collins</t>
  </si>
  <si>
    <t>CUST0260</t>
  </si>
  <si>
    <t>Amina Johns</t>
  </si>
  <si>
    <t>CUST0261</t>
  </si>
  <si>
    <t>Obinna Simon</t>
  </si>
  <si>
    <t>CUST0262</t>
  </si>
  <si>
    <t>Funke Alexander</t>
  </si>
  <si>
    <t>CUST0263</t>
  </si>
  <si>
    <t>Sarah Fritz</t>
  </si>
  <si>
    <t>CUST0264</t>
  </si>
  <si>
    <t>CUST0265</t>
  </si>
  <si>
    <t>Saidu Martinez</t>
  </si>
  <si>
    <t>CUST0266</t>
  </si>
  <si>
    <t>Nura Hunter</t>
  </si>
  <si>
    <t>CUST0267</t>
  </si>
  <si>
    <t>Ejiro Mendoza</t>
  </si>
  <si>
    <t>CUST0268</t>
  </si>
  <si>
    <t>Michael Peterson</t>
  </si>
  <si>
    <t>CUST0269</t>
  </si>
  <si>
    <t>Tamuno Diaz</t>
  </si>
  <si>
    <t>CUST0270</t>
  </si>
  <si>
    <t>Michael Rodriguez</t>
  </si>
  <si>
    <t>CUST0271</t>
  </si>
  <si>
    <t>John Benson</t>
  </si>
  <si>
    <t>CUST0272</t>
  </si>
  <si>
    <t>Tega Cooper</t>
  </si>
  <si>
    <t>CUST0273</t>
  </si>
  <si>
    <t>Fatima Lewis</t>
  </si>
  <si>
    <t>CUST0274</t>
  </si>
  <si>
    <t>Bola Duffy</t>
  </si>
  <si>
    <t>CUST0275</t>
  </si>
  <si>
    <t>Zina Gallegos</t>
  </si>
  <si>
    <t>CUST0276</t>
  </si>
  <si>
    <t>Zainab Rogers</t>
  </si>
  <si>
    <t>CUST0277</t>
  </si>
  <si>
    <t>Ngozi Dunn</t>
  </si>
  <si>
    <t>CUST0278</t>
  </si>
  <si>
    <t>Amaka Johnson</t>
  </si>
  <si>
    <t>CUST0279</t>
  </si>
  <si>
    <t>Alabo Carlson</t>
  </si>
  <si>
    <t>CUST0280</t>
  </si>
  <si>
    <t>Grace Brock</t>
  </si>
  <si>
    <t>CUST0281</t>
  </si>
  <si>
    <t>Tamuno Ortiz</t>
  </si>
  <si>
    <t>CUST0282</t>
  </si>
  <si>
    <t>Alabo Chavez</t>
  </si>
  <si>
    <t>CUST0283</t>
  </si>
  <si>
    <t>Sarah Ballard</t>
  </si>
  <si>
    <t>CUST0284</t>
  </si>
  <si>
    <t>Funke Shaffer</t>
  </si>
  <si>
    <t>CUST0285</t>
  </si>
  <si>
    <t>Maryam Gates</t>
  </si>
  <si>
    <t>CUST0286</t>
  </si>
  <si>
    <t>David George</t>
  </si>
  <si>
    <t>CUST0287</t>
  </si>
  <si>
    <t>Omamuzo Rivera</t>
  </si>
  <si>
    <t>CUST0288</t>
  </si>
  <si>
    <t>Grace Chaney</t>
  </si>
  <si>
    <t>CUST0289</t>
  </si>
  <si>
    <t>CUST0290</t>
  </si>
  <si>
    <t>Sade Ryan</t>
  </si>
  <si>
    <t>CUST0291</t>
  </si>
  <si>
    <t>Halima Mahoney</t>
  </si>
  <si>
    <t>CUST0292</t>
  </si>
  <si>
    <t>Ese Rose</t>
  </si>
  <si>
    <t>CUST0293</t>
  </si>
  <si>
    <t>John Jones</t>
  </si>
  <si>
    <t>CUST0294</t>
  </si>
  <si>
    <t>Ese Bailey</t>
  </si>
  <si>
    <t>CUST0295</t>
  </si>
  <si>
    <t>David Higgins</t>
  </si>
  <si>
    <t>CUST0296</t>
  </si>
  <si>
    <t>Ejiro Scott</t>
  </si>
  <si>
    <t>CUST0297</t>
  </si>
  <si>
    <t>Bola Spencer</t>
  </si>
  <si>
    <t>CUST0298</t>
  </si>
  <si>
    <t>Grace Davis</t>
  </si>
  <si>
    <t>CUST0299</t>
  </si>
  <si>
    <t>Kunle Fuller</t>
  </si>
  <si>
    <t>CUST0300</t>
  </si>
  <si>
    <t>Ibim Wilkerson</t>
  </si>
  <si>
    <t>CUST0301</t>
  </si>
  <si>
    <t>Boma Knight</t>
  </si>
  <si>
    <t>CUST0302</t>
  </si>
  <si>
    <t>Tunde Wallace</t>
  </si>
  <si>
    <t>CUST0303</t>
  </si>
  <si>
    <t>Maryam Walker</t>
  </si>
  <si>
    <t>CUST0304</t>
  </si>
  <si>
    <t>Bola Castro</t>
  </si>
  <si>
    <t>CUST0305</t>
  </si>
  <si>
    <t>Sade Shepard</t>
  </si>
  <si>
    <t>CUST0306</t>
  </si>
  <si>
    <t>Alabo Cortez</t>
  </si>
  <si>
    <t>CUST0307</t>
  </si>
  <si>
    <t>Chinedu Hoffman</t>
  </si>
  <si>
    <t>CUST0308</t>
  </si>
  <si>
    <t>Sarah Flores</t>
  </si>
  <si>
    <t>CUST0309</t>
  </si>
  <si>
    <t>Alabo Guerra</t>
  </si>
  <si>
    <t>CUST0310</t>
  </si>
  <si>
    <t>Obinna Ballard</t>
  </si>
  <si>
    <t>CUST0311</t>
  </si>
  <si>
    <t>Fatima Freeman</t>
  </si>
  <si>
    <t>CUST0312</t>
  </si>
  <si>
    <t>Ejiro Barker</t>
  </si>
  <si>
    <t>CUST0313</t>
  </si>
  <si>
    <t>Maryam Hernandez</t>
  </si>
  <si>
    <t>CUST0314</t>
  </si>
  <si>
    <t>Omamuzo King</t>
  </si>
  <si>
    <t>CUST0315</t>
  </si>
  <si>
    <t>Obinna Anderson</t>
  </si>
  <si>
    <t>CUST0316</t>
  </si>
  <si>
    <t>Shehu Rogers</t>
  </si>
  <si>
    <t>CUST0317</t>
  </si>
  <si>
    <t>Zainab Shaw</t>
  </si>
  <si>
    <t>CUST0318</t>
  </si>
  <si>
    <t>John Martinez</t>
  </si>
  <si>
    <t>CUST0319</t>
  </si>
  <si>
    <t>Fatima Powell</t>
  </si>
  <si>
    <t>CUST0320</t>
  </si>
  <si>
    <t>Omamuzo Perez</t>
  </si>
  <si>
    <t>CUST0321</t>
  </si>
  <si>
    <t>Omamuzo Schwartz</t>
  </si>
  <si>
    <t>CUST0322</t>
  </si>
  <si>
    <t>Alabo Jackson</t>
  </si>
  <si>
    <t>CUST0323</t>
  </si>
  <si>
    <t>Amina Nguyen</t>
  </si>
  <si>
    <t>CUST0324</t>
  </si>
  <si>
    <t>Amina Taylor</t>
  </si>
  <si>
    <t>CUST0325</t>
  </si>
  <si>
    <t>Tunde Terry</t>
  </si>
  <si>
    <t>CUST0326</t>
  </si>
  <si>
    <t>Chinedu Krueger</t>
  </si>
  <si>
    <t>CUST0327</t>
  </si>
  <si>
    <t>Maryam Rhodes</t>
  </si>
  <si>
    <t>CUST0328</t>
  </si>
  <si>
    <t>Kunle Liu</t>
  </si>
  <si>
    <t>CUST0329</t>
  </si>
  <si>
    <t>Saidu Anderson</t>
  </si>
  <si>
    <t>CUST0330</t>
  </si>
  <si>
    <t>Ibim Harrison</t>
  </si>
  <si>
    <t>CUST0331</t>
  </si>
  <si>
    <t>Funke Francis</t>
  </si>
  <si>
    <t>CUST0332</t>
  </si>
  <si>
    <t>David Ward</t>
  </si>
  <si>
    <t>CUST0333</t>
  </si>
  <si>
    <t>Omamuzo Miller</t>
  </si>
  <si>
    <t>CUST0334</t>
  </si>
  <si>
    <t>Fatima Carter</t>
  </si>
  <si>
    <t>CUST0335</t>
  </si>
  <si>
    <t>Maryam Patterson</t>
  </si>
  <si>
    <t>CUST0336</t>
  </si>
  <si>
    <t>Chinedu Reynolds</t>
  </si>
  <si>
    <t>CUST0337</t>
  </si>
  <si>
    <t>Ifeanyi Cunningham</t>
  </si>
  <si>
    <t>CUST0338</t>
  </si>
  <si>
    <t>David Crosby</t>
  </si>
  <si>
    <t>CUST0339</t>
  </si>
  <si>
    <t>CUST0340</t>
  </si>
  <si>
    <t>Obinna Thomas</t>
  </si>
  <si>
    <t>CUST0341</t>
  </si>
  <si>
    <t>Zina Valenzuela</t>
  </si>
  <si>
    <t>CUST0342</t>
  </si>
  <si>
    <t>Omamuzo Holmes</t>
  </si>
  <si>
    <t>CUST0343</t>
  </si>
  <si>
    <t>Zina Diaz</t>
  </si>
  <si>
    <t>CUST0344</t>
  </si>
  <si>
    <t>Alabo Baker</t>
  </si>
  <si>
    <t>CUST0345</t>
  </si>
  <si>
    <t>Sade Mercer</t>
  </si>
  <si>
    <t>CUST0346</t>
  </si>
  <si>
    <t>Ese Harper</t>
  </si>
  <si>
    <t>CUST0347</t>
  </si>
  <si>
    <t>Abubakar Mcknight</t>
  </si>
  <si>
    <t>CUST0348</t>
  </si>
  <si>
    <t>Boma Anderson</t>
  </si>
  <si>
    <t>CUST0349</t>
  </si>
  <si>
    <t>Michael Smith</t>
  </si>
  <si>
    <t>CUST0350</t>
  </si>
  <si>
    <t>Zainab Compton</t>
  </si>
  <si>
    <t>CUST0351</t>
  </si>
  <si>
    <t>Ibim Mills</t>
  </si>
  <si>
    <t>CUST0352</t>
  </si>
  <si>
    <t>Zainab Rivera</t>
  </si>
  <si>
    <t>CUST0353</t>
  </si>
  <si>
    <t>Bola Patterson</t>
  </si>
  <si>
    <t>CUST0354</t>
  </si>
  <si>
    <t>Sade Brown</t>
  </si>
  <si>
    <t>CUST0355</t>
  </si>
  <si>
    <t>Abubakar Martin</t>
  </si>
  <si>
    <t>CUST0356</t>
  </si>
  <si>
    <t>Bala Gibson</t>
  </si>
  <si>
    <t>CUST0357</t>
  </si>
  <si>
    <t>Oghene Winters</t>
  </si>
  <si>
    <t>CUST0358</t>
  </si>
  <si>
    <t>Chinedu Smith</t>
  </si>
  <si>
    <t>CUST0359</t>
  </si>
  <si>
    <t>Omamuzo Juarez</t>
  </si>
  <si>
    <t>CUST0360</t>
  </si>
  <si>
    <t>Fatima Webb</t>
  </si>
  <si>
    <t>CUST0361</t>
  </si>
  <si>
    <t>Obinna Andrews</t>
  </si>
  <si>
    <t>CUST0362</t>
  </si>
  <si>
    <t>Sade Donaldson</t>
  </si>
  <si>
    <t>CUST0363</t>
  </si>
  <si>
    <t>Omamuzo Alexander</t>
  </si>
  <si>
    <t>CUST0364</t>
  </si>
  <si>
    <t>Maryam Harmon</t>
  </si>
  <si>
    <t>CUST0365</t>
  </si>
  <si>
    <t>Kunle Myers</t>
  </si>
  <si>
    <t>CUST0366</t>
  </si>
  <si>
    <t>Kunle Brady</t>
  </si>
  <si>
    <t>CUST0367</t>
  </si>
  <si>
    <t>Bola Carpenter</t>
  </si>
  <si>
    <t>CUST0368</t>
  </si>
  <si>
    <t>Bola Meadows</t>
  </si>
  <si>
    <t>CUST0369</t>
  </si>
  <si>
    <t>Abubakar Rodriguez</t>
  </si>
  <si>
    <t>CUST0370</t>
  </si>
  <si>
    <t>Oghene Bush</t>
  </si>
  <si>
    <t>CUST0371</t>
  </si>
  <si>
    <t>Grace Wilkerson</t>
  </si>
  <si>
    <t>CUST0372</t>
  </si>
  <si>
    <t>Grace Salas</t>
  </si>
  <si>
    <t>CUST0373</t>
  </si>
  <si>
    <t>Ibim Adams</t>
  </si>
  <si>
    <t>CUST0374</t>
  </si>
  <si>
    <t>Oghene Oliver</t>
  </si>
  <si>
    <t>CUST0375</t>
  </si>
  <si>
    <t>Nura Oconnell</t>
  </si>
  <si>
    <t>CUST0376</t>
  </si>
  <si>
    <t>CUST0377</t>
  </si>
  <si>
    <t>Chinedu Christian</t>
  </si>
  <si>
    <t>CUST0378</t>
  </si>
  <si>
    <t>Funke Carlson</t>
  </si>
  <si>
    <t>CUST0379</t>
  </si>
  <si>
    <t>Sarah Woods</t>
  </si>
  <si>
    <t>CUST0380</t>
  </si>
  <si>
    <t>Michael Jacobs</t>
  </si>
  <si>
    <t>CUST0381</t>
  </si>
  <si>
    <t>David Murphy</t>
  </si>
  <si>
    <t>CUST0382</t>
  </si>
  <si>
    <t>Ifeanyi Cooper</t>
  </si>
  <si>
    <t>CUST0383</t>
  </si>
  <si>
    <t>Kunle Manning</t>
  </si>
  <si>
    <t>CUST0384</t>
  </si>
  <si>
    <t>Nura Rodriguez</t>
  </si>
  <si>
    <t>CUST0385</t>
  </si>
  <si>
    <t>Sade George</t>
  </si>
  <si>
    <t>CUST0386</t>
  </si>
  <si>
    <t>Shehu Torres</t>
  </si>
  <si>
    <t>CUST0387</t>
  </si>
  <si>
    <t>Grace Walsh</t>
  </si>
  <si>
    <t>CUST0388</t>
  </si>
  <si>
    <t>Tega Cervantes</t>
  </si>
  <si>
    <t>CUST0389</t>
  </si>
  <si>
    <t>Bala Dunn</t>
  </si>
  <si>
    <t>CUST0390</t>
  </si>
  <si>
    <t>Ejiro Gonzalez</t>
  </si>
  <si>
    <t>CUST0391</t>
  </si>
  <si>
    <t>Ibim Schwartz</t>
  </si>
  <si>
    <t>CUST0392</t>
  </si>
  <si>
    <t>Abubakar Hayes</t>
  </si>
  <si>
    <t>CUST0393</t>
  </si>
  <si>
    <t>Ibim Ballard</t>
  </si>
  <si>
    <t>CUST0394</t>
  </si>
  <si>
    <t>John Nielsen</t>
  </si>
  <si>
    <t>CUST0395</t>
  </si>
  <si>
    <t>Oghene Pacheco</t>
  </si>
  <si>
    <t>CUST0396</t>
  </si>
  <si>
    <t>Ngozi Johnson</t>
  </si>
  <si>
    <t>CUST0397</t>
  </si>
  <si>
    <t>Sarah Perry</t>
  </si>
  <si>
    <t>CUST0398</t>
  </si>
  <si>
    <t>Amaka Shannon</t>
  </si>
  <si>
    <t>CUST0399</t>
  </si>
  <si>
    <t>Nura Delgado</t>
  </si>
  <si>
    <t>CUST0400</t>
  </si>
  <si>
    <t>Bola Vincent</t>
  </si>
  <si>
    <t>CUST0401</t>
  </si>
  <si>
    <t>Ifeanyi Adkins</t>
  </si>
  <si>
    <t>CUST0402</t>
  </si>
  <si>
    <t>Sarah Oconnor</t>
  </si>
  <si>
    <t>CUST0403</t>
  </si>
  <si>
    <t>Ibim Soto</t>
  </si>
  <si>
    <t>CUST0404</t>
  </si>
  <si>
    <t>Maryam Buck</t>
  </si>
  <si>
    <t>CUST0405</t>
  </si>
  <si>
    <t>CUST0406</t>
  </si>
  <si>
    <t>Zainab Soto</t>
  </si>
  <si>
    <t>CUST0407</t>
  </si>
  <si>
    <t>Grace Thompson</t>
  </si>
  <si>
    <t>CUST0408</t>
  </si>
  <si>
    <t>Obinna Daniels</t>
  </si>
  <si>
    <t>CUST0409</t>
  </si>
  <si>
    <t>Boma Burns</t>
  </si>
  <si>
    <t>CUST0410</t>
  </si>
  <si>
    <t>Grace Snyder</t>
  </si>
  <si>
    <t>CUST0411</t>
  </si>
  <si>
    <t>Abubakar Lane</t>
  </si>
  <si>
    <t>CUST0412</t>
  </si>
  <si>
    <t>Oghene Bartlett</t>
  </si>
  <si>
    <t>CUST0413</t>
  </si>
  <si>
    <t>David Giles</t>
  </si>
  <si>
    <t>CUST0414</t>
  </si>
  <si>
    <t>Ngozi Williams</t>
  </si>
  <si>
    <t>CUST0415</t>
  </si>
  <si>
    <t>Maryam Anthony</t>
  </si>
  <si>
    <t>CUST0416</t>
  </si>
  <si>
    <t>Maryam Blankenship</t>
  </si>
  <si>
    <t>CUST0417</t>
  </si>
  <si>
    <t>Zina Hernandez</t>
  </si>
  <si>
    <t>CUST0418</t>
  </si>
  <si>
    <t>Boma Johnson</t>
  </si>
  <si>
    <t>CUST0419</t>
  </si>
  <si>
    <t>Boma Sanchez</t>
  </si>
  <si>
    <t>CUST0420</t>
  </si>
  <si>
    <t>Ese Miller</t>
  </si>
  <si>
    <t>CUST0421</t>
  </si>
  <si>
    <t>Tega Stokes</t>
  </si>
  <si>
    <t>CUST0422</t>
  </si>
  <si>
    <t>John Smith</t>
  </si>
  <si>
    <t>CUST0423</t>
  </si>
  <si>
    <t>Saidu Smith</t>
  </si>
  <si>
    <t>CUST0424</t>
  </si>
  <si>
    <t>Maryam Becker</t>
  </si>
  <si>
    <t>CUST0425</t>
  </si>
  <si>
    <t>Amina Ortega</t>
  </si>
  <si>
    <t>CUST0426</t>
  </si>
  <si>
    <t>Ese Mathis</t>
  </si>
  <si>
    <t>CUST0427</t>
  </si>
  <si>
    <t>Chinedu West</t>
  </si>
  <si>
    <t>CUST0428</t>
  </si>
  <si>
    <t>Amina Skinner</t>
  </si>
  <si>
    <t>CUST0429</t>
  </si>
  <si>
    <t>CUST0430</t>
  </si>
  <si>
    <t>Funke Lawson</t>
  </si>
  <si>
    <t>CUST0431</t>
  </si>
  <si>
    <t>Kunle Cooper</t>
  </si>
  <si>
    <t>CUST0432</t>
  </si>
  <si>
    <t>Amina Espinoza</t>
  </si>
  <si>
    <t>CUST0433</t>
  </si>
  <si>
    <t>Saidu Whitehead</t>
  </si>
  <si>
    <t>CUST0434</t>
  </si>
  <si>
    <t>John Williams</t>
  </si>
  <si>
    <t>CUST0435</t>
  </si>
  <si>
    <t>Michael Santana</t>
  </si>
  <si>
    <t>CUST0436</t>
  </si>
  <si>
    <t>Abubakar Bullock</t>
  </si>
  <si>
    <t>CUST0437</t>
  </si>
  <si>
    <t>Alabo Young</t>
  </si>
  <si>
    <t>CUST0438</t>
  </si>
  <si>
    <t>Chinedu Ramos</t>
  </si>
  <si>
    <t>CUST0439</t>
  </si>
  <si>
    <t>Ifeanyi Zimmerman</t>
  </si>
  <si>
    <t>CUST0440</t>
  </si>
  <si>
    <t>John Carter</t>
  </si>
  <si>
    <t>CUST0441</t>
  </si>
  <si>
    <t>Grace Williams</t>
  </si>
  <si>
    <t>CUST0442</t>
  </si>
  <si>
    <t>Sade Johnson</t>
  </si>
  <si>
    <t>CUST0443</t>
  </si>
  <si>
    <t>Bola Wright</t>
  </si>
  <si>
    <t>CUST0444</t>
  </si>
  <si>
    <t>Boma Shah</t>
  </si>
  <si>
    <t>CUST0445</t>
  </si>
  <si>
    <t>Ejiro Wagner</t>
  </si>
  <si>
    <t>CUST0446</t>
  </si>
  <si>
    <t>Halima Lambert</t>
  </si>
  <si>
    <t>CUST0447</t>
  </si>
  <si>
    <t>Grace Hudson</t>
  </si>
  <si>
    <t>CUST0448</t>
  </si>
  <si>
    <t>Abubakar Ryan</t>
  </si>
  <si>
    <t>CUST0449</t>
  </si>
  <si>
    <t>Funke Chung</t>
  </si>
  <si>
    <t>CUST0450</t>
  </si>
  <si>
    <t>Fatima Curtis</t>
  </si>
  <si>
    <t>CUST0451</t>
  </si>
  <si>
    <t>Sade Baker</t>
  </si>
  <si>
    <t>CUST0452</t>
  </si>
  <si>
    <t>Saidu Jackson</t>
  </si>
  <si>
    <t>CUST0453</t>
  </si>
  <si>
    <t>Michael Madden</t>
  </si>
  <si>
    <t>CUST0454</t>
  </si>
  <si>
    <t>Tunde Fuller</t>
  </si>
  <si>
    <t>CUST0455</t>
  </si>
  <si>
    <t>Boma Baker</t>
  </si>
  <si>
    <t>CUST0456</t>
  </si>
  <si>
    <t>Amina Diaz</t>
  </si>
  <si>
    <t>CUST0457</t>
  </si>
  <si>
    <t>Maryam Martin</t>
  </si>
  <si>
    <t>CUST0458</t>
  </si>
  <si>
    <t>Alabo Bradley</t>
  </si>
  <si>
    <t>CUST0460</t>
  </si>
  <si>
    <t>Ejiro Martin</t>
  </si>
  <si>
    <t>CUST0461</t>
  </si>
  <si>
    <t>CUST0462</t>
  </si>
  <si>
    <t>Ejiro Brown</t>
  </si>
  <si>
    <t>CUST0463</t>
  </si>
  <si>
    <t>Grace Bell</t>
  </si>
  <si>
    <t>CUST0464</t>
  </si>
  <si>
    <t>Ifeanyi Smith</t>
  </si>
  <si>
    <t>CUST0465</t>
  </si>
  <si>
    <t>Abubakar Ross</t>
  </si>
  <si>
    <t>CUST0466</t>
  </si>
  <si>
    <t>Alabo Escobar</t>
  </si>
  <si>
    <t>CUST0467</t>
  </si>
  <si>
    <t>Ibim Hunter</t>
  </si>
  <si>
    <t>CUST0468</t>
  </si>
  <si>
    <t>David Boone</t>
  </si>
  <si>
    <t>CUST0469</t>
  </si>
  <si>
    <t>Halima Matthews</t>
  </si>
  <si>
    <t>CUST0470</t>
  </si>
  <si>
    <t>Sarah Gordon</t>
  </si>
  <si>
    <t>CUST0471</t>
  </si>
  <si>
    <t>Sade Wagner</t>
  </si>
  <si>
    <t>CUST0472</t>
  </si>
  <si>
    <t>Halima Adams</t>
  </si>
  <si>
    <t>CUST0473</t>
  </si>
  <si>
    <t>Amaka Jackson</t>
  </si>
  <si>
    <t>CUST0474</t>
  </si>
  <si>
    <t>Alabo Moreno</t>
  </si>
  <si>
    <t>CUST0475</t>
  </si>
  <si>
    <t>David Park</t>
  </si>
  <si>
    <t>CUST0476</t>
  </si>
  <si>
    <t>Zainab Lam</t>
  </si>
  <si>
    <t>CUST0478</t>
  </si>
  <si>
    <t>Ifeanyi Ballard</t>
  </si>
  <si>
    <t>CUST0479</t>
  </si>
  <si>
    <t>Ejiro Stewart</t>
  </si>
  <si>
    <t>CUST0480</t>
  </si>
  <si>
    <t>Kunle Goodwin</t>
  </si>
  <si>
    <t>CUST0481</t>
  </si>
  <si>
    <t>Sade Reed</t>
  </si>
  <si>
    <t>CUST0482</t>
  </si>
  <si>
    <t>CUST0484</t>
  </si>
  <si>
    <t>Ngozi Chan</t>
  </si>
  <si>
    <t>CUST0485</t>
  </si>
  <si>
    <t>Alabo Anderson</t>
  </si>
  <si>
    <t>CUST0486</t>
  </si>
  <si>
    <t>Tamuno Hudson</t>
  </si>
  <si>
    <t>CUST0487</t>
  </si>
  <si>
    <t>Kunle Gilmore</t>
  </si>
  <si>
    <t>CUST0488</t>
  </si>
  <si>
    <t>CUST0489</t>
  </si>
  <si>
    <t>Oghene Wilson</t>
  </si>
  <si>
    <t>CUST0490</t>
  </si>
  <si>
    <t>Nura Cox</t>
  </si>
  <si>
    <t>CUST0491</t>
  </si>
  <si>
    <t>Funke Smith</t>
  </si>
  <si>
    <t>CUST0492</t>
  </si>
  <si>
    <t>Tega Kim</t>
  </si>
  <si>
    <t>CUST0493</t>
  </si>
  <si>
    <t>Tega Fischer</t>
  </si>
  <si>
    <t>CUST0494</t>
  </si>
  <si>
    <t>Halima Martin</t>
  </si>
  <si>
    <t>CUST0495</t>
  </si>
  <si>
    <t>Kunle Brown</t>
  </si>
  <si>
    <t>CUST0496</t>
  </si>
  <si>
    <t>Grace Matthews</t>
  </si>
  <si>
    <t>CUST0497</t>
  </si>
  <si>
    <t>Saidu Baker</t>
  </si>
  <si>
    <t>CUST0498</t>
  </si>
  <si>
    <t>Shehu Harris</t>
  </si>
  <si>
    <t>CUST0499</t>
  </si>
  <si>
    <t>Tega Hood</t>
  </si>
  <si>
    <t>CUST0500</t>
  </si>
  <si>
    <t>Oghene Hamilton</t>
  </si>
  <si>
    <t>Age Group</t>
  </si>
  <si>
    <t>Customer Tenure Group</t>
  </si>
  <si>
    <t>Row Labels</t>
  </si>
  <si>
    <t>Count of Customer ID</t>
  </si>
  <si>
    <t>KPIs</t>
  </si>
  <si>
    <t>2. Churn by Subscription Plan</t>
  </si>
  <si>
    <t>Total Customers</t>
  </si>
  <si>
    <t>1. Overall Churn Rate and Customer Retention Rate</t>
  </si>
  <si>
    <t>Column Labels</t>
  </si>
  <si>
    <t>3. Total Revenue by Churn Status</t>
  </si>
  <si>
    <t>Sum of Total Revenue</t>
  </si>
  <si>
    <t>6. Churn by Device Type</t>
  </si>
  <si>
    <t>30-44</t>
  </si>
  <si>
    <t>60+</t>
  </si>
  <si>
    <t>45-59</t>
  </si>
  <si>
    <t>18-29</t>
  </si>
  <si>
    <t>&lt;18</t>
  </si>
  <si>
    <t>7. Churn by State</t>
  </si>
  <si>
    <t>N/A</t>
  </si>
  <si>
    <t>REVENUE LOST + Churn by Age Group</t>
  </si>
  <si>
    <t>Reason for Churn</t>
  </si>
  <si>
    <t>Cummulative %</t>
  </si>
  <si>
    <t>Churn Reasons</t>
  </si>
  <si>
    <t>Customer Count</t>
  </si>
  <si>
    <t>0-6 months</t>
  </si>
  <si>
    <t>7-12 months</t>
  </si>
  <si>
    <t>1-2 years</t>
  </si>
  <si>
    <t>2+ years</t>
  </si>
  <si>
    <t>States</t>
  </si>
  <si>
    <t>Churned Customers</t>
  </si>
  <si>
    <t>Churn by Gender</t>
  </si>
  <si>
    <t>Unique Customers</t>
  </si>
  <si>
    <t>Sum of Unique Customers</t>
  </si>
  <si>
    <t>Sum of Unique Customers2</t>
  </si>
  <si>
    <t>Months (Date of Purchase)</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</si>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</sst>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6A]#,##0.00;\-[$₦-46A]#,##0.00"/>
    <numFmt numFmtId="165" formatCode="[$₦-46A]#,##0.00"/>
    <numFmt numFmtId="166" formatCode="[&gt;=1000000]&quot;₦&quot;#,##0,,&quot;M&quot;;[&gt;=1000]&quot;₦&quot;#,##0,&quot;K&quot;;&quot;₦&quot;#,##0"/>
    <numFmt numFmtId="167" formatCode="[$₦-46A]#,##0"/>
    <numFmt numFmtId="168"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64" fontId="0" fillId="0" borderId="0" xfId="0" applyNumberFormat="1"/>
    <xf numFmtId="14" fontId="0" fillId="0" borderId="0" xfId="0" applyNumberFormat="1"/>
    <xf numFmtId="0" fontId="0" fillId="0" borderId="0" xfId="0" applyAlignment="1"/>
    <xf numFmtId="0" fontId="16" fillId="33" borderId="0" xfId="0" applyFont="1" applyFill="1" applyAlignment="1"/>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10" fontId="0" fillId="0" borderId="0" xfId="0" applyNumberFormat="1"/>
    <xf numFmtId="0" fontId="16" fillId="0" borderId="0" xfId="0" applyFont="1" applyFill="1" applyAlignment="1"/>
    <xf numFmtId="165" fontId="0" fillId="0" borderId="0" xfId="0" applyNumberFormat="1"/>
    <xf numFmtId="0" fontId="0" fillId="0" borderId="0" xfId="0" applyFill="1" applyAlignment="1">
      <alignment horizontal="left"/>
    </xf>
    <xf numFmtId="0" fontId="0" fillId="0" borderId="0" xfId="0" applyNumberFormat="1" applyFill="1"/>
    <xf numFmtId="0" fontId="16" fillId="0" borderId="0" xfId="0" applyFont="1" applyFill="1" applyAlignment="1">
      <alignment horizontal="left"/>
    </xf>
    <xf numFmtId="0" fontId="0" fillId="34" borderId="0" xfId="0" applyFill="1"/>
    <xf numFmtId="0" fontId="0" fillId="0" borderId="0" xfId="0" applyFill="1"/>
    <xf numFmtId="166" fontId="0" fillId="0" borderId="0" xfId="0" applyNumberFormat="1"/>
    <xf numFmtId="10" fontId="0" fillId="0" borderId="0" xfId="0" applyNumberFormat="1" applyFill="1"/>
    <xf numFmtId="166" fontId="0" fillId="0" borderId="0" xfId="0" applyNumberFormat="1" applyFill="1"/>
    <xf numFmtId="167" fontId="0" fillId="0" borderId="0" xfId="0" applyNumberFormat="1"/>
    <xf numFmtId="49" fontId="0" fillId="0" borderId="0" xfId="0" applyNumberForma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4">
    <dxf>
      <numFmt numFmtId="14" formatCode="0.00%"/>
    </dxf>
    <dxf>
      <numFmt numFmtId="0" formatCode="General"/>
    </dxf>
    <dxf>
      <alignment horizontal="left" vertical="bottom" textRotation="0" wrapText="0" indent="0" justifyLastLine="0" shrinkToFit="0" readingOrder="0"/>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0" formatCode="Genera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numFmt numFmtId="166" formatCode="[&gt;=1000000]&quot;₦&quot;#,##0,,&quot;M&quot;;[&gt;=1000]&quot;₦&quot;#,##0,&quot;K&quot;;&quot;₦&quot;#,##0"/>
    </dxf>
    <dxf>
      <fill>
        <patternFill patternType="solid">
          <bgColor rgb="FFFFFF00"/>
        </patternFill>
      </fill>
    </dxf>
    <dxf>
      <fill>
        <patternFill patternType="solid">
          <bgColor rgb="FFFFFF00"/>
        </patternFill>
      </fill>
    </dxf>
    <dxf>
      <numFmt numFmtId="14" formatCode="0.00%"/>
    </dxf>
    <dxf>
      <fill>
        <patternFill patternType="solid">
          <fgColor indexed="64"/>
          <bgColor rgb="FFFFFF00"/>
        </patternFill>
      </fill>
    </dxf>
    <dxf>
      <fill>
        <patternFill patternType="solid">
          <fgColor indexed="64"/>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0" formatCode="General"/>
    </dxf>
    <dxf>
      <fill>
        <patternFill patternType="solid">
          <bgColor rgb="FFFFFF00"/>
        </patternFill>
      </fill>
    </dxf>
    <dxf>
      <fill>
        <patternFill patternType="solid">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0" formatCode="General"/>
    </dxf>
    <dxf>
      <fill>
        <patternFill patternType="solid">
          <bgColor rgb="FFFFFF00"/>
        </patternFill>
      </fill>
    </dxf>
    <dxf>
      <fill>
        <patternFill patternType="solid">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166" formatCode="[&gt;=1000000]&quot;₦&quot;#,##0,,&quot;M&quot;;[&gt;=1000]&quot;₦&quot;#,##0,&quot;K&quot;;&quot;₦&quot;#,##0"/>
    </dxf>
    <dxf>
      <fill>
        <patternFill patternType="solid">
          <fgColor indexed="64"/>
          <bgColor rgb="FFFFFF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0" formatCode="Genera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0" formatCode="General"/>
    </dxf>
    <dxf>
      <fill>
        <patternFill patternType="solid">
          <bgColor rgb="FFFFFF00"/>
        </patternFill>
      </fill>
    </dxf>
    <dxf>
      <fill>
        <patternFill patternType="solid">
          <bgColor rgb="FFFFFF00"/>
        </patternFill>
      </fill>
    </dxf>
    <dxf>
      <numFmt numFmtId="14" formatCode="0.00%"/>
    </dxf>
    <dxf>
      <numFmt numFmtId="168" formatCode="&quot;$&quot;#,##0.00"/>
    </dxf>
    <dxf>
      <numFmt numFmtId="166" formatCode="[&gt;=1000000]&quot;₦&quot;#,##0,,&quot;M&quot;;[&gt;=1000]&quot;₦&quot;#,##0,&quot;K&quot;;&quot;₦&quot;#,##0"/>
    </dxf>
    <dxf>
      <numFmt numFmtId="165" formatCode="[$₦-46A]#,##0.00"/>
    </dxf>
    <dxf>
      <fill>
        <patternFill patternType="solid">
          <bgColor rgb="FFFFFF00"/>
        </patternFill>
      </fill>
    </dxf>
    <dxf>
      <fill>
        <patternFill patternType="solid">
          <bgColor rgb="FFFFFF00"/>
        </patternFill>
      </fill>
    </dxf>
    <dxf>
      <numFmt numFmtId="166" formatCode="[&gt;=1000000]&quot;₦&quot;#,##0,,&quot;M&quot;;[&gt;=1000]&quot;₦&quot;#,##0,&quot;K&quot;;&quot;₦&quot;#,##0"/>
    </dxf>
    <dxf>
      <numFmt numFmtId="165" formatCode="[$₦-46A]#,##0.00"/>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46A]#,##0.00;\-[$₦-46A]#,##0.00"/>
    </dxf>
    <dxf>
      <numFmt numFmtId="164" formatCode="[$₦-46A]#,##0.00;\-[$₦-46A]#,##0.00"/>
    </dxf>
    <dxf>
      <numFmt numFmtId="0" formatCode="General"/>
    </dxf>
    <dxf>
      <numFmt numFmtId="0" formatCode="General"/>
    </dxf>
    <dxf>
      <numFmt numFmtId="19" formatCode="m/d/yyyy"/>
    </dxf>
    <dxf>
      <numFmt numFmtId="0" formatCode="General"/>
    </dxf>
    <dxf>
      <numFmt numFmtId="30" formatCode="@"/>
    </dxf>
    <dxf>
      <font>
        <b/>
        <i val="0"/>
        <sz val="18"/>
        <color theme="0"/>
        <name val="Aptos Narrow"/>
        <family val="2"/>
        <scheme val="minor"/>
      </font>
      <border diagonalUp="0" diagonalDown="0">
        <left/>
        <right/>
        <top/>
        <bottom/>
        <vertical/>
        <horizontal/>
      </border>
    </dxf>
    <dxf>
      <font>
        <b/>
        <i val="0"/>
        <sz val="18"/>
        <color theme="0"/>
        <name val="Aptos Narrow"/>
        <family val="2"/>
        <scheme val="minor"/>
      </font>
      <fill>
        <patternFill patternType="solid">
          <fgColor theme="0"/>
          <bgColor theme="2" tint="-0.749961851863155"/>
        </patternFill>
      </fill>
      <border diagonalUp="0" diagonalDown="0">
        <left/>
        <right/>
        <top/>
        <bottom/>
        <vertical/>
        <horizontal/>
      </border>
    </dxf>
    <dxf>
      <font>
        <b/>
        <i val="0"/>
        <sz val="18"/>
        <color theme="0"/>
        <name val="Aptos Narrow"/>
        <family val="2"/>
        <scheme val="minor"/>
      </font>
      <fill>
        <patternFill patternType="solid">
          <bgColor theme="2" tint="-0.749961851863155"/>
        </patternFill>
      </fill>
      <border diagonalUp="0" diagonalDown="0">
        <left/>
        <right/>
        <top/>
        <bottom/>
        <vertical/>
        <horizontal/>
      </border>
    </dxf>
    <dxf>
      <font>
        <b/>
        <i val="0"/>
        <sz val="18"/>
        <color theme="0"/>
        <name val="Aptos Narrow"/>
        <family val="2"/>
        <scheme val="minor"/>
      </font>
      <border diagonalUp="0" diagonalDown="0">
        <left/>
        <right/>
        <top/>
        <bottom/>
        <vertical/>
        <horizontal/>
      </border>
    </dxf>
    <dxf>
      <font>
        <b/>
        <i val="0"/>
        <sz val="18"/>
        <color theme="0"/>
        <name val="Aptos Narrow"/>
        <family val="2"/>
        <scheme val="minor"/>
      </font>
      <fill>
        <patternFill patternType="solid">
          <fgColor theme="0"/>
          <bgColor theme="2" tint="-0.749961851863155"/>
        </patternFill>
      </fill>
      <border diagonalUp="0" diagonalDown="0">
        <left/>
        <right/>
        <top/>
        <bottom/>
        <vertical/>
        <horizontal/>
      </border>
    </dxf>
    <dxf>
      <font>
        <b/>
        <i val="0"/>
        <sz val="18"/>
        <color theme="0"/>
        <name val="Aptos Narrow"/>
        <family val="2"/>
        <scheme val="minor"/>
      </font>
      <fill>
        <patternFill patternType="solid">
          <bgColor theme="2" tint="-0.749961851863155"/>
        </patternFill>
      </fill>
      <border diagonalUp="0" diagonalDown="0">
        <left/>
        <right/>
        <top/>
        <bottom/>
        <vertical/>
        <horizontal/>
      </border>
    </dxf>
    <dxf>
      <font>
        <b/>
        <i val="0"/>
        <sz val="18"/>
        <color theme="0"/>
        <name val="Aptos Narrow"/>
        <family val="2"/>
        <scheme val="minor"/>
      </font>
      <fill>
        <patternFill patternType="solid">
          <bgColor theme="2" tint="-0.749961851863155"/>
        </patternFill>
      </fill>
      <border diagonalUp="0" diagonalDown="0">
        <left/>
        <right/>
        <top/>
        <bottom/>
        <vertical/>
        <horizontal/>
      </border>
    </dxf>
  </dxfs>
  <tableStyles count="5" defaultTableStyle="TableStyleMedium2" defaultPivotStyle="PivotStyleLight16">
    <tableStyle name="Duplicate" pivot="0" table="0" count="3" xr9:uid="{4D16EC86-6E8C-4E2B-8960-6CEBB9E32895}">
      <tableStyleElement type="wholeTable" dxfId="103"/>
    </tableStyle>
    <tableStyle name="Duplicate 2" pivot="0" table="0" count="3" xr9:uid="{A91829D6-C9F0-4E95-B65B-472F565B3232}">
      <tableStyleElement type="wholeTable" dxfId="102"/>
    </tableStyle>
    <tableStyle name="Duplicate Timeline" pivot="0" table="0" count="8" xr9:uid="{6D298B6A-E179-41D7-9EDE-CB769422FAF8}">
      <tableStyleElement type="wholeTable" dxfId="101"/>
      <tableStyleElement type="headerRow" dxfId="100"/>
    </tableStyle>
    <tableStyle name="Slicer Style 1" pivot="0" table="0" count="3" xr9:uid="{81854977-6784-44EE-8DCD-5B5C9F20C87E}">
      <tableStyleElement type="wholeTable" dxfId="99"/>
    </tableStyle>
    <tableStyle name="Timeline Style 1" pivot="0" table="0" count="8" xr9:uid="{80E668BF-8170-47A3-91F0-D3CB0CEDC99F}">
      <tableStyleElement type="wholeTable" dxfId="98"/>
      <tableStyleElement type="headerRow" dxfId="97"/>
    </tableStyle>
  </tableStyles>
  <colors>
    <mruColors>
      <color rgb="FFE2E2E2"/>
      <color rgb="FFFAF8AA"/>
    </mruColors>
  </colors>
  <extLst>
    <ext xmlns:x14="http://schemas.microsoft.com/office/spreadsheetml/2009/9/main" uri="{46F421CA-312F-682f-3DD2-61675219B42D}">
      <x14:dxfs count="6">
        <dxf>
          <font>
            <b/>
            <i val="0"/>
            <sz val="18"/>
            <color theme="0"/>
            <name val="Aptos Narrow"/>
            <family val="2"/>
            <scheme val="minor"/>
          </font>
          <fill>
            <patternFill>
              <bgColor rgb="FFFFC000"/>
            </patternFill>
          </fill>
        </dxf>
        <dxf>
          <font>
            <b/>
            <i val="0"/>
            <strike val="0"/>
            <sz val="18"/>
            <color theme="0"/>
            <name val="Aptos Narrow"/>
            <family val="2"/>
            <scheme val="minor"/>
          </font>
          <fill>
            <patternFill>
              <bgColor theme="1" tint="0.24994659260841701"/>
            </patternFill>
          </fill>
        </dxf>
        <dxf>
          <font>
            <b/>
            <i val="0"/>
            <sz val="18"/>
            <color auto="1"/>
            <name val="Aptos Narrow"/>
            <family val="2"/>
            <scheme val="minor"/>
          </font>
          <fill>
            <patternFill>
              <bgColor rgb="FFFFC000"/>
            </patternFill>
          </fill>
        </dxf>
        <dxf>
          <font>
            <b/>
            <i val="0"/>
            <strike val="0"/>
            <sz val="18"/>
            <color auto="1"/>
            <name val="Aptos Narrow"/>
            <family val="2"/>
            <scheme val="minor"/>
          </font>
          <fill>
            <patternFill>
              <bgColor theme="1" tint="0.24994659260841701"/>
            </patternFill>
          </fill>
        </dxf>
        <dxf>
          <font>
            <b/>
            <i val="0"/>
            <sz val="18"/>
            <color theme="0"/>
            <name val="Aptos Narrow"/>
            <family val="2"/>
            <scheme val="minor"/>
          </font>
          <fill>
            <patternFill>
              <bgColor theme="2" tint="-0.749961851863155"/>
            </patternFill>
          </fill>
          <border>
            <left style="medium">
              <color rgb="FFFFC000"/>
            </left>
            <right style="medium">
              <color rgb="FFFFC000"/>
            </right>
            <top style="medium">
              <color rgb="FFFFC000"/>
            </top>
            <bottom style="medium">
              <color rgb="FFFFC000"/>
            </bottom>
          </border>
        </dxf>
        <dxf>
          <font>
            <b/>
            <i val="0"/>
            <strike val="0"/>
            <sz val="18"/>
            <color theme="0"/>
            <name val="Aptos Narrow"/>
            <family val="2"/>
            <scheme val="minor"/>
          </font>
          <fill>
            <patternFill>
              <bgColor theme="2" tint="-0.749961851863155"/>
            </patternFill>
          </fill>
          <border>
            <left style="medium">
              <color rgb="FFFFC000"/>
            </left>
            <right style="medium">
              <color rgb="FFFFC000"/>
            </right>
            <top style="medium">
              <color rgb="FFFFC000"/>
            </top>
            <bottom style="medium">
              <color rgb="FFFFC000"/>
            </bottom>
          </border>
        </dxf>
      </x14:dxfs>
    </ext>
    <ext xmlns:x14="http://schemas.microsoft.com/office/spreadsheetml/2009/9/main" uri="{EB79DEF2-80B8-43e5-95BD-54CBDDF9020C}">
      <x14:slicerStyles defaultSlicerStyle="Slicer Style 1">
        <x14:slicerStyle name="Duplicate">
          <x14:slicerStyleElements>
            <x14:slicerStyleElement type="unselectedItemWithData" dxfId="5"/>
            <x14:slicerStyleElement type="selectedItemWithData" dxfId="4"/>
          </x14:slicerStyleElements>
        </x14:slicerStyle>
        <x14:slicerStyle name="Duplicate 2">
          <x14:slicerStyleElements>
            <x14:slicerStyleElement type="unselectedItemWithData" dxfId="3"/>
            <x14:slicerStyleElement type="selectedItemWithData" dxfId="2"/>
          </x14:slicerStyleElements>
        </x14:slicerStyle>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12">
        <dxf>
          <fill>
            <patternFill patternType="solid">
              <fgColor theme="0" tint="-0.14996795556505021"/>
              <bgColor theme="1" tint="0.24994659260841701"/>
            </patternFill>
          </fill>
        </dxf>
        <dxf>
          <fill>
            <patternFill patternType="solid">
              <fgColor theme="0"/>
              <bgColor rgb="FFFFC000"/>
            </patternFill>
          </fill>
          <border diagonalUp="0" diagonalDown="0">
            <left/>
            <right/>
            <top/>
            <bottom/>
            <vertical/>
            <horizontal/>
          </border>
        </dxf>
        <dxf>
          <font>
            <b/>
            <i val="0"/>
            <sz val="18"/>
            <color theme="0" tint="-4.9989318521683403E-2"/>
            <name val="Aptos Narrow"/>
            <family val="2"/>
            <scheme val="minor"/>
          </font>
        </dxf>
        <dxf>
          <font>
            <b/>
            <i val="0"/>
            <sz val="18"/>
            <color theme="0"/>
            <name val="Aptos Narrow"/>
            <family val="2"/>
            <scheme val="minor"/>
          </font>
        </dxf>
        <dxf>
          <font>
            <b/>
            <i val="0"/>
            <sz val="18"/>
            <color theme="0"/>
            <name val="Aptos Narrow"/>
            <family val="2"/>
            <scheme val="minor"/>
          </font>
        </dxf>
        <dxf>
          <font>
            <sz val="10"/>
            <color theme="1" tint="0.499984740745262"/>
          </font>
        </dxf>
        <dxf>
          <fill>
            <patternFill patternType="solid">
              <fgColor theme="0" tint="-0.14993743705557422"/>
              <bgColor theme="2" tint="-0.749961851863155"/>
            </patternFill>
          </fill>
          <border>
            <left style="thin">
              <color rgb="FFFFC000"/>
            </left>
            <right style="thin">
              <color rgb="FFFFC000"/>
            </right>
            <top style="thin">
              <color rgb="FFFFC000"/>
            </top>
            <bottom style="thin">
              <color rgb="FFFFC000"/>
            </bottom>
          </border>
        </dxf>
        <dxf>
          <fill>
            <patternFill patternType="solid">
              <fgColor theme="0"/>
              <bgColor theme="2" tint="-0.749961851863155"/>
            </patternFill>
          </fill>
          <border diagonalUp="0" diagonalDown="0">
            <left style="thin">
              <color rgb="FFFFC000"/>
            </left>
            <right style="thin">
              <color rgb="FFFFC000"/>
            </right>
            <top style="thin">
              <color rgb="FFFFC000"/>
            </top>
            <bottom style="thin">
              <color rgb="FFFFC000"/>
            </bottom>
            <vertical/>
            <horizontal/>
          </border>
        </dxf>
        <dxf>
          <font>
            <b/>
            <i val="0"/>
            <sz val="18"/>
            <color theme="0" tint="-4.9989318521683403E-2"/>
            <name val="Aptos Narrow"/>
            <family val="2"/>
            <scheme val="minor"/>
          </font>
        </dxf>
        <dxf>
          <font>
            <b/>
            <i val="0"/>
            <sz val="18"/>
            <color theme="0"/>
            <name val="Aptos Narrow"/>
            <family val="2"/>
            <scheme val="minor"/>
          </font>
        </dxf>
        <dxf>
          <font>
            <b/>
            <i val="0"/>
            <sz val="18"/>
            <color theme="0"/>
            <name val="Aptos Narrow"/>
            <family val="2"/>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Duplicate Timelin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Charts!PivotTable10</c:name>
    <c:fmtId val="6"/>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b="0">
                <a:solidFill>
                  <a:schemeClr val="bg1"/>
                </a:solidFill>
              </a:rPr>
              <a:t>Customer Churn by Tenure Group</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chemeClr val="tx1">
              <a:lumMod val="75000"/>
              <a:lumOff val="25000"/>
            </a:schemeClr>
          </a:solidFill>
          <a:ln>
            <a:noFill/>
          </a:ln>
          <a:effectLst/>
        </c:spPr>
      </c:pivotFmt>
      <c:pivotFmt>
        <c:idx val="3"/>
        <c:spPr>
          <a:solidFill>
            <a:schemeClr val="tx1">
              <a:lumMod val="75000"/>
              <a:lumOff val="25000"/>
            </a:schemeClr>
          </a:solidFill>
          <a:ln>
            <a:noFill/>
          </a:ln>
          <a:effectLst/>
        </c:spPr>
      </c:pivotFmt>
      <c:pivotFmt>
        <c:idx val="4"/>
        <c:spPr>
          <a:solidFill>
            <a:schemeClr val="tx1">
              <a:lumMod val="50000"/>
              <a:lumOff val="5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a:noFill/>
          </a:ln>
          <a:effectLst/>
        </c:spPr>
      </c:pivotFmt>
      <c:pivotFmt>
        <c:idx val="7"/>
        <c:spPr>
          <a:solidFill>
            <a:schemeClr val="tx1">
              <a:lumMod val="75000"/>
              <a:lumOff val="25000"/>
            </a:schemeClr>
          </a:solidFill>
          <a:ln>
            <a:noFill/>
          </a:ln>
          <a:effectLst/>
        </c:spPr>
      </c:pivotFmt>
      <c:pivotFmt>
        <c:idx val="8"/>
        <c:spPr>
          <a:solidFill>
            <a:schemeClr val="tx1">
              <a:lumMod val="75000"/>
              <a:lumOff val="25000"/>
            </a:schemeClr>
          </a:solidFill>
          <a:ln>
            <a:noFill/>
          </a:ln>
          <a:effectLst/>
        </c:spPr>
      </c:pivotFmt>
      <c:pivotFmt>
        <c:idx val="9"/>
        <c:spPr>
          <a:solidFill>
            <a:srgbClr val="FFC0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50000"/>
              <a:lumOff val="50000"/>
            </a:schemeClr>
          </a:solidFill>
          <a:ln>
            <a:noFill/>
          </a:ln>
          <a:effectLst/>
        </c:spPr>
      </c:pivotFmt>
      <c:pivotFmt>
        <c:idx val="12"/>
        <c:spPr>
          <a:solidFill>
            <a:schemeClr val="tx1">
              <a:lumMod val="65000"/>
              <a:lumOff val="35000"/>
            </a:schemeClr>
          </a:solidFill>
          <a:ln>
            <a:noFill/>
          </a:ln>
          <a:effectLst/>
        </c:spPr>
      </c:pivotFmt>
      <c:pivotFmt>
        <c:idx val="13"/>
        <c:spPr>
          <a:solidFill>
            <a:schemeClr val="tx1">
              <a:lumMod val="65000"/>
              <a:lumOff val="35000"/>
            </a:schemeClr>
          </a:solidFill>
          <a:ln>
            <a:noFill/>
          </a:ln>
          <a:effectLst/>
        </c:spPr>
      </c:pivotFmt>
      <c:pivotFmt>
        <c:idx val="14"/>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fld id="{5BA4690B-0AA2-431C-8389-3E569386CD29}" type="VALUE">
                  <a:rPr lang="en-US" b="1"/>
                  <a:pPr>
                    <a:defRPr sz="1400" b="0" i="0" u="none" strike="noStrike" kern="1200" baseline="0">
                      <a:solidFill>
                        <a:schemeClr val="bg1"/>
                      </a:solidFill>
                      <a:latin typeface="Gadugi" panose="020B0502040204020203" pitchFamily="34" charset="0"/>
                      <a:ea typeface="Gadugi" panose="020B0502040204020203" pitchFamily="34" charset="0"/>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dLbl>
          <c:idx val="0"/>
          <c:layout>
            <c:manualLayout>
              <c:x val="0"/>
              <c:y val="3.868497877504471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pivotFmt>
      <c:pivotFmt>
        <c:idx val="19"/>
        <c:spPr>
          <a:solidFill>
            <a:schemeClr val="tx1">
              <a:lumMod val="65000"/>
              <a:lumOff val="35000"/>
            </a:schemeClr>
          </a:solidFill>
          <a:ln>
            <a:noFill/>
          </a:ln>
          <a:effectLst/>
        </c:spPr>
      </c:pivotFmt>
      <c:pivotFmt>
        <c:idx val="20"/>
        <c:spPr>
          <a:solidFill>
            <a:schemeClr val="bg1">
              <a:lumMod val="5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1">
              <a:lumMod val="50000"/>
            </a:schemeClr>
          </a:solidFill>
          <a:ln>
            <a:noFill/>
          </a:ln>
          <a:effectLst/>
        </c:spPr>
      </c:pivotFmt>
      <c:pivotFmt>
        <c:idx val="23"/>
        <c:spPr>
          <a:solidFill>
            <a:schemeClr val="tx1">
              <a:lumMod val="65000"/>
              <a:lumOff val="35000"/>
            </a:schemeClr>
          </a:solidFill>
          <a:ln>
            <a:noFill/>
          </a:ln>
          <a:effectLst/>
        </c:spPr>
      </c:pivotFmt>
      <c:pivotFmt>
        <c:idx val="24"/>
        <c:spPr>
          <a:solidFill>
            <a:schemeClr val="tx1">
              <a:lumMod val="65000"/>
              <a:lumOff val="35000"/>
            </a:schemeClr>
          </a:solidFill>
          <a:ln>
            <a:noFill/>
          </a:ln>
          <a:effectLst/>
        </c:spPr>
      </c:pivotFmt>
      <c:pivotFmt>
        <c:idx val="25"/>
        <c:spPr>
          <a:solidFill>
            <a:srgbClr val="FFC000"/>
          </a:solidFill>
          <a:ln>
            <a:noFill/>
          </a:ln>
          <a:effectLst/>
        </c:spPr>
        <c:dLbl>
          <c:idx val="0"/>
          <c:layout>
            <c:manualLayout>
              <c:x val="0"/>
              <c:y val="3.868497877504471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bg1">
              <a:lumMod val="50000"/>
            </a:schemeClr>
          </a:solidFill>
          <a:ln>
            <a:noFill/>
          </a:ln>
          <a:effectLst/>
        </c:spPr>
      </c:pivotFmt>
      <c:pivotFmt>
        <c:idx val="28"/>
        <c:spPr>
          <a:solidFill>
            <a:schemeClr val="tx1">
              <a:lumMod val="65000"/>
              <a:lumOff val="35000"/>
            </a:schemeClr>
          </a:solidFill>
          <a:ln>
            <a:noFill/>
          </a:ln>
          <a:effectLst/>
        </c:spPr>
      </c:pivotFmt>
      <c:pivotFmt>
        <c:idx val="29"/>
        <c:spPr>
          <a:solidFill>
            <a:schemeClr val="tx1">
              <a:lumMod val="65000"/>
              <a:lumOff val="35000"/>
            </a:schemeClr>
          </a:solidFill>
          <a:ln>
            <a:noFill/>
          </a:ln>
          <a:effectLst/>
        </c:spPr>
      </c:pivotFmt>
      <c:pivotFmt>
        <c:idx val="30"/>
        <c:spPr>
          <a:solidFill>
            <a:srgbClr val="FFC000"/>
          </a:solidFill>
          <a:ln>
            <a:noFill/>
          </a:ln>
          <a:effectLst/>
        </c:spPr>
        <c:dLbl>
          <c:idx val="0"/>
          <c:layout>
            <c:manualLayout>
              <c:x val="0"/>
              <c:y val="3.868497877504471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2030710488556"/>
          <c:y val="0.14376382069114407"/>
          <c:w val="0.73734894183670918"/>
          <c:h val="0.82397329457118762"/>
        </c:manualLayout>
      </c:layout>
      <c:barChart>
        <c:barDir val="bar"/>
        <c:grouping val="clustered"/>
        <c:varyColors val="0"/>
        <c:ser>
          <c:idx val="0"/>
          <c:order val="0"/>
          <c:tx>
            <c:strRef>
              <c:f>' Pivot Table &amp; Charts'!$B$86:$B$87</c:f>
              <c:strCache>
                <c:ptCount val="1"/>
                <c:pt idx="0">
                  <c:v>Yes</c:v>
                </c:pt>
              </c:strCache>
            </c:strRef>
          </c:tx>
          <c:spPr>
            <a:solidFill>
              <a:schemeClr val="accent1"/>
            </a:solidFill>
            <a:ln>
              <a:noFill/>
            </a:ln>
            <a:effectLst/>
          </c:spPr>
          <c:invertIfNegative val="0"/>
          <c:dPt>
            <c:idx val="0"/>
            <c:invertIfNegative val="0"/>
            <c:bubble3D val="0"/>
            <c:spPr>
              <a:solidFill>
                <a:schemeClr val="bg1">
                  <a:lumMod val="50000"/>
                </a:schemeClr>
              </a:solidFill>
              <a:ln>
                <a:noFill/>
              </a:ln>
              <a:effectLst/>
            </c:spPr>
            <c:extLst>
              <c:ext xmlns:c16="http://schemas.microsoft.com/office/drawing/2014/chart" uri="{C3380CC4-5D6E-409C-BE32-E72D297353CC}">
                <c16:uniqueId val="{00000001-E7EE-4CBC-86C9-B741C4560A8B}"/>
              </c:ext>
            </c:extLst>
          </c:dPt>
          <c:dPt>
            <c:idx val="1"/>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3-E7EE-4CBC-86C9-B741C4560A8B}"/>
              </c:ext>
            </c:extLst>
          </c:dPt>
          <c:dPt>
            <c:idx val="2"/>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5-E7EE-4CBC-86C9-B741C4560A8B}"/>
              </c:ext>
            </c:extLst>
          </c:dPt>
          <c:dPt>
            <c:idx val="3"/>
            <c:invertIfNegative val="0"/>
            <c:bubble3D val="0"/>
            <c:spPr>
              <a:solidFill>
                <a:srgbClr val="FFC000"/>
              </a:solidFill>
              <a:ln>
                <a:noFill/>
              </a:ln>
              <a:effectLst/>
            </c:spPr>
            <c:extLst>
              <c:ext xmlns:c16="http://schemas.microsoft.com/office/drawing/2014/chart" uri="{C3380CC4-5D6E-409C-BE32-E72D297353CC}">
                <c16:uniqueId val="{00000007-E7EE-4CBC-86C9-B741C4560A8B}"/>
              </c:ext>
            </c:extLst>
          </c:dPt>
          <c:dLbls>
            <c:dLbl>
              <c:idx val="3"/>
              <c:layout>
                <c:manualLayout>
                  <c:x val="0"/>
                  <c:y val="3.868497877504471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7EE-4CBC-86C9-B741C4560A8B}"/>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Charts'!$A$88:$A$91</c:f>
              <c:strCache>
                <c:ptCount val="4"/>
                <c:pt idx="0">
                  <c:v>0-6 months</c:v>
                </c:pt>
                <c:pt idx="1">
                  <c:v>7-12 months</c:v>
                </c:pt>
                <c:pt idx="2">
                  <c:v>1-2 years</c:v>
                </c:pt>
                <c:pt idx="3">
                  <c:v>2+ years</c:v>
                </c:pt>
              </c:strCache>
            </c:strRef>
          </c:cat>
          <c:val>
            <c:numRef>
              <c:f>' Pivot Table &amp; Charts'!$B$88:$B$91</c:f>
              <c:numCache>
                <c:formatCode>General</c:formatCode>
                <c:ptCount val="4"/>
                <c:pt idx="0">
                  <c:v>10</c:v>
                </c:pt>
                <c:pt idx="1">
                  <c:v>17</c:v>
                </c:pt>
                <c:pt idx="2">
                  <c:v>24</c:v>
                </c:pt>
                <c:pt idx="3">
                  <c:v>95</c:v>
                </c:pt>
              </c:numCache>
            </c:numRef>
          </c:val>
          <c:extLst>
            <c:ext xmlns:c16="http://schemas.microsoft.com/office/drawing/2014/chart" uri="{C3380CC4-5D6E-409C-BE32-E72D297353CC}">
              <c16:uniqueId val="{00000008-E7EE-4CBC-86C9-B741C4560A8B}"/>
            </c:ext>
          </c:extLst>
        </c:ser>
        <c:dLbls>
          <c:dLblPos val="inEnd"/>
          <c:showLegendKey val="0"/>
          <c:showVal val="1"/>
          <c:showCatName val="0"/>
          <c:showSerName val="0"/>
          <c:showPercent val="0"/>
          <c:showBubbleSize val="0"/>
        </c:dLbls>
        <c:gapWidth val="30"/>
        <c:axId val="600469504"/>
        <c:axId val="600471984"/>
      </c:barChart>
      <c:catAx>
        <c:axId val="600469504"/>
        <c:scaling>
          <c:orientation val="minMax"/>
        </c:scaling>
        <c:delete val="0"/>
        <c:axPos val="l"/>
        <c:numFmt formatCode="General"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600471984"/>
        <c:crosses val="autoZero"/>
        <c:auto val="1"/>
        <c:lblAlgn val="ctr"/>
        <c:lblOffset val="100"/>
        <c:noMultiLvlLbl val="0"/>
      </c:catAx>
      <c:valAx>
        <c:axId val="600471984"/>
        <c:scaling>
          <c:orientation val="minMax"/>
        </c:scaling>
        <c:delete val="1"/>
        <c:axPos val="b"/>
        <c:numFmt formatCode="General" sourceLinked="1"/>
        <c:majorTickMark val="none"/>
        <c:minorTickMark val="none"/>
        <c:tickLblPos val="nextTo"/>
        <c:crossAx val="600469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Charts!Churn by Agegroup</c:name>
    <c:fmtId val="13"/>
  </c:pivotSource>
  <c:chart>
    <c:title>
      <c:tx>
        <c:rich>
          <a:bodyPr rot="0" spcFirstLastPara="1" vertOverflow="ellipsis" vert="horz" wrap="square" anchor="ctr" anchorCtr="1"/>
          <a:lstStyle/>
          <a:p>
            <a:pPr algn="l">
              <a:defRPr sz="1800" b="0" i="0" u="none" strike="noStrike" kern="1200" spc="0" baseline="0">
                <a:solidFill>
                  <a:schemeClr val="bg1"/>
                </a:solidFill>
                <a:latin typeface="+mn-lt"/>
                <a:ea typeface="+mn-ea"/>
                <a:cs typeface="+mn-cs"/>
              </a:defRPr>
            </a:pPr>
            <a:r>
              <a:rPr lang="en-US" sz="1800" b="0">
                <a:solidFill>
                  <a:schemeClr val="bg1"/>
                </a:solidFill>
              </a:rPr>
              <a:t>Revenue Lost + Churn by Age Group</a:t>
            </a:r>
          </a:p>
        </c:rich>
      </c:tx>
      <c:layout>
        <c:manualLayout>
          <c:xMode val="edge"/>
          <c:yMode val="edge"/>
          <c:x val="0.3056304621868503"/>
          <c:y val="4.9421190772206084E-3"/>
        </c:manualLayout>
      </c:layout>
      <c:overlay val="0"/>
      <c:spPr>
        <a:noFill/>
        <a:ln>
          <a:noFill/>
        </a:ln>
        <a:effectLst/>
      </c:spPr>
      <c:txPr>
        <a:bodyPr rot="0" spcFirstLastPara="1" vertOverflow="ellipsis" vert="horz" wrap="square" anchor="ctr" anchorCtr="1"/>
        <a:lstStyle/>
        <a:p>
          <a:pPr algn="l">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FFC000"/>
            </a:solidFill>
            <a:round/>
          </a:ln>
          <a:effectLst/>
        </c:spPr>
        <c:marker>
          <c:symbol val="none"/>
        </c:marker>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a:noFill/>
          </a:ln>
          <a:effectLst/>
        </c:spPr>
      </c:pivotFmt>
      <c:pivotFmt>
        <c:idx val="7"/>
        <c:spPr>
          <a:solidFill>
            <a:schemeClr val="bg1">
              <a:lumMod val="50000"/>
            </a:schemeClr>
          </a:solidFill>
          <a:ln>
            <a:noFill/>
          </a:ln>
          <a:effectLst/>
        </c:spPr>
      </c:pivotFmt>
      <c:pivotFmt>
        <c:idx val="8"/>
        <c:spPr>
          <a:solidFill>
            <a:schemeClr val="bg1">
              <a:lumMod val="50000"/>
            </a:schemeClr>
          </a:solidFill>
          <a:ln>
            <a:noFill/>
          </a:ln>
          <a:effectLst/>
        </c:spPr>
      </c:pivotFmt>
      <c:pivotFmt>
        <c:idx val="9"/>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50000"/>
            </a:schemeClr>
          </a:solidFill>
          <a:ln>
            <a:noFill/>
          </a:ln>
          <a:effectLst/>
        </c:spPr>
      </c:pivotFmt>
      <c:pivotFmt>
        <c:idx val="11"/>
        <c:spPr>
          <a:solidFill>
            <a:schemeClr val="bg1">
              <a:lumMod val="50000"/>
            </a:schemeClr>
          </a:solidFill>
          <a:ln>
            <a:noFill/>
          </a:ln>
          <a:effectLst/>
        </c:spPr>
      </c:pivotFmt>
      <c:pivotFmt>
        <c:idx val="12"/>
        <c:spPr>
          <a:solidFill>
            <a:schemeClr val="bg1">
              <a:lumMod val="50000"/>
            </a:schemeClr>
          </a:solidFill>
          <a:ln>
            <a:noFill/>
          </a:ln>
          <a:effectLst/>
        </c:spPr>
      </c:pivotFmt>
      <c:pivotFmt>
        <c:idx val="1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lumMod val="65000"/>
              <a:lumOff val="35000"/>
            </a:schemeClr>
          </a:solidFill>
          <a:ln>
            <a:noFill/>
          </a:ln>
          <a:effectLst/>
        </c:spPr>
      </c:pivotFmt>
      <c:pivotFmt>
        <c:idx val="16"/>
        <c:spPr>
          <a:solidFill>
            <a:schemeClr val="bg2">
              <a:lumMod val="50000"/>
              <a:alpha val="75000"/>
            </a:schemeClr>
          </a:solidFill>
          <a:ln>
            <a:noFill/>
          </a:ln>
          <a:effectLst/>
        </c:spPr>
      </c:pivotFmt>
      <c:pivotFmt>
        <c:idx val="17"/>
        <c:spPr>
          <a:solidFill>
            <a:schemeClr val="bg1">
              <a:lumMod val="50000"/>
              <a:alpha val="80000"/>
            </a:schemeClr>
          </a:solidFill>
          <a:ln>
            <a:noFill/>
          </a:ln>
          <a:effectLst/>
        </c:spPr>
      </c:pivotFmt>
      <c:pivotFmt>
        <c:idx val="18"/>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lumMod val="85000"/>
              <a:lumOff val="1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bg2">
              <a:lumMod val="10000"/>
            </a:schemeClr>
          </a:solidFill>
          <a:ln>
            <a:noFill/>
          </a:ln>
          <a:effectLst/>
        </c:spPr>
      </c:pivotFmt>
      <c:pivotFmt>
        <c:idx val="2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2">
              <a:lumMod val="10000"/>
            </a:schemeClr>
          </a:solidFill>
          <a:ln>
            <a:noFill/>
          </a:ln>
          <a:effectLst/>
        </c:spPr>
      </c:pivotFmt>
      <c:pivotFmt>
        <c:idx val="23"/>
        <c:spPr>
          <a:solidFill>
            <a:schemeClr val="tx1">
              <a:lumMod val="65000"/>
              <a:lumOff val="35000"/>
            </a:schemeClr>
          </a:solidFill>
          <a:ln>
            <a:noFill/>
          </a:ln>
          <a:effectLst/>
        </c:spPr>
      </c:pivotFmt>
      <c:pivotFmt>
        <c:idx val="24"/>
        <c:spPr>
          <a:solidFill>
            <a:schemeClr val="bg2">
              <a:lumMod val="50000"/>
              <a:alpha val="75000"/>
            </a:schemeClr>
          </a:solidFill>
          <a:ln>
            <a:noFill/>
          </a:ln>
          <a:effectLst/>
        </c:spPr>
      </c:pivotFmt>
      <c:pivotFmt>
        <c:idx val="25"/>
        <c:spPr>
          <a:solidFill>
            <a:schemeClr val="bg1">
              <a:lumMod val="50000"/>
              <a:alpha val="80000"/>
            </a:schemeClr>
          </a:solidFill>
          <a:ln>
            <a:noFill/>
          </a:ln>
          <a:effectLst/>
        </c:spPr>
      </c:pivotFmt>
      <c:pivotFmt>
        <c:idx val="26"/>
        <c:spPr>
          <a:solidFill>
            <a:schemeClr val="tx1">
              <a:lumMod val="85000"/>
              <a:lumOff val="1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tx1">
              <a:lumMod val="65000"/>
              <a:lumOff val="35000"/>
            </a:schemeClr>
          </a:solidFill>
          <a:ln>
            <a:noFill/>
          </a:ln>
          <a:effectLst/>
        </c:spPr>
      </c:pivotFmt>
      <c:pivotFmt>
        <c:idx val="31"/>
        <c:spPr>
          <a:solidFill>
            <a:schemeClr val="bg2">
              <a:lumMod val="50000"/>
              <a:alpha val="75000"/>
            </a:schemeClr>
          </a:solidFill>
          <a:ln>
            <a:noFill/>
          </a:ln>
          <a:effectLst/>
        </c:spPr>
      </c:pivotFmt>
      <c:pivotFmt>
        <c:idx val="32"/>
        <c:spPr>
          <a:solidFill>
            <a:schemeClr val="bg1">
              <a:lumMod val="50000"/>
              <a:alpha val="80000"/>
            </a:schemeClr>
          </a:solidFill>
          <a:ln>
            <a:noFill/>
          </a:ln>
          <a:effectLst/>
        </c:spPr>
      </c:pivotFmt>
      <c:pivotFmt>
        <c:idx val="33"/>
        <c:spPr>
          <a:solidFill>
            <a:schemeClr val="tx1">
              <a:lumMod val="85000"/>
              <a:lumOff val="15000"/>
            </a:schemeClr>
          </a:solidFill>
          <a:ln>
            <a:noFill/>
          </a:ln>
          <a:effectLst/>
        </c:spPr>
      </c:pivotFmt>
      <c:pivotFmt>
        <c:idx val="34"/>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bg1">
                <a:lumMod val="95000"/>
              </a:schemeClr>
            </a:solidFill>
            <a:round/>
          </a:ln>
          <a:effectLst/>
        </c:spPr>
        <c:marker>
          <c:symbol val="none"/>
        </c:marker>
      </c:pivotFmt>
      <c:pivotFmt>
        <c:idx val="36"/>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C000"/>
          </a:solidFill>
          <a:ln>
            <a:noFill/>
          </a:ln>
          <a:effectLst/>
        </c:spPr>
      </c:pivotFmt>
      <c:pivotFmt>
        <c:idx val="38"/>
        <c:spPr>
          <a:solidFill>
            <a:schemeClr val="tx1">
              <a:lumMod val="65000"/>
              <a:lumOff val="35000"/>
            </a:schemeClr>
          </a:solidFill>
          <a:ln>
            <a:noFill/>
          </a:ln>
          <a:effectLst/>
        </c:spPr>
      </c:pivotFmt>
      <c:pivotFmt>
        <c:idx val="39"/>
        <c:spPr>
          <a:solidFill>
            <a:schemeClr val="bg2">
              <a:lumMod val="50000"/>
              <a:alpha val="75000"/>
            </a:schemeClr>
          </a:solidFill>
          <a:ln>
            <a:noFill/>
          </a:ln>
          <a:effectLst/>
        </c:spPr>
      </c:pivotFmt>
      <c:pivotFmt>
        <c:idx val="40"/>
        <c:spPr>
          <a:solidFill>
            <a:schemeClr val="bg1">
              <a:lumMod val="50000"/>
              <a:alpha val="80000"/>
            </a:schemeClr>
          </a:solidFill>
          <a:ln>
            <a:noFill/>
          </a:ln>
          <a:effectLst/>
        </c:spPr>
      </c:pivotFmt>
      <c:pivotFmt>
        <c:idx val="41"/>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fld id="{158AB890-B538-468E-8739-5EF8CAA12DF8}" type="VALUE">
                  <a:rPr lang="en-US" baseline="0"/>
                  <a:pPr>
                    <a:defRPr sz="1400" b="1">
                      <a:solidFill>
                        <a:schemeClr val="bg1"/>
                      </a:solidFill>
                      <a:latin typeface="Gadugi" panose="020B0502040204020203" pitchFamily="34" charset="0"/>
                      <a:ea typeface="Gadug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44"/>
        <c:spPr>
          <a:solidFill>
            <a:schemeClr val="tx1">
              <a:lumMod val="65000"/>
              <a:lumOff val="35000"/>
            </a:schemeClr>
          </a:solidFill>
          <a:ln>
            <a:noFill/>
          </a:ln>
          <a:effectLst/>
        </c:spPr>
      </c:pivotFmt>
      <c:pivotFmt>
        <c:idx val="45"/>
        <c:spPr>
          <a:solidFill>
            <a:schemeClr val="bg2">
              <a:lumMod val="50000"/>
              <a:alpha val="75000"/>
            </a:schemeClr>
          </a:solidFill>
          <a:ln>
            <a:noFill/>
          </a:ln>
          <a:effectLst/>
        </c:spPr>
      </c:pivotFmt>
      <c:pivotFmt>
        <c:idx val="46"/>
        <c:spPr>
          <a:solidFill>
            <a:schemeClr val="bg1">
              <a:lumMod val="50000"/>
              <a:alpha val="80000"/>
            </a:schemeClr>
          </a:solidFill>
          <a:ln>
            <a:noFill/>
          </a:ln>
          <a:effectLst/>
        </c:spPr>
      </c:pivotFmt>
      <c:pivotFmt>
        <c:idx val="47"/>
        <c:spPr>
          <a:ln w="28575" cap="rnd">
            <a:solidFill>
              <a:schemeClr val="bg1">
                <a:lumMod val="95000"/>
              </a:schemeClr>
            </a:solidFill>
            <a:round/>
          </a:ln>
          <a:effectLst/>
        </c:spPr>
        <c:marker>
          <c:symbol val="none"/>
        </c:marker>
      </c:pivotFmt>
    </c:pivotFmts>
    <c:plotArea>
      <c:layout/>
      <c:barChart>
        <c:barDir val="col"/>
        <c:grouping val="clustered"/>
        <c:varyColors val="0"/>
        <c:ser>
          <c:idx val="1"/>
          <c:order val="1"/>
          <c:tx>
            <c:strRef>
              <c:f>' Pivot Table &amp; Charts'!$C$39:$C$41</c:f>
              <c:strCache>
                <c:ptCount val="1"/>
                <c:pt idx="0">
                  <c:v>Yes - Sum of Total Revenue</c:v>
                </c:pt>
              </c:strCache>
            </c:strRef>
          </c:tx>
          <c:spPr>
            <a:solidFill>
              <a:schemeClr val="tx1">
                <a:lumMod val="85000"/>
                <a:lumOff val="15000"/>
              </a:schemeClr>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0A48-445A-A87C-0F0111C17C2A}"/>
              </c:ext>
            </c:extLst>
          </c:dPt>
          <c:dPt>
            <c:idx val="1"/>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3-0A48-445A-A87C-0F0111C17C2A}"/>
              </c:ext>
            </c:extLst>
          </c:dPt>
          <c:dPt>
            <c:idx val="2"/>
            <c:invertIfNegative val="0"/>
            <c:bubble3D val="0"/>
            <c:spPr>
              <a:solidFill>
                <a:schemeClr val="bg2">
                  <a:lumMod val="50000"/>
                  <a:alpha val="75000"/>
                </a:schemeClr>
              </a:solidFill>
              <a:ln>
                <a:noFill/>
              </a:ln>
              <a:effectLst/>
            </c:spPr>
            <c:extLst>
              <c:ext xmlns:c16="http://schemas.microsoft.com/office/drawing/2014/chart" uri="{C3380CC4-5D6E-409C-BE32-E72D297353CC}">
                <c16:uniqueId val="{00000005-0A48-445A-A87C-0F0111C17C2A}"/>
              </c:ext>
            </c:extLst>
          </c:dPt>
          <c:dPt>
            <c:idx val="3"/>
            <c:invertIfNegative val="0"/>
            <c:bubble3D val="0"/>
            <c:spPr>
              <a:solidFill>
                <a:schemeClr val="bg1">
                  <a:lumMod val="50000"/>
                  <a:alpha val="80000"/>
                </a:schemeClr>
              </a:solidFill>
              <a:ln>
                <a:noFill/>
              </a:ln>
              <a:effectLst/>
            </c:spPr>
            <c:extLst>
              <c:ext xmlns:c16="http://schemas.microsoft.com/office/drawing/2014/chart" uri="{C3380CC4-5D6E-409C-BE32-E72D297353CC}">
                <c16:uniqueId val="{00000007-0A48-445A-A87C-0F0111C17C2A}"/>
              </c:ext>
            </c:extLst>
          </c:dPt>
          <c:dLbls>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fld id="{158AB890-B538-468E-8739-5EF8CAA12DF8}" type="VALUE">
                      <a:rPr lang="en-US" baseline="0"/>
                      <a:pPr>
                        <a:defRPr sz="1400" b="1">
                          <a:solidFill>
                            <a:schemeClr val="bg1"/>
                          </a:solidFill>
                          <a:latin typeface="Gadugi" panose="020B0502040204020203" pitchFamily="34" charset="0"/>
                          <a:ea typeface="Gadug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0A48-445A-A87C-0F0111C17C2A}"/>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Charts'!$A$42:$A$46</c:f>
              <c:strCache>
                <c:ptCount val="5"/>
                <c:pt idx="0">
                  <c:v>30-44</c:v>
                </c:pt>
                <c:pt idx="1">
                  <c:v>18-29</c:v>
                </c:pt>
                <c:pt idx="2">
                  <c:v>60+</c:v>
                </c:pt>
                <c:pt idx="3">
                  <c:v>45-59</c:v>
                </c:pt>
                <c:pt idx="4">
                  <c:v>&lt;18</c:v>
                </c:pt>
              </c:strCache>
            </c:strRef>
          </c:cat>
          <c:val>
            <c:numRef>
              <c:f>' Pivot Table &amp; Charts'!$C$42:$C$46</c:f>
              <c:numCache>
                <c:formatCode>[&gt;=1000000]"₦"#,##0,,"M";[&gt;=1000]"₦"#,##0,"K";"₦"#,##0</c:formatCode>
                <c:ptCount val="5"/>
                <c:pt idx="0">
                  <c:v>19108900</c:v>
                </c:pt>
                <c:pt idx="1">
                  <c:v>15410350</c:v>
                </c:pt>
                <c:pt idx="2">
                  <c:v>12650100</c:v>
                </c:pt>
                <c:pt idx="3">
                  <c:v>10731350</c:v>
                </c:pt>
                <c:pt idx="4">
                  <c:v>99500</c:v>
                </c:pt>
              </c:numCache>
            </c:numRef>
          </c:val>
          <c:extLst>
            <c:ext xmlns:c16="http://schemas.microsoft.com/office/drawing/2014/chart" uri="{C3380CC4-5D6E-409C-BE32-E72D297353CC}">
              <c16:uniqueId val="{00000008-0A48-445A-A87C-0F0111C17C2A}"/>
            </c:ext>
          </c:extLst>
        </c:ser>
        <c:dLbls>
          <c:showLegendKey val="0"/>
          <c:showVal val="1"/>
          <c:showCatName val="0"/>
          <c:showSerName val="0"/>
          <c:showPercent val="0"/>
          <c:showBubbleSize val="0"/>
        </c:dLbls>
        <c:gapWidth val="60"/>
        <c:axId val="475896288"/>
        <c:axId val="475884768"/>
      </c:barChart>
      <c:lineChart>
        <c:grouping val="standard"/>
        <c:varyColors val="0"/>
        <c:ser>
          <c:idx val="0"/>
          <c:order val="0"/>
          <c:tx>
            <c:strRef>
              <c:f>' Pivot Table &amp; Charts'!$B$39:$B$41</c:f>
              <c:strCache>
                <c:ptCount val="1"/>
                <c:pt idx="0">
                  <c:v>Yes - Count of Customer ID</c:v>
                </c:pt>
              </c:strCache>
            </c:strRef>
          </c:tx>
          <c:spPr>
            <a:ln w="28575" cap="rnd">
              <a:solidFill>
                <a:schemeClr val="bg1">
                  <a:lumMod val="95000"/>
                </a:schemeClr>
              </a:solidFill>
              <a:round/>
            </a:ln>
            <a:effectLst/>
          </c:spPr>
          <c:marker>
            <c:symbol val="none"/>
          </c:marker>
          <c:dLbls>
            <c:delete val="1"/>
          </c:dLbls>
          <c:cat>
            <c:strRef>
              <c:f>' Pivot Table &amp; Charts'!$A$42:$A$46</c:f>
              <c:strCache>
                <c:ptCount val="5"/>
                <c:pt idx="0">
                  <c:v>30-44</c:v>
                </c:pt>
                <c:pt idx="1">
                  <c:v>18-29</c:v>
                </c:pt>
                <c:pt idx="2">
                  <c:v>60+</c:v>
                </c:pt>
                <c:pt idx="3">
                  <c:v>45-59</c:v>
                </c:pt>
                <c:pt idx="4">
                  <c:v>&lt;18</c:v>
                </c:pt>
              </c:strCache>
            </c:strRef>
          </c:cat>
          <c:val>
            <c:numRef>
              <c:f>' Pivot Table &amp; Charts'!$B$42:$B$46</c:f>
              <c:numCache>
                <c:formatCode>0.00%</c:formatCode>
                <c:ptCount val="5"/>
                <c:pt idx="0">
                  <c:v>0.28521126760563381</c:v>
                </c:pt>
                <c:pt idx="1">
                  <c:v>0.19718309859154928</c:v>
                </c:pt>
                <c:pt idx="2">
                  <c:v>0.28169014084507044</c:v>
                </c:pt>
                <c:pt idx="3">
                  <c:v>0.22183098591549297</c:v>
                </c:pt>
                <c:pt idx="4">
                  <c:v>1.4084507042253521E-2</c:v>
                </c:pt>
              </c:numCache>
            </c:numRef>
          </c:val>
          <c:smooth val="0"/>
          <c:extLst>
            <c:ext xmlns:c16="http://schemas.microsoft.com/office/drawing/2014/chart" uri="{C3380CC4-5D6E-409C-BE32-E72D297353CC}">
              <c16:uniqueId val="{00000009-0A48-445A-A87C-0F0111C17C2A}"/>
            </c:ext>
          </c:extLst>
        </c:ser>
        <c:dLbls>
          <c:showLegendKey val="0"/>
          <c:showVal val="1"/>
          <c:showCatName val="0"/>
          <c:showSerName val="0"/>
          <c:showPercent val="0"/>
          <c:showBubbleSize val="0"/>
        </c:dLbls>
        <c:marker val="1"/>
        <c:smooth val="0"/>
        <c:axId val="475887168"/>
        <c:axId val="475886688"/>
      </c:lineChart>
      <c:catAx>
        <c:axId val="475896288"/>
        <c:scaling>
          <c:orientation val="minMax"/>
        </c:scaling>
        <c:delete val="0"/>
        <c:axPos val="b"/>
        <c:numFmt formatCode="General" sourceLinked="1"/>
        <c:majorTickMark val="out"/>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475884768"/>
        <c:crosses val="autoZero"/>
        <c:auto val="1"/>
        <c:lblAlgn val="ctr"/>
        <c:lblOffset val="100"/>
        <c:noMultiLvlLbl val="0"/>
      </c:catAx>
      <c:valAx>
        <c:axId val="475884768"/>
        <c:scaling>
          <c:orientation val="minMax"/>
          <c:max val="20000000"/>
        </c:scaling>
        <c:delete val="0"/>
        <c:axPos val="l"/>
        <c:numFmt formatCode="[&gt;=1000000]&quot;₦&quot;#,##0,,&quot;M&quot;;[&gt;=1000]&quot;₦&quot;#,##0,&quot;K&quot;;&quot;₦&quot;#,##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lumMod val="95000"/>
                  </a:schemeClr>
                </a:solidFill>
                <a:latin typeface="+mn-lt"/>
                <a:ea typeface="+mn-ea"/>
                <a:cs typeface="+mn-cs"/>
              </a:defRPr>
            </a:pPr>
            <a:endParaRPr lang="en-US"/>
          </a:p>
        </c:txPr>
        <c:crossAx val="475896288"/>
        <c:crosses val="autoZero"/>
        <c:crossBetween val="between"/>
        <c:majorUnit val="5000000"/>
      </c:valAx>
      <c:valAx>
        <c:axId val="475886688"/>
        <c:scaling>
          <c:orientation val="minMax"/>
        </c:scaling>
        <c:delete val="0"/>
        <c:axPos val="r"/>
        <c:numFmt formatCode="0%" sourceLinked="0"/>
        <c:majorTickMark val="out"/>
        <c:minorTickMark val="none"/>
        <c:tickLblPos val="none"/>
        <c:spPr>
          <a:noFill/>
          <a:ln>
            <a:noFill/>
          </a:ln>
          <a:effectLst/>
        </c:spPr>
        <c:txPr>
          <a:bodyPr rot="-60000000" spcFirstLastPara="1" vertOverflow="ellipsis" vert="horz" wrap="square" anchor="ctr" anchorCtr="1"/>
          <a:lstStyle/>
          <a:p>
            <a:pPr>
              <a:defRPr sz="1100" b="1" i="0" u="none" strike="noStrike" kern="1200" baseline="0">
                <a:solidFill>
                  <a:schemeClr val="bg1">
                    <a:lumMod val="95000"/>
                  </a:schemeClr>
                </a:solidFill>
                <a:latin typeface="+mn-lt"/>
                <a:ea typeface="+mn-ea"/>
                <a:cs typeface="+mn-cs"/>
              </a:defRPr>
            </a:pPr>
            <a:endParaRPr lang="en-US"/>
          </a:p>
        </c:txPr>
        <c:crossAx val="475887168"/>
        <c:crosses val="max"/>
        <c:crossBetween val="between"/>
      </c:valAx>
      <c:catAx>
        <c:axId val="475887168"/>
        <c:scaling>
          <c:orientation val="minMax"/>
        </c:scaling>
        <c:delete val="1"/>
        <c:axPos val="t"/>
        <c:numFmt formatCode="General" sourceLinked="1"/>
        <c:majorTickMark val="out"/>
        <c:minorTickMark val="none"/>
        <c:tickLblPos val="nextTo"/>
        <c:crossAx val="475886688"/>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Charts!Subsription Plan Top 5</c:name>
    <c:fmtId val="8"/>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b="0">
                <a:solidFill>
                  <a:schemeClr val="bg1"/>
                </a:solidFill>
              </a:rPr>
              <a:t>Top 5</a:t>
            </a:r>
            <a:r>
              <a:rPr lang="en-US" sz="1800" b="0" baseline="0">
                <a:solidFill>
                  <a:schemeClr val="bg1"/>
                </a:solidFill>
              </a:rPr>
              <a:t> Subscription Plan vs Revenue Lost</a:t>
            </a:r>
            <a:endParaRPr lang="en-US" sz="1800" b="0">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tx1">
              <a:lumMod val="65000"/>
              <a:lumOff val="35000"/>
            </a:schemeClr>
          </a:solidFill>
          <a:ln>
            <a:noFill/>
          </a:ln>
          <a:effectLst/>
        </c:spPr>
      </c:pivotFmt>
      <c:pivotFmt>
        <c:idx val="5"/>
        <c:spPr>
          <a:solidFill>
            <a:schemeClr val="tx1">
              <a:lumMod val="65000"/>
              <a:lumOff val="35000"/>
            </a:schemeClr>
          </a:solidFill>
          <a:ln>
            <a:noFill/>
          </a:ln>
          <a:effectLst/>
        </c:spPr>
      </c:pivotFmt>
      <c:pivotFmt>
        <c:idx val="6"/>
        <c:spPr>
          <a:solidFill>
            <a:schemeClr val="tx1">
              <a:lumMod val="50000"/>
              <a:lumOff val="50000"/>
            </a:schemeClr>
          </a:solidFill>
          <a:ln>
            <a:noFill/>
          </a:ln>
          <a:effectLst/>
        </c:spPr>
      </c:pivotFmt>
      <c:pivotFmt>
        <c:idx val="7"/>
        <c:spPr>
          <a:solidFill>
            <a:schemeClr val="tx1">
              <a:lumMod val="50000"/>
              <a:lumOff val="50000"/>
            </a:schemeClr>
          </a:solidFill>
          <a:ln>
            <a:noFill/>
          </a:ln>
          <a:effectLst/>
        </c:spPr>
      </c:pivotFmt>
      <c:pivotFmt>
        <c:idx val="8"/>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50000"/>
              <a:lumOff val="50000"/>
            </a:schemeClr>
          </a:solidFill>
          <a:ln>
            <a:noFill/>
          </a:ln>
          <a:effectLst/>
        </c:spPr>
      </c:pivotFmt>
      <c:pivotFmt>
        <c:idx val="10"/>
        <c:spPr>
          <a:solidFill>
            <a:schemeClr val="tx1">
              <a:lumMod val="50000"/>
              <a:lumOff val="50000"/>
            </a:schemeClr>
          </a:solidFill>
          <a:ln>
            <a:noFill/>
          </a:ln>
          <a:effectLst/>
        </c:spPr>
      </c:pivotFmt>
      <c:pivotFmt>
        <c:idx val="11"/>
        <c:spPr>
          <a:solidFill>
            <a:srgbClr val="FFC000"/>
          </a:solidFill>
          <a:ln>
            <a:noFill/>
          </a:ln>
          <a:effectLst/>
        </c:spPr>
      </c:pivotFmt>
      <c:pivotFmt>
        <c:idx val="1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lumMod val="50000"/>
              <a:lumOff val="50000"/>
            </a:schemeClr>
          </a:solidFill>
          <a:ln>
            <a:noFill/>
          </a:ln>
          <a:effectLst/>
        </c:spPr>
      </c:pivotFmt>
      <c:pivotFmt>
        <c:idx val="14"/>
        <c:spPr>
          <a:solidFill>
            <a:schemeClr val="tx1">
              <a:lumMod val="50000"/>
              <a:lumOff val="50000"/>
            </a:schemeClr>
          </a:solidFill>
          <a:ln>
            <a:noFill/>
          </a:ln>
          <a:effectLst/>
        </c:spPr>
      </c:pivotFmt>
      <c:pivotFmt>
        <c:idx val="15"/>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fld id="{ACB38217-E2FF-4232-8706-CF8907A0935D}" type="VALUE">
                  <a:rPr lang="en-US" baseline="0"/>
                  <a:pPr>
                    <a:defRPr sz="1400" b="1">
                      <a:solidFill>
                        <a:schemeClr val="bg1"/>
                      </a:solidFill>
                      <a:latin typeface="Gadugi" panose="020B0502040204020203" pitchFamily="34" charset="0"/>
                      <a:ea typeface="Gadug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2593620644558852"/>
          <c:y val="0.15272284952467163"/>
          <c:w val="0.67406379355441148"/>
          <c:h val="0.80478443081351814"/>
        </c:manualLayout>
      </c:layout>
      <c:barChart>
        <c:barDir val="bar"/>
        <c:grouping val="clustered"/>
        <c:varyColors val="0"/>
        <c:ser>
          <c:idx val="0"/>
          <c:order val="0"/>
          <c:tx>
            <c:strRef>
              <c:f>' Pivot Table &amp; Charts'!$B$96</c:f>
              <c:strCache>
                <c:ptCount val="1"/>
                <c:pt idx="0">
                  <c:v>Total</c:v>
                </c:pt>
              </c:strCache>
            </c:strRef>
          </c:tx>
          <c:spPr>
            <a:solidFill>
              <a:schemeClr val="tx1">
                <a:lumMod val="65000"/>
                <a:lumOff val="35000"/>
              </a:schemeClr>
            </a:solidFill>
            <a:ln>
              <a:noFill/>
            </a:ln>
            <a:effectLst/>
          </c:spPr>
          <c:invertIfNegative val="0"/>
          <c:dPt>
            <c:idx val="0"/>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1-4903-46ED-8B2D-35517F70A706}"/>
              </c:ext>
            </c:extLst>
          </c:dPt>
          <c:dPt>
            <c:idx val="1"/>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3-4903-46ED-8B2D-35517F70A706}"/>
              </c:ext>
            </c:extLst>
          </c:dPt>
          <c:dPt>
            <c:idx val="4"/>
            <c:invertIfNegative val="0"/>
            <c:bubble3D val="0"/>
            <c:spPr>
              <a:solidFill>
                <a:srgbClr val="FFC000"/>
              </a:solidFill>
              <a:ln>
                <a:noFill/>
              </a:ln>
              <a:effectLst/>
            </c:spPr>
            <c:extLst>
              <c:ext xmlns:c16="http://schemas.microsoft.com/office/drawing/2014/chart" uri="{C3380CC4-5D6E-409C-BE32-E72D297353CC}">
                <c16:uniqueId val="{00000005-4903-46ED-8B2D-35517F70A706}"/>
              </c:ext>
            </c:extLst>
          </c:dPt>
          <c:dLbls>
            <c:dLbl>
              <c:idx val="4"/>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fld id="{ACB38217-E2FF-4232-8706-CF8907A0935D}" type="VALUE">
                      <a:rPr lang="en-US" baseline="0"/>
                      <a:pPr>
                        <a:defRPr sz="1400" b="1">
                          <a:solidFill>
                            <a:schemeClr val="bg1"/>
                          </a:solidFill>
                          <a:latin typeface="Gadugi" panose="020B0502040204020203" pitchFamily="34" charset="0"/>
                          <a:ea typeface="Gadug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5-4903-46ED-8B2D-35517F70A70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Charts'!$A$97:$A$101</c:f>
              <c:strCache>
                <c:ptCount val="5"/>
                <c:pt idx="0">
                  <c:v>200GB Monthly Broadband Plan</c:v>
                </c:pt>
                <c:pt idx="1">
                  <c:v>450GB 3-Month Broadband Plan</c:v>
                </c:pt>
                <c:pt idx="2">
                  <c:v>300GB FUP Monthly Unlimited</c:v>
                </c:pt>
                <c:pt idx="3">
                  <c:v>165GB Monthly Plan</c:v>
                </c:pt>
                <c:pt idx="4">
                  <c:v>1.5TB Yearly Broadband Plan</c:v>
                </c:pt>
              </c:strCache>
            </c:strRef>
          </c:cat>
          <c:val>
            <c:numRef>
              <c:f>' Pivot Table &amp; Charts'!$B$97:$B$101</c:f>
              <c:numCache>
                <c:formatCode>[&gt;=1000000]"₦"#,##0,,"M";[&gt;=1000]"₦"#,##0,"K";"₦"#,##0</c:formatCode>
                <c:ptCount val="5"/>
                <c:pt idx="0">
                  <c:v>4100000</c:v>
                </c:pt>
                <c:pt idx="1">
                  <c:v>4425000</c:v>
                </c:pt>
                <c:pt idx="2">
                  <c:v>6900000</c:v>
                </c:pt>
                <c:pt idx="3">
                  <c:v>7595000</c:v>
                </c:pt>
                <c:pt idx="4">
                  <c:v>15300000</c:v>
                </c:pt>
              </c:numCache>
            </c:numRef>
          </c:val>
          <c:extLst>
            <c:ext xmlns:c16="http://schemas.microsoft.com/office/drawing/2014/chart" uri="{C3380CC4-5D6E-409C-BE32-E72D297353CC}">
              <c16:uniqueId val="{00000006-4903-46ED-8B2D-35517F70A706}"/>
            </c:ext>
          </c:extLst>
        </c:ser>
        <c:dLbls>
          <c:dLblPos val="outEnd"/>
          <c:showLegendKey val="0"/>
          <c:showVal val="1"/>
          <c:showCatName val="0"/>
          <c:showSerName val="0"/>
          <c:showPercent val="0"/>
          <c:showBubbleSize val="0"/>
        </c:dLbls>
        <c:gapWidth val="32"/>
        <c:axId val="1029201728"/>
        <c:axId val="1029207680"/>
      </c:barChart>
      <c:catAx>
        <c:axId val="102920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029207680"/>
        <c:crosses val="autoZero"/>
        <c:auto val="1"/>
        <c:lblAlgn val="ctr"/>
        <c:lblOffset val="100"/>
        <c:noMultiLvlLbl val="0"/>
      </c:catAx>
      <c:valAx>
        <c:axId val="1029207680"/>
        <c:scaling>
          <c:orientation val="minMax"/>
        </c:scaling>
        <c:delete val="1"/>
        <c:axPos val="b"/>
        <c:numFmt formatCode="[&gt;=1000000]&quot;₦&quot;#,##0,,&quot;M&quot;;[&gt;=1000]&quot;₦&quot;#,##0,&quot;K&quot;;&quot;₦&quot;#,##0" sourceLinked="1"/>
        <c:majorTickMark val="none"/>
        <c:minorTickMark val="none"/>
        <c:tickLblPos val="nextTo"/>
        <c:crossAx val="1029201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Charts!Gender Doughnut</c:name>
    <c:fmtId val="13"/>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Customer</a:t>
            </a:r>
            <a:r>
              <a:rPr lang="en-US" sz="1800" baseline="0">
                <a:solidFill>
                  <a:schemeClr val="bg1"/>
                </a:solidFill>
              </a:rPr>
              <a:t> Churn b</a:t>
            </a:r>
            <a:r>
              <a:rPr lang="en-US" sz="1800">
                <a:solidFill>
                  <a:schemeClr val="bg1"/>
                </a:solidFill>
              </a:rPr>
              <a:t>y Gender</a:t>
            </a:r>
          </a:p>
        </c:rich>
      </c:tx>
      <c:layout>
        <c:manualLayout>
          <c:xMode val="edge"/>
          <c:yMode val="edge"/>
          <c:x val="0.12603232769748157"/>
          <c:y val="2.894114321002744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noFill/>
          </a:ln>
          <a:effectLst/>
        </c:spPr>
        <c:dLbl>
          <c:idx val="0"/>
          <c:layout>
            <c:manualLayout>
              <c:x val="-8.0555555555555575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w="19050">
            <a:noFill/>
          </a:ln>
          <a:effectLst/>
        </c:spPr>
        <c:dLbl>
          <c:idx val="0"/>
          <c:layout>
            <c:manualLayout>
              <c:x val="5.8333333333333334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w="19050">
            <a:noFill/>
          </a:ln>
          <a:effectLst/>
        </c:spPr>
        <c:dLbl>
          <c:idx val="0"/>
          <c:layout>
            <c:manualLayout>
              <c:x val="5.8333333333333334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19050">
            <a:noFill/>
          </a:ln>
          <a:effectLst/>
        </c:spPr>
        <c:dLbl>
          <c:idx val="0"/>
          <c:layout>
            <c:manualLayout>
              <c:x val="-8.0555555555555575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lumMod val="65000"/>
              <a:lumOff val="35000"/>
            </a:schemeClr>
          </a:solidFill>
          <a:ln w="19050">
            <a:noFill/>
          </a:ln>
          <a:effectLst/>
        </c:spPr>
        <c:dLbl>
          <c:idx val="0"/>
          <c:layout>
            <c:manualLayout>
              <c:x val="5.8333333333333334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w="19050">
            <a:noFill/>
          </a:ln>
          <a:effectLst/>
        </c:spPr>
        <c:dLbl>
          <c:idx val="0"/>
          <c:layout>
            <c:manualLayout>
              <c:x val="0.13481552377107633"/>
              <c:y val="-5.295682097193622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w="19050">
            <a:noFill/>
          </a:ln>
          <a:effectLst/>
        </c:spPr>
        <c:dLbl>
          <c:idx val="0"/>
          <c:layout>
            <c:manualLayout>
              <c:x val="0.13773972664932035"/>
              <c:y val="-8.1705713437336356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50000"/>
              <a:lumOff val="50000"/>
            </a:schemeClr>
          </a:solidFill>
          <a:ln w="19050">
            <a:noFill/>
          </a:ln>
          <a:effectLst/>
        </c:spPr>
        <c:dLbl>
          <c:idx val="0"/>
          <c:layout>
            <c:manualLayout>
              <c:x val="0.14734947502020318"/>
              <c:y val="-4.902399438522620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w="19050">
            <a:noFill/>
          </a:ln>
          <a:effectLst/>
        </c:spPr>
        <c:dLbl>
          <c:idx val="0"/>
          <c:layout>
            <c:manualLayout>
              <c:x val="0.13773972664932035"/>
              <c:y val="-8.1705713437336356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50000"/>
              <a:lumOff val="50000"/>
            </a:schemeClr>
          </a:solidFill>
          <a:ln w="19050">
            <a:noFill/>
          </a:ln>
          <a:effectLst/>
        </c:spPr>
        <c:dLbl>
          <c:idx val="0"/>
          <c:layout>
            <c:manualLayout>
              <c:x val="0.14734947502020318"/>
              <c:y val="-4.902399438522620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solidFill>
          <a:ln w="19050">
            <a:noFill/>
          </a:ln>
          <a:effectLst/>
        </c:spPr>
        <c:dLbl>
          <c:idx val="0"/>
          <c:layout>
            <c:manualLayout>
              <c:x val="0.21951998393568384"/>
              <c:y val="3.9311266609009365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416160407663563"/>
                  <c:h val="0.108577718374086"/>
                </c:manualLayout>
              </c15:layout>
            </c:ext>
          </c:extLst>
        </c:dLbl>
      </c:pivotFmt>
      <c:pivotFmt>
        <c:idx val="17"/>
        <c:spPr>
          <a:solidFill>
            <a:schemeClr val="tx1">
              <a:lumMod val="50000"/>
              <a:lumOff val="50000"/>
            </a:schemeClr>
          </a:solidFill>
          <a:ln w="19050">
            <a:noFill/>
          </a:ln>
          <a:effectLst/>
        </c:spPr>
        <c:dLbl>
          <c:idx val="0"/>
          <c:layout>
            <c:manualLayout>
              <c:x val="0.14734947502020318"/>
              <c:y val="-4.902399438522620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53427863980548E-2"/>
          <c:y val="0.22739063600355813"/>
          <c:w val="0.67525381338019996"/>
          <c:h val="0.77260921357675805"/>
        </c:manualLayout>
      </c:layout>
      <c:doughnutChart>
        <c:varyColors val="1"/>
        <c:ser>
          <c:idx val="0"/>
          <c:order val="0"/>
          <c:tx>
            <c:strRef>
              <c:f>' Pivot Table &amp; Charts'!$E$79</c:f>
              <c:strCache>
                <c:ptCount val="1"/>
                <c:pt idx="0">
                  <c:v>Total</c:v>
                </c:pt>
              </c:strCache>
            </c:strRef>
          </c:tx>
          <c:spPr>
            <a:ln>
              <a:noFill/>
            </a:ln>
          </c:spPr>
          <c:dPt>
            <c:idx val="0"/>
            <c:bubble3D val="0"/>
            <c:spPr>
              <a:solidFill>
                <a:srgbClr val="FFC000"/>
              </a:solidFill>
              <a:ln w="19050">
                <a:noFill/>
              </a:ln>
              <a:effectLst/>
            </c:spPr>
            <c:extLst>
              <c:ext xmlns:c16="http://schemas.microsoft.com/office/drawing/2014/chart" uri="{C3380CC4-5D6E-409C-BE32-E72D297353CC}">
                <c16:uniqueId val="{00000001-E220-4CE3-8D45-1FF639116BFF}"/>
              </c:ext>
            </c:extLst>
          </c:dPt>
          <c:dPt>
            <c:idx val="1"/>
            <c:bubble3D val="0"/>
            <c:spPr>
              <a:solidFill>
                <a:schemeClr val="tx1">
                  <a:lumMod val="50000"/>
                  <a:lumOff val="50000"/>
                </a:schemeClr>
              </a:solidFill>
              <a:ln w="19050">
                <a:noFill/>
              </a:ln>
              <a:effectLst/>
            </c:spPr>
            <c:extLst>
              <c:ext xmlns:c16="http://schemas.microsoft.com/office/drawing/2014/chart" uri="{C3380CC4-5D6E-409C-BE32-E72D297353CC}">
                <c16:uniqueId val="{00000003-E220-4CE3-8D45-1FF639116BFF}"/>
              </c:ext>
            </c:extLst>
          </c:dPt>
          <c:dLbls>
            <c:dLbl>
              <c:idx val="0"/>
              <c:layout>
                <c:manualLayout>
                  <c:x val="0.21951998393568384"/>
                  <c:y val="3.9311266609009365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416160407663563"/>
                      <c:h val="0.108577718374086"/>
                    </c:manualLayout>
                  </c15:layout>
                </c:ext>
                <c:ext xmlns:c16="http://schemas.microsoft.com/office/drawing/2014/chart" uri="{C3380CC4-5D6E-409C-BE32-E72D297353CC}">
                  <c16:uniqueId val="{00000001-E220-4CE3-8D45-1FF639116BFF}"/>
                </c:ext>
              </c:extLst>
            </c:dLbl>
            <c:dLbl>
              <c:idx val="1"/>
              <c:layout>
                <c:manualLayout>
                  <c:x val="0.14734947502020318"/>
                  <c:y val="-4.902399438522620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20-4CE3-8D45-1FF639116BFF}"/>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 &amp; Charts'!$D$80:$D$81</c:f>
              <c:strCache>
                <c:ptCount val="2"/>
                <c:pt idx="0">
                  <c:v>Female</c:v>
                </c:pt>
                <c:pt idx="1">
                  <c:v>Male</c:v>
                </c:pt>
              </c:strCache>
            </c:strRef>
          </c:cat>
          <c:val>
            <c:numRef>
              <c:f>' Pivot Table &amp; Charts'!$E$80:$E$81</c:f>
              <c:numCache>
                <c:formatCode>0.00%</c:formatCode>
                <c:ptCount val="2"/>
                <c:pt idx="0">
                  <c:v>0.5273972602739726</c:v>
                </c:pt>
                <c:pt idx="1">
                  <c:v>0.4726027397260274</c:v>
                </c:pt>
              </c:numCache>
            </c:numRef>
          </c:val>
          <c:extLst>
            <c:ext xmlns:c16="http://schemas.microsoft.com/office/drawing/2014/chart" uri="{C3380CC4-5D6E-409C-BE32-E72D297353CC}">
              <c16:uniqueId val="{00000004-E220-4CE3-8D45-1FF639116BFF}"/>
            </c:ext>
          </c:extLst>
        </c:ser>
        <c:dLbls>
          <c:showLegendKey val="0"/>
          <c:showVal val="0"/>
          <c:showCatName val="0"/>
          <c:showSerName val="0"/>
          <c:showPercent val="0"/>
          <c:showBubbleSize val="0"/>
          <c:showLeaderLines val="1"/>
        </c:dLbls>
        <c:firstSliceAng val="174"/>
        <c:holeSize val="65"/>
      </c:doughnutChart>
      <c:spPr>
        <a:noFill/>
        <a:ln>
          <a:noFill/>
        </a:ln>
        <a:effectLst/>
      </c:spPr>
    </c:plotArea>
    <c:legend>
      <c:legendPos val="r"/>
      <c:layout>
        <c:manualLayout>
          <c:xMode val="edge"/>
          <c:yMode val="edge"/>
          <c:x val="0.65198625071161875"/>
          <c:y val="0.73484370750537364"/>
          <c:w val="0.31586540458053791"/>
          <c:h val="0.2213690368837783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Charts!Reason for Churn</c:name>
    <c:fmtId val="33"/>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b="0">
                <a:solidFill>
                  <a:schemeClr val="bg1"/>
                </a:solidFill>
              </a:rPr>
              <a:t>Pareto</a:t>
            </a:r>
            <a:r>
              <a:rPr lang="en-US" sz="1800" b="0" baseline="0">
                <a:solidFill>
                  <a:schemeClr val="bg1"/>
                </a:solidFill>
              </a:rPr>
              <a:t> Chart of Churn Reasons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lumMod val="95000"/>
              </a:schemeClr>
            </a:solidFill>
            <a:round/>
          </a:ln>
          <a:effectLst/>
        </c:spPr>
        <c:marker>
          <c:symbol val="none"/>
        </c:marker>
      </c:pivotFmt>
      <c:pivotFmt>
        <c:idx val="2"/>
        <c:spPr>
          <a:solidFill>
            <a:schemeClr val="tx1">
              <a:lumMod val="65000"/>
              <a:lumOff val="35000"/>
            </a:schemeClr>
          </a:solidFill>
          <a:ln>
            <a:noFill/>
          </a:ln>
          <a:effectLst/>
        </c:spPr>
      </c:pivotFmt>
      <c:pivotFmt>
        <c:idx val="3"/>
        <c:spPr>
          <a:solidFill>
            <a:schemeClr val="tx1">
              <a:lumMod val="50000"/>
              <a:lumOff val="50000"/>
            </a:schemeClr>
          </a:solidFill>
          <a:ln>
            <a:noFill/>
          </a:ln>
          <a:effectLst/>
        </c:spPr>
      </c:pivotFmt>
      <c:pivotFmt>
        <c:idx val="4"/>
        <c:spPr>
          <a:solidFill>
            <a:schemeClr val="bg1">
              <a:lumMod val="50000"/>
            </a:schemeClr>
          </a:solidFill>
          <a:ln>
            <a:noFill/>
          </a:ln>
          <a:effectLst/>
        </c:spPr>
      </c:pivotFmt>
      <c:pivotFmt>
        <c:idx val="5"/>
        <c:spPr>
          <a:solidFill>
            <a:schemeClr val="bg1">
              <a:lumMod val="50000"/>
            </a:schemeClr>
          </a:solidFill>
          <a:ln>
            <a:noFill/>
          </a:ln>
          <a:effectLst/>
        </c:spPr>
      </c:pivotFmt>
      <c:pivotFmt>
        <c:idx val="6"/>
        <c:spPr>
          <a:solidFill>
            <a:schemeClr val="bg1">
              <a:lumMod val="65000"/>
            </a:schemeClr>
          </a:solidFill>
          <a:ln>
            <a:noFill/>
          </a:ln>
          <a:effectLst/>
        </c:spPr>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65000"/>
              <a:lumOff val="35000"/>
            </a:schemeClr>
          </a:solidFill>
          <a:ln>
            <a:noFill/>
          </a:ln>
          <a:effectLst/>
        </c:spPr>
      </c:pivotFmt>
      <c:pivotFmt>
        <c:idx val="9"/>
        <c:spPr>
          <a:solidFill>
            <a:schemeClr val="tx1">
              <a:lumMod val="50000"/>
              <a:lumOff val="50000"/>
            </a:schemeClr>
          </a:solidFill>
          <a:ln>
            <a:noFill/>
          </a:ln>
          <a:effectLst/>
        </c:spPr>
      </c:pivotFmt>
      <c:pivotFmt>
        <c:idx val="10"/>
        <c:spPr>
          <a:solidFill>
            <a:schemeClr val="bg1">
              <a:lumMod val="50000"/>
            </a:schemeClr>
          </a:solidFill>
          <a:ln>
            <a:noFill/>
          </a:ln>
          <a:effectLst/>
        </c:spPr>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lumMod val="65000"/>
              <a:lumOff val="35000"/>
            </a:schemeClr>
          </a:solidFill>
          <a:ln>
            <a:noFill/>
          </a:ln>
          <a:effectLst/>
        </c:spPr>
      </c:pivotFmt>
      <c:pivotFmt>
        <c:idx val="16"/>
        <c:spPr>
          <a:solidFill>
            <a:schemeClr val="tx1">
              <a:lumMod val="50000"/>
              <a:lumOff val="50000"/>
            </a:schemeClr>
          </a:solidFill>
          <a:ln>
            <a:noFill/>
          </a:ln>
          <a:effectLst/>
        </c:spPr>
      </c:pivotFmt>
      <c:pivotFmt>
        <c:idx val="17"/>
        <c:spPr>
          <a:solidFill>
            <a:schemeClr val="bg1">
              <a:lumMod val="50000"/>
            </a:schemeClr>
          </a:solidFill>
          <a:ln>
            <a:noFill/>
          </a:ln>
          <a:effectLst/>
        </c:spPr>
      </c:pivotFmt>
      <c:pivotFmt>
        <c:idx val="18"/>
        <c:spPr>
          <a:solidFill>
            <a:schemeClr val="bg1">
              <a:lumMod val="50000"/>
            </a:schemeClr>
          </a:solidFill>
          <a:ln>
            <a:noFill/>
          </a:ln>
          <a:effectLst/>
        </c:spPr>
      </c:pivotFmt>
      <c:pivotFmt>
        <c:idx val="19"/>
        <c:spPr>
          <a:solidFill>
            <a:schemeClr val="bg1">
              <a:lumMod val="65000"/>
            </a:schemeClr>
          </a:solidFill>
          <a:ln>
            <a:noFill/>
          </a:ln>
          <a:effectLst/>
        </c:spPr>
      </c:pivotFmt>
      <c:pivotFmt>
        <c:idx val="20"/>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lumMod val="65000"/>
              <a:lumOff val="35000"/>
            </a:schemeClr>
          </a:solidFill>
          <a:ln>
            <a:noFill/>
          </a:ln>
          <a:effectLst/>
        </c:spPr>
      </c:pivotFmt>
      <c:pivotFmt>
        <c:idx val="23"/>
        <c:spPr>
          <a:solidFill>
            <a:schemeClr val="tx1">
              <a:lumMod val="50000"/>
              <a:lumOff val="50000"/>
            </a:schemeClr>
          </a:solidFill>
          <a:ln>
            <a:noFill/>
          </a:ln>
          <a:effectLst/>
        </c:spPr>
      </c:pivotFmt>
      <c:pivotFmt>
        <c:idx val="24"/>
        <c:spPr>
          <a:solidFill>
            <a:schemeClr val="bg1">
              <a:lumMod val="50000"/>
            </a:schemeClr>
          </a:solidFill>
          <a:ln>
            <a:noFill/>
          </a:ln>
          <a:effectLst/>
        </c:spPr>
      </c:pivotFmt>
      <c:pivotFmt>
        <c:idx val="25"/>
        <c:spPr>
          <a:solidFill>
            <a:schemeClr val="bg1">
              <a:lumMod val="50000"/>
            </a:schemeClr>
          </a:solidFill>
          <a:ln>
            <a:noFill/>
          </a:ln>
          <a:effectLst/>
        </c:spPr>
      </c:pivotFmt>
      <c:pivotFmt>
        <c:idx val="26"/>
        <c:spPr>
          <a:solidFill>
            <a:schemeClr val="bg1">
              <a:lumMod val="65000"/>
            </a:schemeClr>
          </a:solidFill>
          <a:ln>
            <a:noFill/>
          </a:ln>
          <a:effectLst/>
        </c:spPr>
      </c:pivotFmt>
      <c:pivotFmt>
        <c:idx val="27"/>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1">
              <a:lumMod val="65000"/>
              <a:lumOff val="35000"/>
            </a:schemeClr>
          </a:solidFill>
          <a:ln>
            <a:noFill/>
          </a:ln>
          <a:effectLst/>
        </c:spPr>
      </c:pivotFmt>
      <c:pivotFmt>
        <c:idx val="30"/>
        <c:spPr>
          <a:solidFill>
            <a:schemeClr val="tx1">
              <a:lumMod val="50000"/>
              <a:lumOff val="50000"/>
            </a:schemeClr>
          </a:solidFill>
          <a:ln>
            <a:noFill/>
          </a:ln>
          <a:effectLst/>
        </c:spPr>
      </c:pivotFmt>
      <c:pivotFmt>
        <c:idx val="31"/>
        <c:spPr>
          <a:solidFill>
            <a:schemeClr val="bg1">
              <a:lumMod val="50000"/>
            </a:schemeClr>
          </a:solidFill>
          <a:ln>
            <a:noFill/>
          </a:ln>
          <a:effectLst/>
        </c:spPr>
      </c:pivotFmt>
      <c:pivotFmt>
        <c:idx val="32"/>
        <c:spPr>
          <a:solidFill>
            <a:schemeClr val="bg1">
              <a:lumMod val="50000"/>
            </a:schemeClr>
          </a:solidFill>
          <a:ln>
            <a:noFill/>
          </a:ln>
          <a:effectLst/>
        </c:spPr>
      </c:pivotFmt>
      <c:pivotFmt>
        <c:idx val="33"/>
        <c:spPr>
          <a:solidFill>
            <a:schemeClr val="bg1">
              <a:lumMod val="65000"/>
            </a:schemeClr>
          </a:solidFill>
          <a:ln>
            <a:noFill/>
          </a:ln>
          <a:effectLst/>
        </c:spPr>
      </c:pivotFmt>
      <c:pivotFmt>
        <c:idx val="34"/>
        <c:spPr>
          <a:solidFill>
            <a:schemeClr val="accent1"/>
          </a:solidFill>
          <a:ln w="28575" cap="rnd">
            <a:solidFill>
              <a:schemeClr val="bg1">
                <a:lumMod val="95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chemeClr val="tx1">
              <a:lumMod val="65000"/>
              <a:lumOff val="35000"/>
            </a:schemeClr>
          </a:solidFill>
          <a:ln>
            <a:noFill/>
          </a:ln>
          <a:effectLst/>
        </c:spPr>
      </c:pivotFmt>
      <c:pivotFmt>
        <c:idx val="42"/>
        <c:spPr>
          <a:solidFill>
            <a:schemeClr val="tx1">
              <a:lumMod val="65000"/>
              <a:lumOff val="35000"/>
            </a:schemeClr>
          </a:solidFill>
          <a:ln>
            <a:noFill/>
          </a:ln>
          <a:effectLst/>
        </c:spPr>
        <c:dLbl>
          <c:idx val="0"/>
          <c:layout>
            <c:manualLayout>
              <c:x val="1.1649446277838054E-2"/>
              <c:y val="8.148152900643278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tx1">
              <a:lumMod val="65000"/>
              <a:lumOff val="35000"/>
            </a:schemeClr>
          </a:solidFill>
          <a:ln>
            <a:noFill/>
          </a:ln>
          <a:effectLst/>
        </c:spPr>
      </c:pivotFmt>
      <c:pivotFmt>
        <c:idx val="44"/>
        <c:spPr>
          <a:solidFill>
            <a:schemeClr val="tx1">
              <a:lumMod val="65000"/>
              <a:lumOff val="35000"/>
            </a:schemeClr>
          </a:solidFill>
          <a:ln>
            <a:noFill/>
          </a:ln>
          <a:effectLst/>
        </c:spPr>
      </c:pivotFmt>
      <c:pivotFmt>
        <c:idx val="45"/>
        <c:spPr>
          <a:solidFill>
            <a:schemeClr val="tx1">
              <a:lumMod val="50000"/>
              <a:lumOff val="50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FFC000"/>
          </a:solidFill>
          <a:ln>
            <a:noFill/>
          </a:ln>
          <a:effectLst/>
        </c:spPr>
      </c:pivotFmt>
      <c:pivotFmt>
        <c:idx val="48"/>
        <c:spPr>
          <a:solidFill>
            <a:srgbClr val="FFC000"/>
          </a:solidFill>
          <a:ln>
            <a:noFill/>
          </a:ln>
          <a:effectLst/>
        </c:spPr>
      </c:pivotFmt>
      <c:pivotFmt>
        <c:idx val="49"/>
        <c:spPr>
          <a:solidFill>
            <a:schemeClr val="tx1">
              <a:lumMod val="65000"/>
              <a:lumOff val="35000"/>
            </a:schemeClr>
          </a:solidFill>
          <a:ln>
            <a:noFill/>
          </a:ln>
          <a:effectLst/>
        </c:spPr>
      </c:pivotFmt>
      <c:pivotFmt>
        <c:idx val="50"/>
        <c:spPr>
          <a:solidFill>
            <a:schemeClr val="tx1">
              <a:lumMod val="65000"/>
              <a:lumOff val="35000"/>
            </a:schemeClr>
          </a:solidFill>
          <a:ln>
            <a:noFill/>
          </a:ln>
          <a:effectLst/>
        </c:spPr>
        <c:dLbl>
          <c:idx val="0"/>
          <c:layout>
            <c:manualLayout>
              <c:x val="1.1649446277838054E-2"/>
              <c:y val="8.148152900643278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tx1">
              <a:lumMod val="65000"/>
              <a:lumOff val="35000"/>
            </a:schemeClr>
          </a:solidFill>
          <a:ln>
            <a:noFill/>
          </a:ln>
          <a:effectLst/>
        </c:spPr>
      </c:pivotFmt>
      <c:pivotFmt>
        <c:idx val="52"/>
        <c:spPr>
          <a:solidFill>
            <a:schemeClr val="tx1">
              <a:lumMod val="65000"/>
              <a:lumOff val="35000"/>
            </a:schemeClr>
          </a:solidFill>
          <a:ln>
            <a:noFill/>
          </a:ln>
          <a:effectLst/>
        </c:spPr>
      </c:pivotFmt>
      <c:pivotFmt>
        <c:idx val="53"/>
        <c:spPr>
          <a:solidFill>
            <a:schemeClr val="tx1">
              <a:lumMod val="50000"/>
              <a:lumOff val="50000"/>
            </a:schemeClr>
          </a:solidFill>
          <a:ln>
            <a:noFill/>
          </a:ln>
          <a:effectLst/>
        </c:spPr>
      </c:pivotFmt>
      <c:pivotFmt>
        <c:idx val="54"/>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fld id="{DE608DA0-8406-4872-A513-8D490D28C431}" type="VALUE">
                  <a:rPr lang="en-US" baseline="0"/>
                  <a:pPr>
                    <a:defRPr sz="1400" b="1">
                      <a:solidFill>
                        <a:schemeClr val="bg1"/>
                      </a:solidFill>
                      <a:latin typeface="Gadugi" panose="020B0502040204020203" pitchFamily="34" charset="0"/>
                      <a:ea typeface="Gadug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57"/>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fld id="{0FE13BA5-199A-4A21-A00A-BADAD2D332CF}" type="VALUE">
                  <a:rPr lang="en-US" baseline="0"/>
                  <a:pPr>
                    <a:defRPr sz="1400" b="1">
                      <a:solidFill>
                        <a:schemeClr val="bg1"/>
                      </a:solidFill>
                      <a:latin typeface="Gadugi" panose="020B0502040204020203" pitchFamily="34" charset="0"/>
                      <a:ea typeface="Gadug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58"/>
        <c:spPr>
          <a:solidFill>
            <a:schemeClr val="tx1">
              <a:lumMod val="65000"/>
              <a:lumOff val="35000"/>
            </a:schemeClr>
          </a:solidFill>
          <a:ln>
            <a:noFill/>
          </a:ln>
          <a:effectLst/>
        </c:spPr>
      </c:pivotFmt>
      <c:pivotFmt>
        <c:idx val="59"/>
        <c:spPr>
          <a:solidFill>
            <a:schemeClr val="tx1">
              <a:lumMod val="65000"/>
              <a:lumOff val="35000"/>
            </a:schemeClr>
          </a:solidFill>
          <a:ln>
            <a:noFill/>
          </a:ln>
          <a:effectLst/>
        </c:spPr>
        <c:dLbl>
          <c:idx val="0"/>
          <c:layout>
            <c:manualLayout>
              <c:x val="-6.0021325300059301E-17"/>
              <c:y val="-4.313728154224585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tx1">
              <a:lumMod val="65000"/>
              <a:lumOff val="35000"/>
            </a:schemeClr>
          </a:solidFill>
          <a:ln>
            <a:noFill/>
          </a:ln>
          <a:effectLst/>
        </c:spPr>
      </c:pivotFmt>
      <c:pivotFmt>
        <c:idx val="61"/>
        <c:spPr>
          <a:solidFill>
            <a:schemeClr val="tx1">
              <a:lumMod val="65000"/>
              <a:lumOff val="35000"/>
            </a:schemeClr>
          </a:solidFill>
          <a:ln>
            <a:noFill/>
          </a:ln>
          <a:effectLst/>
        </c:spPr>
      </c:pivotFmt>
      <c:pivotFmt>
        <c:idx val="62"/>
        <c:spPr>
          <a:solidFill>
            <a:schemeClr val="tx1">
              <a:lumMod val="50000"/>
              <a:lumOff val="50000"/>
            </a:schemeClr>
          </a:solidFill>
          <a:ln>
            <a:noFill/>
          </a:ln>
          <a:effectLst/>
        </c:spPr>
      </c:pivotFmt>
      <c:pivotFmt>
        <c:idx val="63"/>
        <c:spPr>
          <a:ln w="28575" cap="rnd">
            <a:solidFill>
              <a:schemeClr val="bg1">
                <a:lumMod val="95000"/>
              </a:schemeClr>
            </a:solidFill>
            <a:round/>
          </a:ln>
          <a:effectLst/>
        </c:spPr>
        <c:marker>
          <c:symbol val="none"/>
        </c:marker>
      </c:pivotFmt>
    </c:pivotFmts>
    <c:plotArea>
      <c:layout/>
      <c:barChart>
        <c:barDir val="col"/>
        <c:grouping val="clustered"/>
        <c:varyColors val="0"/>
        <c:ser>
          <c:idx val="0"/>
          <c:order val="0"/>
          <c:tx>
            <c:strRef>
              <c:f>' Pivot Table &amp; Charts'!$E$10</c:f>
              <c:strCache>
                <c:ptCount val="1"/>
                <c:pt idx="0">
                  <c:v>Sum of Unique Customers</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B189-48D9-968A-0D5E500EBC45}"/>
              </c:ext>
            </c:extLst>
          </c:dPt>
          <c:dPt>
            <c:idx val="1"/>
            <c:invertIfNegative val="0"/>
            <c:bubble3D val="0"/>
            <c:spPr>
              <a:solidFill>
                <a:srgbClr val="FFC000"/>
              </a:solidFill>
              <a:ln>
                <a:noFill/>
              </a:ln>
              <a:effectLst/>
            </c:spPr>
            <c:extLst>
              <c:ext xmlns:c16="http://schemas.microsoft.com/office/drawing/2014/chart" uri="{C3380CC4-5D6E-409C-BE32-E72D297353CC}">
                <c16:uniqueId val="{00000003-B189-48D9-968A-0D5E500EBC45}"/>
              </c:ext>
            </c:extLst>
          </c:dPt>
          <c:dPt>
            <c:idx val="2"/>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5-B189-48D9-968A-0D5E500EBC45}"/>
              </c:ext>
            </c:extLst>
          </c:dPt>
          <c:dPt>
            <c:idx val="3"/>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7-B189-48D9-968A-0D5E500EBC45}"/>
              </c:ext>
            </c:extLst>
          </c:dPt>
          <c:dPt>
            <c:idx val="4"/>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9-B189-48D9-968A-0D5E500EBC45}"/>
              </c:ext>
            </c:extLst>
          </c:dPt>
          <c:dPt>
            <c:idx val="5"/>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B-B189-48D9-968A-0D5E500EBC45}"/>
              </c:ext>
            </c:extLst>
          </c:dPt>
          <c:dPt>
            <c:idx val="6"/>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D-B189-48D9-968A-0D5E500EBC45}"/>
              </c:ext>
            </c:extLst>
          </c:dPt>
          <c:dLbls>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fld id="{DE608DA0-8406-4872-A513-8D490D28C431}" type="VALUE">
                      <a:rPr lang="en-US" baseline="0"/>
                      <a:pPr>
                        <a:defRPr sz="1400" b="1">
                          <a:solidFill>
                            <a:schemeClr val="bg1"/>
                          </a:solidFill>
                          <a:latin typeface="Gadugi" panose="020B0502040204020203" pitchFamily="34" charset="0"/>
                          <a:ea typeface="Gadug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B189-48D9-968A-0D5E500EBC45}"/>
                </c:ext>
              </c:extLst>
            </c:dLbl>
            <c:dLbl>
              <c:idx val="1"/>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fld id="{0FE13BA5-199A-4A21-A00A-BADAD2D332CF}" type="VALUE">
                      <a:rPr lang="en-US" baseline="0"/>
                      <a:pPr>
                        <a:defRPr sz="1400" b="1">
                          <a:solidFill>
                            <a:schemeClr val="bg1"/>
                          </a:solidFill>
                          <a:latin typeface="Gadugi" panose="020B0502040204020203" pitchFamily="34" charset="0"/>
                          <a:ea typeface="Gadug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3-B189-48D9-968A-0D5E500EBC45}"/>
                </c:ext>
              </c:extLst>
            </c:dLbl>
            <c:dLbl>
              <c:idx val="3"/>
              <c:layout>
                <c:manualLayout>
                  <c:x val="-6.0021325300059301E-17"/>
                  <c:y val="-4.31372815422458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189-48D9-968A-0D5E500EBC45}"/>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 Pivot Table &amp; Charts'!$D$11:$D$17</c:f>
              <c:strCache>
                <c:ptCount val="7"/>
                <c:pt idx="0">
                  <c:v>Better Offers from Competitors</c:v>
                </c:pt>
                <c:pt idx="1">
                  <c:v>High Call Tarriffs</c:v>
                </c:pt>
                <c:pt idx="2">
                  <c:v>Poor Network</c:v>
                </c:pt>
                <c:pt idx="3">
                  <c:v>Costly Data Plans</c:v>
                </c:pt>
                <c:pt idx="4">
                  <c:v>Fast Data Consumption</c:v>
                </c:pt>
                <c:pt idx="5">
                  <c:v>Poor Customer Service</c:v>
                </c:pt>
                <c:pt idx="6">
                  <c:v>Relocation</c:v>
                </c:pt>
              </c:strCache>
            </c:strRef>
          </c:cat>
          <c:val>
            <c:numRef>
              <c:f>' Pivot Table &amp; Charts'!$E$11:$E$17</c:f>
              <c:numCache>
                <c:formatCode>General</c:formatCode>
                <c:ptCount val="7"/>
                <c:pt idx="0">
                  <c:v>29</c:v>
                </c:pt>
                <c:pt idx="1">
                  <c:v>26</c:v>
                </c:pt>
                <c:pt idx="2">
                  <c:v>20</c:v>
                </c:pt>
                <c:pt idx="3">
                  <c:v>20</c:v>
                </c:pt>
                <c:pt idx="4">
                  <c:v>18</c:v>
                </c:pt>
                <c:pt idx="5">
                  <c:v>18</c:v>
                </c:pt>
                <c:pt idx="6">
                  <c:v>15</c:v>
                </c:pt>
              </c:numCache>
            </c:numRef>
          </c:val>
          <c:extLst>
            <c:ext xmlns:c16="http://schemas.microsoft.com/office/drawing/2014/chart" uri="{C3380CC4-5D6E-409C-BE32-E72D297353CC}">
              <c16:uniqueId val="{0000000E-B189-48D9-968A-0D5E500EBC45}"/>
            </c:ext>
          </c:extLst>
        </c:ser>
        <c:dLbls>
          <c:showLegendKey val="0"/>
          <c:showVal val="1"/>
          <c:showCatName val="0"/>
          <c:showSerName val="0"/>
          <c:showPercent val="0"/>
          <c:showBubbleSize val="0"/>
        </c:dLbls>
        <c:gapWidth val="60"/>
        <c:axId val="649764048"/>
        <c:axId val="649750160"/>
      </c:barChart>
      <c:lineChart>
        <c:grouping val="standard"/>
        <c:varyColors val="0"/>
        <c:ser>
          <c:idx val="1"/>
          <c:order val="1"/>
          <c:tx>
            <c:strRef>
              <c:f>' Pivot Table &amp; Charts'!$F$10</c:f>
              <c:strCache>
                <c:ptCount val="1"/>
                <c:pt idx="0">
                  <c:v>Sum of Unique Customers2</c:v>
                </c:pt>
              </c:strCache>
            </c:strRef>
          </c:tx>
          <c:spPr>
            <a:ln w="28575" cap="rnd">
              <a:solidFill>
                <a:schemeClr val="bg1">
                  <a:lumMod val="95000"/>
                </a:schemeClr>
              </a:solidFill>
              <a:round/>
            </a:ln>
            <a:effectLst/>
          </c:spPr>
          <c:marker>
            <c:symbol val="none"/>
          </c:marker>
          <c:dLbls>
            <c:delete val="1"/>
          </c:dLbls>
          <c:cat>
            <c:strRef>
              <c:f>' Pivot Table &amp; Charts'!$D$11:$D$17</c:f>
              <c:strCache>
                <c:ptCount val="7"/>
                <c:pt idx="0">
                  <c:v>Better Offers from Competitors</c:v>
                </c:pt>
                <c:pt idx="1">
                  <c:v>High Call Tarriffs</c:v>
                </c:pt>
                <c:pt idx="2">
                  <c:v>Poor Network</c:v>
                </c:pt>
                <c:pt idx="3">
                  <c:v>Costly Data Plans</c:v>
                </c:pt>
                <c:pt idx="4">
                  <c:v>Fast Data Consumption</c:v>
                </c:pt>
                <c:pt idx="5">
                  <c:v>Poor Customer Service</c:v>
                </c:pt>
                <c:pt idx="6">
                  <c:v>Relocation</c:v>
                </c:pt>
              </c:strCache>
            </c:strRef>
          </c:cat>
          <c:val>
            <c:numRef>
              <c:f>' Pivot Table &amp; Charts'!$F$11:$F$17</c:f>
              <c:numCache>
                <c:formatCode>0.00%</c:formatCode>
                <c:ptCount val="7"/>
                <c:pt idx="0">
                  <c:v>0.19863013698630136</c:v>
                </c:pt>
                <c:pt idx="1">
                  <c:v>0.37671232876712329</c:v>
                </c:pt>
                <c:pt idx="2">
                  <c:v>0.51369863013698636</c:v>
                </c:pt>
                <c:pt idx="3">
                  <c:v>0.65068493150684936</c:v>
                </c:pt>
                <c:pt idx="4">
                  <c:v>0.77397260273972601</c:v>
                </c:pt>
                <c:pt idx="5">
                  <c:v>0.89726027397260277</c:v>
                </c:pt>
                <c:pt idx="6">
                  <c:v>1</c:v>
                </c:pt>
              </c:numCache>
            </c:numRef>
          </c:val>
          <c:smooth val="0"/>
          <c:extLst>
            <c:ext xmlns:c16="http://schemas.microsoft.com/office/drawing/2014/chart" uri="{C3380CC4-5D6E-409C-BE32-E72D297353CC}">
              <c16:uniqueId val="{0000000F-B189-48D9-968A-0D5E500EBC45}"/>
            </c:ext>
          </c:extLst>
        </c:ser>
        <c:dLbls>
          <c:showLegendKey val="0"/>
          <c:showVal val="1"/>
          <c:showCatName val="0"/>
          <c:showSerName val="0"/>
          <c:showPercent val="0"/>
          <c:showBubbleSize val="0"/>
        </c:dLbls>
        <c:marker val="1"/>
        <c:smooth val="0"/>
        <c:axId val="1190837232"/>
        <c:axId val="1190830784"/>
      </c:lineChart>
      <c:catAx>
        <c:axId val="64976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49750160"/>
        <c:crosses val="autoZero"/>
        <c:auto val="1"/>
        <c:lblAlgn val="ctr"/>
        <c:lblOffset val="100"/>
        <c:noMultiLvlLbl val="0"/>
      </c:catAx>
      <c:valAx>
        <c:axId val="649750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649764048"/>
        <c:crosses val="autoZero"/>
        <c:crossBetween val="between"/>
      </c:valAx>
      <c:valAx>
        <c:axId val="1190830784"/>
        <c:scaling>
          <c:orientation val="minMax"/>
          <c:max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90837232"/>
        <c:crosses val="max"/>
        <c:crossBetween val="between"/>
      </c:valAx>
      <c:catAx>
        <c:axId val="1190837232"/>
        <c:scaling>
          <c:orientation val="minMax"/>
        </c:scaling>
        <c:delete val="1"/>
        <c:axPos val="b"/>
        <c:numFmt formatCode="General" sourceLinked="1"/>
        <c:majorTickMark val="out"/>
        <c:minorTickMark val="none"/>
        <c:tickLblPos val="nextTo"/>
        <c:crossAx val="119083078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Charts!Customer Review</c:name>
    <c:fmtId val="14"/>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Churn  by Customer Review Rating</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fld id="{48FC6EE1-FA63-44BE-A638-748D3AF31BED}" type="VALUE">
                  <a:rPr lang="en-US" baseline="0"/>
                  <a:pPr>
                    <a:defRPr sz="1400" b="1">
                      <a:solidFill>
                        <a:schemeClr val="bg1"/>
                      </a:solidFill>
                      <a:latin typeface="Gadugi" panose="020B0502040204020203" pitchFamily="34" charset="0"/>
                      <a:ea typeface="Gadug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 Pivot Table &amp; Charts'!$B$49:$B$51</c:f>
              <c:strCache>
                <c:ptCount val="1"/>
                <c:pt idx="0">
                  <c:v>Yes - Sum of Unique Customers</c:v>
                </c:pt>
              </c:strCache>
            </c:strRef>
          </c:tx>
          <c:spPr>
            <a:solidFill>
              <a:srgbClr val="FFC000"/>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2-25E6-44D0-962C-8A87FB4E8EA0}"/>
              </c:ext>
            </c:extLst>
          </c:dPt>
          <c:dLbls>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fld id="{48FC6EE1-FA63-44BE-A638-748D3AF31BED}" type="VALUE">
                      <a:rPr lang="en-US" baseline="0"/>
                      <a:pPr>
                        <a:defRPr sz="1400" b="1">
                          <a:solidFill>
                            <a:schemeClr val="bg1"/>
                          </a:solidFill>
                          <a:latin typeface="Gadugi" panose="020B0502040204020203" pitchFamily="34" charset="0"/>
                          <a:ea typeface="Gadug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2-25E6-44D0-962C-8A87FB4E8EA0}"/>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Charts'!$A$52:$A$56</c:f>
              <c:strCache>
                <c:ptCount val="5"/>
                <c:pt idx="0">
                  <c:v>Very Good</c:v>
                </c:pt>
                <c:pt idx="1">
                  <c:v>Excellent</c:v>
                </c:pt>
                <c:pt idx="2">
                  <c:v>Fair</c:v>
                </c:pt>
                <c:pt idx="3">
                  <c:v>Good</c:v>
                </c:pt>
                <c:pt idx="4">
                  <c:v>Poor</c:v>
                </c:pt>
              </c:strCache>
            </c:strRef>
          </c:cat>
          <c:val>
            <c:numRef>
              <c:f>' Pivot Table &amp; Charts'!$B$52:$B$56</c:f>
              <c:numCache>
                <c:formatCode>General</c:formatCode>
                <c:ptCount val="5"/>
                <c:pt idx="0">
                  <c:v>32</c:v>
                </c:pt>
                <c:pt idx="1">
                  <c:v>31</c:v>
                </c:pt>
                <c:pt idx="2">
                  <c:v>30</c:v>
                </c:pt>
                <c:pt idx="3">
                  <c:v>27</c:v>
                </c:pt>
                <c:pt idx="4">
                  <c:v>26</c:v>
                </c:pt>
              </c:numCache>
            </c:numRef>
          </c:val>
          <c:extLst>
            <c:ext xmlns:c16="http://schemas.microsoft.com/office/drawing/2014/chart" uri="{C3380CC4-5D6E-409C-BE32-E72D297353CC}">
              <c16:uniqueId val="{00000000-25E6-44D0-962C-8A87FB4E8EA0}"/>
            </c:ext>
          </c:extLst>
        </c:ser>
        <c:dLbls>
          <c:showLegendKey val="0"/>
          <c:showVal val="0"/>
          <c:showCatName val="0"/>
          <c:showSerName val="0"/>
          <c:showPercent val="0"/>
          <c:showBubbleSize val="0"/>
        </c:dLbls>
        <c:gapWidth val="60"/>
        <c:axId val="607495744"/>
        <c:axId val="607512608"/>
      </c:barChart>
      <c:lineChart>
        <c:grouping val="standard"/>
        <c:varyColors val="0"/>
        <c:ser>
          <c:idx val="1"/>
          <c:order val="1"/>
          <c:tx>
            <c:strRef>
              <c:f>' Pivot Table &amp; Charts'!$C$49:$C$51</c:f>
              <c:strCache>
                <c:ptCount val="1"/>
                <c:pt idx="0">
                  <c:v>Yes - Sum of Unique Customers2</c:v>
                </c:pt>
              </c:strCache>
            </c:strRef>
          </c:tx>
          <c:spPr>
            <a:ln w="28575" cap="rnd">
              <a:solidFill>
                <a:schemeClr val="bg1">
                  <a:lumMod val="95000"/>
                </a:schemeClr>
              </a:solidFill>
              <a:round/>
            </a:ln>
            <a:effectLst/>
          </c:spPr>
          <c:marker>
            <c:symbol val="none"/>
          </c:marker>
          <c:cat>
            <c:strRef>
              <c:f>' Pivot Table &amp; Charts'!$A$52:$A$56</c:f>
              <c:strCache>
                <c:ptCount val="5"/>
                <c:pt idx="0">
                  <c:v>Very Good</c:v>
                </c:pt>
                <c:pt idx="1">
                  <c:v>Excellent</c:v>
                </c:pt>
                <c:pt idx="2">
                  <c:v>Fair</c:v>
                </c:pt>
                <c:pt idx="3">
                  <c:v>Good</c:v>
                </c:pt>
                <c:pt idx="4">
                  <c:v>Poor</c:v>
                </c:pt>
              </c:strCache>
            </c:strRef>
          </c:cat>
          <c:val>
            <c:numRef>
              <c:f>' Pivot Table &amp; Charts'!$C$52:$C$56</c:f>
              <c:numCache>
                <c:formatCode>0.00%</c:formatCode>
                <c:ptCount val="5"/>
                <c:pt idx="0">
                  <c:v>0.21917808219178081</c:v>
                </c:pt>
                <c:pt idx="1">
                  <c:v>0.21232876712328766</c:v>
                </c:pt>
                <c:pt idx="2">
                  <c:v>0.20547945205479451</c:v>
                </c:pt>
                <c:pt idx="3">
                  <c:v>0.18493150684931506</c:v>
                </c:pt>
                <c:pt idx="4">
                  <c:v>0.17808219178082191</c:v>
                </c:pt>
              </c:numCache>
            </c:numRef>
          </c:val>
          <c:smooth val="0"/>
          <c:extLst>
            <c:ext xmlns:c16="http://schemas.microsoft.com/office/drawing/2014/chart" uri="{C3380CC4-5D6E-409C-BE32-E72D297353CC}">
              <c16:uniqueId val="{00000001-25E6-44D0-962C-8A87FB4E8EA0}"/>
            </c:ext>
          </c:extLst>
        </c:ser>
        <c:dLbls>
          <c:showLegendKey val="0"/>
          <c:showVal val="0"/>
          <c:showCatName val="0"/>
          <c:showSerName val="0"/>
          <c:showPercent val="0"/>
          <c:showBubbleSize val="0"/>
        </c:dLbls>
        <c:marker val="1"/>
        <c:smooth val="0"/>
        <c:axId val="1029189328"/>
        <c:axId val="1029188832"/>
      </c:lineChart>
      <c:catAx>
        <c:axId val="60749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07512608"/>
        <c:crosses val="autoZero"/>
        <c:auto val="1"/>
        <c:lblAlgn val="ctr"/>
        <c:lblOffset val="100"/>
        <c:noMultiLvlLbl val="0"/>
      </c:catAx>
      <c:valAx>
        <c:axId val="607512608"/>
        <c:scaling>
          <c:orientation val="minMax"/>
          <c:max val="3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607495744"/>
        <c:crosses val="autoZero"/>
        <c:crossBetween val="between"/>
        <c:majorUnit val="5"/>
      </c:valAx>
      <c:valAx>
        <c:axId val="1029188832"/>
        <c:scaling>
          <c:orientation val="minMax"/>
          <c:max val="0.25"/>
        </c:scaling>
        <c:delete val="0"/>
        <c:axPos val="r"/>
        <c:numFmt formatCode="0%"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189328"/>
        <c:crosses val="max"/>
        <c:crossBetween val="between"/>
      </c:valAx>
      <c:catAx>
        <c:axId val="1029189328"/>
        <c:scaling>
          <c:orientation val="minMax"/>
        </c:scaling>
        <c:delete val="1"/>
        <c:axPos val="b"/>
        <c:numFmt formatCode="General" sourceLinked="1"/>
        <c:majorTickMark val="out"/>
        <c:minorTickMark val="none"/>
        <c:tickLblPos val="nextTo"/>
        <c:crossAx val="102918883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Charts!Device Type Doughnut</c:name>
    <c:fmtId val="16"/>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Customer</a:t>
            </a:r>
            <a:r>
              <a:rPr lang="en-US" sz="1800" baseline="0">
                <a:solidFill>
                  <a:schemeClr val="bg1"/>
                </a:solidFill>
              </a:rPr>
              <a:t> Churn b</a:t>
            </a:r>
            <a:r>
              <a:rPr lang="en-US" sz="1800">
                <a:solidFill>
                  <a:schemeClr val="bg1"/>
                </a:solidFill>
              </a:rPr>
              <a:t>y Device</a:t>
            </a:r>
          </a:p>
        </c:rich>
      </c:tx>
      <c:layout>
        <c:manualLayout>
          <c:xMode val="edge"/>
          <c:yMode val="edge"/>
          <c:x val="0.22361111111111115"/>
          <c:y val="2.8480536931733465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dLbl>
          <c:idx val="0"/>
          <c:layout>
            <c:manualLayout>
              <c:x val="4.999999999999989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w="19050">
            <a:solidFill>
              <a:schemeClr val="lt1"/>
            </a:solidFill>
          </a:ln>
          <a:effectLst/>
        </c:spPr>
      </c:pivotFmt>
      <c:pivotFmt>
        <c:idx val="3"/>
        <c:spPr>
          <a:solidFill>
            <a:schemeClr val="bg1">
              <a:lumMod val="8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bg1">
              <a:lumMod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pivotFmt>
      <c:pivotFmt>
        <c:idx val="7"/>
        <c:spPr>
          <a:solidFill>
            <a:schemeClr val="tx1">
              <a:lumMod val="65000"/>
              <a:lumOff val="35000"/>
            </a:schemeClr>
          </a:solidFill>
          <a:ln w="19050">
            <a:solidFill>
              <a:schemeClr val="lt1"/>
            </a:solidFill>
          </a:ln>
          <a:effectLst/>
        </c:spPr>
      </c:pivotFmt>
      <c:pivotFmt>
        <c:idx val="8"/>
        <c:spPr>
          <a:solidFill>
            <a:schemeClr val="bg1">
              <a:lumMod val="85000"/>
            </a:schemeClr>
          </a:solidFill>
          <a:ln w="19050">
            <a:solidFill>
              <a:schemeClr val="lt1"/>
            </a:solidFill>
          </a:ln>
          <a:effectLst/>
        </c:spPr>
      </c:pivotFmt>
      <c:pivotFmt>
        <c:idx val="9"/>
        <c:spPr>
          <a:solidFill>
            <a:schemeClr val="bg1">
              <a:lumMod val="65000"/>
            </a:schemeClr>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w="19050">
            <a:noFill/>
          </a:ln>
          <a:effectLst/>
        </c:spPr>
        <c:dLbl>
          <c:idx val="0"/>
          <c:layout>
            <c:manualLayout>
              <c:x val="6.4385558357767866E-2"/>
              <c:y val="-0.19551825853702981"/>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949408211298488"/>
                  <c:h val="0.13327466419638723"/>
                </c:manualLayout>
              </c15:layout>
            </c:ext>
          </c:extLst>
        </c:dLbl>
      </c:pivotFmt>
      <c:pivotFmt>
        <c:idx val="12"/>
        <c:spPr>
          <a:solidFill>
            <a:schemeClr val="tx1">
              <a:lumMod val="65000"/>
              <a:lumOff val="35000"/>
            </a:schemeClr>
          </a:solidFill>
          <a:ln w="19050">
            <a:noFill/>
          </a:ln>
          <a:effectLst/>
        </c:spPr>
        <c:dLbl>
          <c:idx val="0"/>
          <c:layout>
            <c:manualLayout>
              <c:x val="0.16984972097861628"/>
              <c:y val="4.633595800524934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933392426336418"/>
                  <c:h val="0.10974525243168133"/>
                </c:manualLayout>
              </c15:layout>
            </c:ext>
          </c:extLst>
        </c:dLbl>
      </c:pivotFmt>
      <c:pivotFmt>
        <c:idx val="13"/>
        <c:spPr>
          <a:solidFill>
            <a:schemeClr val="bg1">
              <a:lumMod val="85000"/>
            </a:schemeClr>
          </a:solidFill>
          <a:ln w="19050">
            <a:noFill/>
          </a:ln>
          <a:effectLst/>
        </c:spPr>
        <c:dLbl>
          <c:idx val="0"/>
          <c:layout>
            <c:manualLayout>
              <c:x val="-4.9014987947316839E-2"/>
              <c:y val="0.2593836743095891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65000"/>
            </a:schemeClr>
          </a:solidFill>
          <a:ln w="19050">
            <a:noFill/>
          </a:ln>
          <a:effectLst/>
        </c:spPr>
        <c:dLbl>
          <c:idx val="0"/>
          <c:layout>
            <c:manualLayout>
              <c:x val="-0.1073838150002748"/>
              <c:y val="-0.1372549019607843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w="19050">
            <a:noFill/>
          </a:ln>
          <a:effectLst/>
        </c:spPr>
        <c:dLbl>
          <c:idx val="0"/>
          <c:layout>
            <c:manualLayout>
              <c:x val="-8.5508219561767018E-2"/>
              <c:y val="-0.1000000374953271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w="19050">
            <a:noFill/>
          </a:ln>
          <a:effectLst/>
        </c:spPr>
        <c:dLbl>
          <c:idx val="0"/>
          <c:layout>
            <c:manualLayout>
              <c:x val="9.1208767532551471E-2"/>
              <c:y val="-7.142859821094800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1">
              <a:lumMod val="85000"/>
            </a:schemeClr>
          </a:solidFill>
          <a:ln w="19050">
            <a:noFill/>
          </a:ln>
          <a:effectLst/>
        </c:spPr>
        <c:dLbl>
          <c:idx val="0"/>
          <c:layout>
            <c:manualLayout>
              <c:x val="-7.1256849634805844E-2"/>
              <c:y val="-0.1333333833271028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1">
              <a:lumMod val="50000"/>
            </a:schemeClr>
          </a:solidFill>
          <a:ln w="19050">
            <a:noFill/>
          </a:ln>
          <a:effectLst/>
        </c:spPr>
        <c:dLbl>
          <c:idx val="0"/>
          <c:layout>
            <c:manualLayout>
              <c:x val="-0.13396287731343498"/>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lumMod val="65000"/>
              <a:lumOff val="35000"/>
            </a:schemeClr>
          </a:solidFill>
          <a:ln w="19050">
            <a:noFill/>
          </a:ln>
          <a:effectLst/>
        </c:spPr>
        <c:dLbl>
          <c:idx val="0"/>
          <c:layout>
            <c:manualLayout>
              <c:x val="9.1208767532551471E-2"/>
              <c:y val="-7.142859821094800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bg1">
              <a:lumMod val="85000"/>
            </a:schemeClr>
          </a:solidFill>
          <a:ln w="19050">
            <a:noFill/>
          </a:ln>
          <a:effectLst/>
        </c:spPr>
        <c:dLbl>
          <c:idx val="0"/>
          <c:layout>
            <c:manualLayout>
              <c:x val="-7.1256849634805844E-2"/>
              <c:y val="-0.1333333833271028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50000"/>
            </a:schemeClr>
          </a:solidFill>
          <a:ln w="19050">
            <a:noFill/>
          </a:ln>
          <a:effectLst/>
        </c:spPr>
        <c:dLbl>
          <c:idx val="0"/>
          <c:layout>
            <c:manualLayout>
              <c:x val="-0.13396287731343498"/>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C000"/>
          </a:solidFill>
          <a:ln w="19050">
            <a:noFill/>
          </a:ln>
          <a:effectLst/>
        </c:spPr>
        <c:dLbl>
          <c:idx val="0"/>
          <c:layout>
            <c:manualLayout>
              <c:x val="-8.5508219561767018E-2"/>
              <c:y val="-0.1000000374953271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w="19050">
            <a:noFill/>
          </a:ln>
          <a:effectLst/>
        </c:spPr>
        <c:dLbl>
          <c:idx val="0"/>
          <c:layout>
            <c:manualLayout>
              <c:x val="-1.6556413867049136E-2"/>
              <c:y val="2.380953273698265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85000"/>
            </a:schemeClr>
          </a:solidFill>
          <a:ln w="19050">
            <a:noFill/>
          </a:ln>
          <a:effectLst/>
        </c:spPr>
        <c:dLbl>
          <c:idx val="0"/>
          <c:layout>
            <c:manualLayout>
              <c:x val="-0.10165218193496056"/>
              <c:y val="-1.428571964218959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50000"/>
            </a:schemeClr>
          </a:solidFill>
          <a:ln w="19050">
            <a:noFill/>
          </a:ln>
          <a:effectLst/>
        </c:spPr>
        <c:dLbl>
          <c:idx val="0"/>
          <c:layout>
            <c:manualLayout>
              <c:x val="-4.0013672449535569E-2"/>
              <c:y val="-8.571431785313755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C000"/>
          </a:solidFill>
          <a:ln w="19050">
            <a:noFill/>
          </a:ln>
          <a:effectLst/>
        </c:spPr>
        <c:dLbl>
          <c:idx val="0"/>
          <c:layout>
            <c:manualLayout>
              <c:x val="4.9888992938366933E-2"/>
              <c:y val="-0.2333334208224300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1">
              <a:lumMod val="65000"/>
              <a:lumOff val="35000"/>
            </a:schemeClr>
          </a:solidFill>
          <a:ln w="19050">
            <a:noFill/>
          </a:ln>
          <a:effectLst/>
        </c:spPr>
        <c:dLbl>
          <c:idx val="0"/>
          <c:layout>
            <c:manualLayout>
              <c:x val="-1.6556413867049136E-2"/>
              <c:y val="2.380953273698265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bg1">
              <a:lumMod val="85000"/>
            </a:schemeClr>
          </a:solidFill>
          <a:ln w="19050">
            <a:noFill/>
          </a:ln>
          <a:effectLst/>
        </c:spPr>
        <c:dLbl>
          <c:idx val="0"/>
          <c:layout>
            <c:manualLayout>
              <c:x val="-0.10165218193496056"/>
              <c:y val="-1.428571964218959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bg1">
              <a:lumMod val="50000"/>
            </a:schemeClr>
          </a:solidFill>
          <a:ln w="19050">
            <a:noFill/>
          </a:ln>
          <a:effectLst/>
        </c:spPr>
        <c:dLbl>
          <c:idx val="0"/>
          <c:layout>
            <c:manualLayout>
              <c:x val="-4.0013672449535569E-2"/>
              <c:y val="-8.571431785313755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C000"/>
          </a:solidFill>
          <a:ln w="19050">
            <a:noFill/>
          </a:ln>
          <a:effectLst/>
        </c:spPr>
        <c:dLbl>
          <c:idx val="0"/>
          <c:layout>
            <c:manualLayout>
              <c:x val="4.9888992938366933E-2"/>
              <c:y val="-0.2333334208224300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ln>
            <a:noFill/>
          </a:ln>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7"/>
        <c:spPr>
          <a:solidFill>
            <a:schemeClr val="bg2">
              <a:lumMod val="50000"/>
            </a:schemeClr>
          </a:solidFill>
          <a:ln w="19050">
            <a:noFill/>
          </a:ln>
          <a:effectLst/>
        </c:spPr>
        <c:dLbl>
          <c:idx val="0"/>
          <c:layout>
            <c:manualLayout>
              <c:x val="-0.11292829467745104"/>
              <c:y val="1.60010304800124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8"/>
        <c:spPr>
          <a:solidFill>
            <a:srgbClr val="FAF8AA">
              <a:alpha val="50000"/>
            </a:srgbClr>
          </a:solidFill>
          <a:ln w="19050">
            <a:noFill/>
          </a:ln>
          <a:effectLst/>
        </c:spPr>
        <c:dLbl>
          <c:idx val="0"/>
          <c:layout>
            <c:manualLayout>
              <c:x val="-7.0178058099880369E-2"/>
              <c:y val="-0.14703062204163544"/>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9"/>
        <c:spPr>
          <a:solidFill>
            <a:srgbClr val="E2E2E2">
              <a:alpha val="81961"/>
            </a:srgbClr>
          </a:solidFill>
          <a:ln w="19050">
            <a:noFill/>
          </a:ln>
          <a:effectLst/>
        </c:spPr>
        <c:dLbl>
          <c:idx val="0"/>
          <c:layout>
            <c:manualLayout>
              <c:x val="3.3682396843251736E-2"/>
              <c:y val="-0.11304414924375618"/>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0"/>
        <c:spPr>
          <a:solidFill>
            <a:srgbClr val="FFC000"/>
          </a:solidFill>
          <a:ln w="19050">
            <a:noFill/>
          </a:ln>
          <a:effectLst/>
        </c:spPr>
        <c:dLbl>
          <c:idx val="0"/>
          <c:layout>
            <c:manualLayout>
              <c:x val="-0.16127872408806043"/>
              <c:y val="-4.7880737309678685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8039954827075186"/>
                  <c:h val="0.12138359772175379"/>
                </c:manualLayout>
              </c15:layout>
            </c:ext>
          </c:extLst>
        </c:dLbl>
      </c:pivotFmt>
    </c:pivotFmts>
    <c:plotArea>
      <c:layout>
        <c:manualLayout>
          <c:layoutTarget val="inner"/>
          <c:xMode val="edge"/>
          <c:yMode val="edge"/>
          <c:x val="8.1505883193172271E-2"/>
          <c:y val="0.24018884345526834"/>
          <c:w val="0.55161720856321517"/>
          <c:h val="0.75981115654473153"/>
        </c:manualLayout>
      </c:layout>
      <c:doughnutChart>
        <c:varyColors val="1"/>
        <c:ser>
          <c:idx val="0"/>
          <c:order val="0"/>
          <c:tx>
            <c:strRef>
              <c:f>' Pivot Table &amp; Charts'!$E$84:$E$85</c:f>
              <c:strCache>
                <c:ptCount val="1"/>
                <c:pt idx="0">
                  <c:v>Yes</c:v>
                </c:pt>
              </c:strCache>
            </c:strRef>
          </c:tx>
          <c:spPr>
            <a:ln>
              <a:noFill/>
            </a:ln>
          </c:spPr>
          <c:dPt>
            <c:idx val="0"/>
            <c:bubble3D val="0"/>
            <c:spPr>
              <a:solidFill>
                <a:schemeClr val="bg2">
                  <a:lumMod val="50000"/>
                </a:schemeClr>
              </a:solidFill>
              <a:ln w="19050">
                <a:noFill/>
              </a:ln>
              <a:effectLst/>
            </c:spPr>
            <c:extLst>
              <c:ext xmlns:c16="http://schemas.microsoft.com/office/drawing/2014/chart" uri="{C3380CC4-5D6E-409C-BE32-E72D297353CC}">
                <c16:uniqueId val="{00000001-4338-400D-99A8-90FFF5DC9121}"/>
              </c:ext>
            </c:extLst>
          </c:dPt>
          <c:dPt>
            <c:idx val="1"/>
            <c:bubble3D val="0"/>
            <c:spPr>
              <a:solidFill>
                <a:srgbClr val="FAF8AA">
                  <a:alpha val="50000"/>
                </a:srgbClr>
              </a:solidFill>
              <a:ln w="19050">
                <a:noFill/>
              </a:ln>
              <a:effectLst/>
            </c:spPr>
            <c:extLst>
              <c:ext xmlns:c16="http://schemas.microsoft.com/office/drawing/2014/chart" uri="{C3380CC4-5D6E-409C-BE32-E72D297353CC}">
                <c16:uniqueId val="{00000003-4338-400D-99A8-90FFF5DC9121}"/>
              </c:ext>
            </c:extLst>
          </c:dPt>
          <c:dPt>
            <c:idx val="2"/>
            <c:bubble3D val="0"/>
            <c:spPr>
              <a:solidFill>
                <a:srgbClr val="E2E2E2">
                  <a:alpha val="81961"/>
                </a:srgbClr>
              </a:solidFill>
              <a:ln w="19050">
                <a:noFill/>
              </a:ln>
              <a:effectLst/>
            </c:spPr>
            <c:extLst>
              <c:ext xmlns:c16="http://schemas.microsoft.com/office/drawing/2014/chart" uri="{C3380CC4-5D6E-409C-BE32-E72D297353CC}">
                <c16:uniqueId val="{00000005-4338-400D-99A8-90FFF5DC9121}"/>
              </c:ext>
            </c:extLst>
          </c:dPt>
          <c:dPt>
            <c:idx val="3"/>
            <c:bubble3D val="0"/>
            <c:spPr>
              <a:solidFill>
                <a:srgbClr val="FFC000"/>
              </a:solidFill>
              <a:ln w="19050">
                <a:noFill/>
              </a:ln>
              <a:effectLst/>
            </c:spPr>
            <c:extLst>
              <c:ext xmlns:c16="http://schemas.microsoft.com/office/drawing/2014/chart" uri="{C3380CC4-5D6E-409C-BE32-E72D297353CC}">
                <c16:uniqueId val="{00000007-4338-400D-99A8-90FFF5DC9121}"/>
              </c:ext>
            </c:extLst>
          </c:dPt>
          <c:dLbls>
            <c:dLbl>
              <c:idx val="0"/>
              <c:layout>
                <c:manualLayout>
                  <c:x val="-0.11292829467745104"/>
                  <c:y val="1.60010304800124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4338-400D-99A8-90FFF5DC9121}"/>
                </c:ext>
              </c:extLst>
            </c:dLbl>
            <c:dLbl>
              <c:idx val="1"/>
              <c:layout>
                <c:manualLayout>
                  <c:x val="-7.0178058099880369E-2"/>
                  <c:y val="-0.14703062204163544"/>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4338-400D-99A8-90FFF5DC9121}"/>
                </c:ext>
              </c:extLst>
            </c:dLbl>
            <c:dLbl>
              <c:idx val="2"/>
              <c:layout>
                <c:manualLayout>
                  <c:x val="3.3682396843251736E-2"/>
                  <c:y val="-0.11304414924375618"/>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4338-400D-99A8-90FFF5DC9121}"/>
                </c:ext>
              </c:extLst>
            </c:dLbl>
            <c:dLbl>
              <c:idx val="3"/>
              <c:layout>
                <c:manualLayout>
                  <c:x val="-0.16127872408806043"/>
                  <c:y val="-4.7880737309678685E-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8039954827075186"/>
                      <c:h val="0.12138359772175379"/>
                    </c:manualLayout>
                  </c15:layout>
                </c:ext>
                <c:ext xmlns:c16="http://schemas.microsoft.com/office/drawing/2014/chart" uri="{C3380CC4-5D6E-409C-BE32-E72D297353CC}">
                  <c16:uniqueId val="{00000007-4338-400D-99A8-90FFF5DC9121}"/>
                </c:ext>
              </c:extLst>
            </c:dLbl>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 Pivot Table &amp; Charts'!$D$86:$D$89</c:f>
              <c:strCache>
                <c:ptCount val="4"/>
                <c:pt idx="0">
                  <c:v>4G Router</c:v>
                </c:pt>
                <c:pt idx="1">
                  <c:v>5G Broadband Router</c:v>
                </c:pt>
                <c:pt idx="2">
                  <c:v>Broadband MiFi</c:v>
                </c:pt>
                <c:pt idx="3">
                  <c:v>Mobile SIM Card</c:v>
                </c:pt>
              </c:strCache>
            </c:strRef>
          </c:cat>
          <c:val>
            <c:numRef>
              <c:f>' Pivot Table &amp; Charts'!$E$86:$E$89</c:f>
              <c:numCache>
                <c:formatCode>0.00%</c:formatCode>
                <c:ptCount val="4"/>
                <c:pt idx="0">
                  <c:v>0.25342465753424659</c:v>
                </c:pt>
                <c:pt idx="1">
                  <c:v>0.18493150684931506</c:v>
                </c:pt>
                <c:pt idx="2">
                  <c:v>0.17123287671232876</c:v>
                </c:pt>
                <c:pt idx="3">
                  <c:v>0.3904109589041096</c:v>
                </c:pt>
              </c:numCache>
            </c:numRef>
          </c:val>
          <c:extLst>
            <c:ext xmlns:c16="http://schemas.microsoft.com/office/drawing/2014/chart" uri="{C3380CC4-5D6E-409C-BE32-E72D297353CC}">
              <c16:uniqueId val="{00000008-4338-400D-99A8-90FFF5DC9121}"/>
            </c:ext>
          </c:extLst>
        </c:ser>
        <c:dLbls>
          <c:showLegendKey val="0"/>
          <c:showVal val="1"/>
          <c:showCatName val="0"/>
          <c:showSerName val="0"/>
          <c:showPercent val="0"/>
          <c:showBubbleSize val="0"/>
          <c:showLeaderLines val="1"/>
        </c:dLbls>
        <c:firstSliceAng val="163"/>
        <c:holeSize val="65"/>
      </c:doughnutChart>
      <c:spPr>
        <a:noFill/>
        <a:ln>
          <a:noFill/>
        </a:ln>
        <a:effectLst/>
      </c:spPr>
    </c:plotArea>
    <c:legend>
      <c:legendPos val="r"/>
      <c:layout>
        <c:manualLayout>
          <c:xMode val="edge"/>
          <c:yMode val="edge"/>
          <c:x val="0.65723752117010403"/>
          <c:y val="0.5348452573786765"/>
          <c:w val="0.34276247882989591"/>
          <c:h val="0.4614109521702948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Charts!PivotTable10</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0">
                <a:solidFill>
                  <a:schemeClr val="bg1"/>
                </a:solidFill>
              </a:rPr>
              <a:t>Churn by Tenure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chemeClr val="tx1">
              <a:lumMod val="75000"/>
              <a:lumOff val="25000"/>
            </a:schemeClr>
          </a:solidFill>
          <a:ln>
            <a:noFill/>
          </a:ln>
          <a:effectLst/>
        </c:spPr>
      </c:pivotFmt>
      <c:pivotFmt>
        <c:idx val="3"/>
        <c:spPr>
          <a:solidFill>
            <a:schemeClr val="tx1">
              <a:lumMod val="75000"/>
              <a:lumOff val="25000"/>
            </a:schemeClr>
          </a:solidFill>
          <a:ln>
            <a:noFill/>
          </a:ln>
          <a:effectLst/>
        </c:spPr>
      </c:pivotFmt>
      <c:pivotFmt>
        <c:idx val="4"/>
        <c:spPr>
          <a:solidFill>
            <a:schemeClr val="tx1">
              <a:lumMod val="50000"/>
              <a:lumOff val="5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a:noFill/>
          </a:ln>
          <a:effectLst/>
        </c:spPr>
      </c:pivotFmt>
      <c:pivotFmt>
        <c:idx val="7"/>
        <c:spPr>
          <a:solidFill>
            <a:schemeClr val="tx1">
              <a:lumMod val="75000"/>
              <a:lumOff val="25000"/>
            </a:schemeClr>
          </a:solidFill>
          <a:ln>
            <a:noFill/>
          </a:ln>
          <a:effectLst/>
        </c:spPr>
      </c:pivotFmt>
      <c:pivotFmt>
        <c:idx val="8"/>
        <c:spPr>
          <a:solidFill>
            <a:schemeClr val="tx1">
              <a:lumMod val="75000"/>
              <a:lumOff val="25000"/>
            </a:schemeClr>
          </a:solidFill>
          <a:ln>
            <a:noFill/>
          </a:ln>
          <a:effectLst/>
        </c:spPr>
      </c:pivotFmt>
      <c:pivotFmt>
        <c:idx val="9"/>
        <c:spPr>
          <a:solidFill>
            <a:srgbClr val="FFC0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50000"/>
              <a:lumOff val="50000"/>
            </a:schemeClr>
          </a:solidFill>
          <a:ln>
            <a:noFill/>
          </a:ln>
          <a:effectLst/>
        </c:spPr>
      </c:pivotFmt>
      <c:pivotFmt>
        <c:idx val="12"/>
        <c:spPr>
          <a:solidFill>
            <a:schemeClr val="tx1">
              <a:lumMod val="65000"/>
              <a:lumOff val="35000"/>
            </a:schemeClr>
          </a:solidFill>
          <a:ln>
            <a:noFill/>
          </a:ln>
          <a:effectLst/>
        </c:spPr>
      </c:pivotFmt>
      <c:pivotFmt>
        <c:idx val="13"/>
        <c:spPr>
          <a:solidFill>
            <a:schemeClr val="tx1">
              <a:lumMod val="65000"/>
              <a:lumOff val="35000"/>
            </a:schemeClr>
          </a:solidFill>
          <a:ln>
            <a:noFill/>
          </a:ln>
          <a:effectLst/>
        </c:spPr>
      </c:pivotFmt>
      <c:pivotFmt>
        <c:idx val="14"/>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fld id="{5BA4690B-0AA2-431C-8389-3E569386CD29}" type="VALUE">
                  <a:rPr lang="en-US" b="1"/>
                  <a:pPr>
                    <a:defRPr sz="1400" b="0" i="0" u="none" strike="noStrike" kern="1200" baseline="0">
                      <a:solidFill>
                        <a:schemeClr val="bg1"/>
                      </a:solidFill>
                      <a:latin typeface="Gadugi" panose="020B0502040204020203" pitchFamily="34" charset="0"/>
                      <a:ea typeface="Gadugi" panose="020B0502040204020203" pitchFamily="34" charset="0"/>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dLbl>
          <c:idx val="0"/>
          <c:layout>
            <c:manualLayout>
              <c:x val="0"/>
              <c:y val="3.868497877504471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pivotFmt>
      <c:pivotFmt>
        <c:idx val="19"/>
        <c:spPr>
          <a:solidFill>
            <a:schemeClr val="tx1">
              <a:lumMod val="65000"/>
              <a:lumOff val="35000"/>
            </a:schemeClr>
          </a:solidFill>
          <a:ln>
            <a:noFill/>
          </a:ln>
          <a:effectLst/>
        </c:spPr>
      </c:pivotFmt>
      <c:pivotFmt>
        <c:idx val="20"/>
        <c:spPr>
          <a:solidFill>
            <a:schemeClr val="bg1">
              <a:lumMod val="5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1">
              <a:lumMod val="50000"/>
            </a:schemeClr>
          </a:solidFill>
          <a:ln>
            <a:noFill/>
          </a:ln>
          <a:effectLst/>
        </c:spPr>
      </c:pivotFmt>
      <c:pivotFmt>
        <c:idx val="23"/>
        <c:spPr>
          <a:solidFill>
            <a:schemeClr val="tx1">
              <a:lumMod val="65000"/>
              <a:lumOff val="35000"/>
            </a:schemeClr>
          </a:solidFill>
          <a:ln>
            <a:noFill/>
          </a:ln>
          <a:effectLst/>
        </c:spPr>
      </c:pivotFmt>
      <c:pivotFmt>
        <c:idx val="24"/>
        <c:spPr>
          <a:solidFill>
            <a:schemeClr val="tx1">
              <a:lumMod val="65000"/>
              <a:lumOff val="35000"/>
            </a:schemeClr>
          </a:solidFill>
          <a:ln>
            <a:noFill/>
          </a:ln>
          <a:effectLst/>
        </c:spPr>
      </c:pivotFmt>
      <c:pivotFmt>
        <c:idx val="25"/>
        <c:spPr>
          <a:solidFill>
            <a:srgbClr val="FFC000"/>
          </a:solidFill>
          <a:ln>
            <a:noFill/>
          </a:ln>
          <a:effectLst/>
        </c:spPr>
        <c:dLbl>
          <c:idx val="0"/>
          <c:layout>
            <c:manualLayout>
              <c:x val="0"/>
              <c:y val="3.868497877504471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bg1">
              <a:lumMod val="50000"/>
            </a:schemeClr>
          </a:solidFill>
          <a:ln>
            <a:noFill/>
          </a:ln>
          <a:effectLst/>
        </c:spPr>
      </c:pivotFmt>
      <c:pivotFmt>
        <c:idx val="28"/>
        <c:spPr>
          <a:solidFill>
            <a:schemeClr val="tx1">
              <a:lumMod val="65000"/>
              <a:lumOff val="35000"/>
            </a:schemeClr>
          </a:solidFill>
          <a:ln>
            <a:noFill/>
          </a:ln>
          <a:effectLst/>
        </c:spPr>
      </c:pivotFmt>
      <c:pivotFmt>
        <c:idx val="29"/>
        <c:spPr>
          <a:solidFill>
            <a:schemeClr val="tx1">
              <a:lumMod val="65000"/>
              <a:lumOff val="35000"/>
            </a:schemeClr>
          </a:solidFill>
          <a:ln>
            <a:noFill/>
          </a:ln>
          <a:effectLst/>
        </c:spPr>
      </c:pivotFmt>
      <c:pivotFmt>
        <c:idx val="30"/>
        <c:spPr>
          <a:solidFill>
            <a:srgbClr val="FFC000"/>
          </a:solidFill>
          <a:ln>
            <a:noFill/>
          </a:ln>
          <a:effectLst/>
        </c:spPr>
        <c:dLbl>
          <c:idx val="0"/>
          <c:layout>
            <c:manualLayout>
              <c:x val="0"/>
              <c:y val="3.868497877504471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14399607056555"/>
          <c:y val="0.14376382069114407"/>
          <c:w val="0.72966648035185266"/>
          <c:h val="0.82397329457118762"/>
        </c:manualLayout>
      </c:layout>
      <c:barChart>
        <c:barDir val="bar"/>
        <c:grouping val="clustered"/>
        <c:varyColors val="0"/>
        <c:ser>
          <c:idx val="0"/>
          <c:order val="0"/>
          <c:tx>
            <c:strRef>
              <c:f>' Pivot Table &amp; Charts'!$B$86:$B$87</c:f>
              <c:strCache>
                <c:ptCount val="1"/>
                <c:pt idx="0">
                  <c:v>Yes</c:v>
                </c:pt>
              </c:strCache>
            </c:strRef>
          </c:tx>
          <c:spPr>
            <a:solidFill>
              <a:schemeClr val="accent1"/>
            </a:solidFill>
            <a:ln>
              <a:noFill/>
            </a:ln>
            <a:effectLst/>
          </c:spPr>
          <c:invertIfNegative val="0"/>
          <c:dPt>
            <c:idx val="0"/>
            <c:invertIfNegative val="0"/>
            <c:bubble3D val="0"/>
            <c:spPr>
              <a:solidFill>
                <a:schemeClr val="bg1">
                  <a:lumMod val="50000"/>
                </a:schemeClr>
              </a:solidFill>
              <a:ln>
                <a:noFill/>
              </a:ln>
              <a:effectLst/>
            </c:spPr>
            <c:extLst>
              <c:ext xmlns:c16="http://schemas.microsoft.com/office/drawing/2014/chart" uri="{C3380CC4-5D6E-409C-BE32-E72D297353CC}">
                <c16:uniqueId val="{00000001-F033-4139-B825-68F4E6552EDB}"/>
              </c:ext>
            </c:extLst>
          </c:dPt>
          <c:dPt>
            <c:idx val="1"/>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3-F033-4139-B825-68F4E6552EDB}"/>
              </c:ext>
            </c:extLst>
          </c:dPt>
          <c:dPt>
            <c:idx val="2"/>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5-F033-4139-B825-68F4E6552EDB}"/>
              </c:ext>
            </c:extLst>
          </c:dPt>
          <c:dPt>
            <c:idx val="3"/>
            <c:invertIfNegative val="0"/>
            <c:bubble3D val="0"/>
            <c:spPr>
              <a:solidFill>
                <a:srgbClr val="FFC000"/>
              </a:solidFill>
              <a:ln>
                <a:noFill/>
              </a:ln>
              <a:effectLst/>
            </c:spPr>
            <c:extLst>
              <c:ext xmlns:c16="http://schemas.microsoft.com/office/drawing/2014/chart" uri="{C3380CC4-5D6E-409C-BE32-E72D297353CC}">
                <c16:uniqueId val="{00000007-F033-4139-B825-68F4E6552EDB}"/>
              </c:ext>
            </c:extLst>
          </c:dPt>
          <c:dLbls>
            <c:dLbl>
              <c:idx val="3"/>
              <c:layout>
                <c:manualLayout>
                  <c:x val="0"/>
                  <c:y val="3.868497877504471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033-4139-B825-68F4E6552EDB}"/>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Charts'!$A$88:$A$91</c:f>
              <c:strCache>
                <c:ptCount val="4"/>
                <c:pt idx="0">
                  <c:v>0-6 months</c:v>
                </c:pt>
                <c:pt idx="1">
                  <c:v>7-12 months</c:v>
                </c:pt>
                <c:pt idx="2">
                  <c:v>1-2 years</c:v>
                </c:pt>
                <c:pt idx="3">
                  <c:v>2+ years</c:v>
                </c:pt>
              </c:strCache>
            </c:strRef>
          </c:cat>
          <c:val>
            <c:numRef>
              <c:f>' Pivot Table &amp; Charts'!$B$88:$B$91</c:f>
              <c:numCache>
                <c:formatCode>General</c:formatCode>
                <c:ptCount val="4"/>
                <c:pt idx="0">
                  <c:v>10</c:v>
                </c:pt>
                <c:pt idx="1">
                  <c:v>17</c:v>
                </c:pt>
                <c:pt idx="2">
                  <c:v>24</c:v>
                </c:pt>
                <c:pt idx="3">
                  <c:v>95</c:v>
                </c:pt>
              </c:numCache>
            </c:numRef>
          </c:val>
          <c:extLst>
            <c:ext xmlns:c16="http://schemas.microsoft.com/office/drawing/2014/chart" uri="{C3380CC4-5D6E-409C-BE32-E72D297353CC}">
              <c16:uniqueId val="{00000008-F033-4139-B825-68F4E6552EDB}"/>
            </c:ext>
          </c:extLst>
        </c:ser>
        <c:dLbls>
          <c:dLblPos val="inEnd"/>
          <c:showLegendKey val="0"/>
          <c:showVal val="1"/>
          <c:showCatName val="0"/>
          <c:showSerName val="0"/>
          <c:showPercent val="0"/>
          <c:showBubbleSize val="0"/>
        </c:dLbls>
        <c:gapWidth val="30"/>
        <c:axId val="600469504"/>
        <c:axId val="600471984"/>
      </c:barChart>
      <c:catAx>
        <c:axId val="600469504"/>
        <c:scaling>
          <c:orientation val="minMax"/>
        </c:scaling>
        <c:delete val="0"/>
        <c:axPos val="l"/>
        <c:numFmt formatCode="General"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00471984"/>
        <c:crosses val="autoZero"/>
        <c:auto val="1"/>
        <c:lblAlgn val="ctr"/>
        <c:lblOffset val="100"/>
        <c:noMultiLvlLbl val="0"/>
      </c:catAx>
      <c:valAx>
        <c:axId val="600471984"/>
        <c:scaling>
          <c:orientation val="minMax"/>
        </c:scaling>
        <c:delete val="1"/>
        <c:axPos val="b"/>
        <c:numFmt formatCode="General" sourceLinked="1"/>
        <c:majorTickMark val="none"/>
        <c:minorTickMark val="none"/>
        <c:tickLblPos val="nextTo"/>
        <c:crossAx val="600469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Charts!Churn by Agegroup</c:name>
    <c:fmtId val="15"/>
  </c:pivotSource>
  <c:chart>
    <c:title>
      <c:tx>
        <c:rich>
          <a:bodyPr rot="0" spcFirstLastPara="1" vertOverflow="ellipsis" vert="horz" wrap="square" anchor="ctr" anchorCtr="1"/>
          <a:lstStyle/>
          <a:p>
            <a:pPr algn="l">
              <a:defRPr sz="1600" b="0" i="0" u="none" strike="noStrike" kern="1200" spc="0" baseline="0">
                <a:solidFill>
                  <a:schemeClr val="bg1"/>
                </a:solidFill>
                <a:latin typeface="+mn-lt"/>
                <a:ea typeface="+mn-ea"/>
                <a:cs typeface="+mn-cs"/>
              </a:defRPr>
            </a:pPr>
            <a:r>
              <a:rPr lang="en-US" sz="1600" b="0">
                <a:solidFill>
                  <a:schemeClr val="bg1"/>
                </a:solidFill>
              </a:rPr>
              <a:t>Revenue Lost + Churn by Age Group</a:t>
            </a:r>
          </a:p>
        </c:rich>
      </c:tx>
      <c:layout>
        <c:manualLayout>
          <c:xMode val="edge"/>
          <c:yMode val="edge"/>
          <c:x val="0.3056304621868503"/>
          <c:y val="4.9421190772206084E-3"/>
        </c:manualLayout>
      </c:layout>
      <c:overlay val="0"/>
      <c:spPr>
        <a:noFill/>
        <a:ln>
          <a:noFill/>
        </a:ln>
        <a:effectLst/>
      </c:spPr>
      <c:txPr>
        <a:bodyPr rot="0" spcFirstLastPara="1" vertOverflow="ellipsis" vert="horz" wrap="square" anchor="ctr" anchorCtr="1"/>
        <a:lstStyle/>
        <a:p>
          <a:pPr algn="l">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FFC000"/>
            </a:solidFill>
            <a:round/>
          </a:ln>
          <a:effectLst/>
        </c:spPr>
        <c:marker>
          <c:symbol val="none"/>
        </c:marker>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a:noFill/>
          </a:ln>
          <a:effectLst/>
        </c:spPr>
      </c:pivotFmt>
      <c:pivotFmt>
        <c:idx val="7"/>
        <c:spPr>
          <a:solidFill>
            <a:schemeClr val="bg1">
              <a:lumMod val="50000"/>
            </a:schemeClr>
          </a:solidFill>
          <a:ln>
            <a:noFill/>
          </a:ln>
          <a:effectLst/>
        </c:spPr>
      </c:pivotFmt>
      <c:pivotFmt>
        <c:idx val="8"/>
        <c:spPr>
          <a:solidFill>
            <a:schemeClr val="bg1">
              <a:lumMod val="50000"/>
            </a:schemeClr>
          </a:solidFill>
          <a:ln>
            <a:noFill/>
          </a:ln>
          <a:effectLst/>
        </c:spPr>
      </c:pivotFmt>
      <c:pivotFmt>
        <c:idx val="9"/>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50000"/>
            </a:schemeClr>
          </a:solidFill>
          <a:ln>
            <a:noFill/>
          </a:ln>
          <a:effectLst/>
        </c:spPr>
      </c:pivotFmt>
      <c:pivotFmt>
        <c:idx val="11"/>
        <c:spPr>
          <a:solidFill>
            <a:schemeClr val="bg1">
              <a:lumMod val="50000"/>
            </a:schemeClr>
          </a:solidFill>
          <a:ln>
            <a:noFill/>
          </a:ln>
          <a:effectLst/>
        </c:spPr>
      </c:pivotFmt>
      <c:pivotFmt>
        <c:idx val="12"/>
        <c:spPr>
          <a:solidFill>
            <a:schemeClr val="bg1">
              <a:lumMod val="50000"/>
            </a:schemeClr>
          </a:solidFill>
          <a:ln>
            <a:noFill/>
          </a:ln>
          <a:effectLst/>
        </c:spPr>
      </c:pivotFmt>
      <c:pivotFmt>
        <c:idx val="1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lumMod val="65000"/>
              <a:lumOff val="35000"/>
            </a:schemeClr>
          </a:solidFill>
          <a:ln>
            <a:noFill/>
          </a:ln>
          <a:effectLst/>
        </c:spPr>
      </c:pivotFmt>
      <c:pivotFmt>
        <c:idx val="16"/>
        <c:spPr>
          <a:solidFill>
            <a:schemeClr val="bg2">
              <a:lumMod val="50000"/>
              <a:alpha val="75000"/>
            </a:schemeClr>
          </a:solidFill>
          <a:ln>
            <a:noFill/>
          </a:ln>
          <a:effectLst/>
        </c:spPr>
      </c:pivotFmt>
      <c:pivotFmt>
        <c:idx val="17"/>
        <c:spPr>
          <a:solidFill>
            <a:schemeClr val="bg1">
              <a:lumMod val="50000"/>
              <a:alpha val="80000"/>
            </a:schemeClr>
          </a:solidFill>
          <a:ln>
            <a:noFill/>
          </a:ln>
          <a:effectLst/>
        </c:spPr>
      </c:pivotFmt>
      <c:pivotFmt>
        <c:idx val="18"/>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lumMod val="85000"/>
              <a:lumOff val="1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bg2">
              <a:lumMod val="10000"/>
            </a:schemeClr>
          </a:solidFill>
          <a:ln>
            <a:noFill/>
          </a:ln>
          <a:effectLst/>
        </c:spPr>
      </c:pivotFmt>
      <c:pivotFmt>
        <c:idx val="2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2">
              <a:lumMod val="10000"/>
            </a:schemeClr>
          </a:solidFill>
          <a:ln>
            <a:noFill/>
          </a:ln>
          <a:effectLst/>
        </c:spPr>
      </c:pivotFmt>
      <c:pivotFmt>
        <c:idx val="23"/>
        <c:spPr>
          <a:solidFill>
            <a:schemeClr val="tx1">
              <a:lumMod val="65000"/>
              <a:lumOff val="35000"/>
            </a:schemeClr>
          </a:solidFill>
          <a:ln>
            <a:noFill/>
          </a:ln>
          <a:effectLst/>
        </c:spPr>
      </c:pivotFmt>
      <c:pivotFmt>
        <c:idx val="24"/>
        <c:spPr>
          <a:solidFill>
            <a:schemeClr val="bg2">
              <a:lumMod val="50000"/>
              <a:alpha val="75000"/>
            </a:schemeClr>
          </a:solidFill>
          <a:ln>
            <a:noFill/>
          </a:ln>
          <a:effectLst/>
        </c:spPr>
      </c:pivotFmt>
      <c:pivotFmt>
        <c:idx val="25"/>
        <c:spPr>
          <a:solidFill>
            <a:schemeClr val="bg1">
              <a:lumMod val="50000"/>
              <a:alpha val="80000"/>
            </a:schemeClr>
          </a:solidFill>
          <a:ln>
            <a:noFill/>
          </a:ln>
          <a:effectLst/>
        </c:spPr>
      </c:pivotFmt>
      <c:pivotFmt>
        <c:idx val="26"/>
        <c:spPr>
          <a:solidFill>
            <a:schemeClr val="tx1">
              <a:lumMod val="85000"/>
              <a:lumOff val="1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tx1">
              <a:lumMod val="65000"/>
              <a:lumOff val="35000"/>
            </a:schemeClr>
          </a:solidFill>
          <a:ln>
            <a:noFill/>
          </a:ln>
          <a:effectLst/>
        </c:spPr>
      </c:pivotFmt>
      <c:pivotFmt>
        <c:idx val="31"/>
        <c:spPr>
          <a:solidFill>
            <a:schemeClr val="bg2">
              <a:lumMod val="50000"/>
              <a:alpha val="75000"/>
            </a:schemeClr>
          </a:solidFill>
          <a:ln>
            <a:noFill/>
          </a:ln>
          <a:effectLst/>
        </c:spPr>
      </c:pivotFmt>
      <c:pivotFmt>
        <c:idx val="32"/>
        <c:spPr>
          <a:solidFill>
            <a:schemeClr val="bg1">
              <a:lumMod val="50000"/>
              <a:alpha val="80000"/>
            </a:schemeClr>
          </a:solidFill>
          <a:ln>
            <a:noFill/>
          </a:ln>
          <a:effectLst/>
        </c:spPr>
      </c:pivotFmt>
      <c:pivotFmt>
        <c:idx val="33"/>
        <c:spPr>
          <a:solidFill>
            <a:schemeClr val="tx1">
              <a:lumMod val="85000"/>
              <a:lumOff val="15000"/>
            </a:schemeClr>
          </a:solidFill>
          <a:ln>
            <a:noFill/>
          </a:ln>
          <a:effectLst/>
        </c:spPr>
      </c:pivotFmt>
      <c:pivotFmt>
        <c:idx val="34"/>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bg1">
                <a:lumMod val="95000"/>
              </a:schemeClr>
            </a:solidFill>
            <a:round/>
          </a:ln>
          <a:effectLst/>
        </c:spPr>
        <c:marker>
          <c:symbol val="none"/>
        </c:marker>
      </c:pivotFmt>
      <c:pivotFmt>
        <c:idx val="36"/>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C000"/>
          </a:solidFill>
          <a:ln>
            <a:noFill/>
          </a:ln>
          <a:effectLst/>
        </c:spPr>
      </c:pivotFmt>
      <c:pivotFmt>
        <c:idx val="38"/>
        <c:spPr>
          <a:solidFill>
            <a:schemeClr val="tx1">
              <a:lumMod val="65000"/>
              <a:lumOff val="35000"/>
            </a:schemeClr>
          </a:solidFill>
          <a:ln>
            <a:noFill/>
          </a:ln>
          <a:effectLst/>
        </c:spPr>
      </c:pivotFmt>
      <c:pivotFmt>
        <c:idx val="39"/>
        <c:spPr>
          <a:solidFill>
            <a:schemeClr val="bg2">
              <a:lumMod val="50000"/>
              <a:alpha val="75000"/>
            </a:schemeClr>
          </a:solidFill>
          <a:ln>
            <a:noFill/>
          </a:ln>
          <a:effectLst/>
        </c:spPr>
      </c:pivotFmt>
      <c:pivotFmt>
        <c:idx val="40"/>
        <c:spPr>
          <a:solidFill>
            <a:schemeClr val="bg1">
              <a:lumMod val="50000"/>
              <a:alpha val="80000"/>
            </a:schemeClr>
          </a:solidFill>
          <a:ln>
            <a:noFill/>
          </a:ln>
          <a:effectLst/>
        </c:spPr>
      </c:pivotFmt>
      <c:pivotFmt>
        <c:idx val="41"/>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C000"/>
          </a:solidFill>
          <a:ln>
            <a:noFill/>
          </a:ln>
          <a:effectLst/>
        </c:spPr>
      </c:pivotFmt>
      <c:pivotFmt>
        <c:idx val="44"/>
        <c:spPr>
          <a:solidFill>
            <a:schemeClr val="tx1">
              <a:lumMod val="65000"/>
              <a:lumOff val="35000"/>
            </a:schemeClr>
          </a:solidFill>
          <a:ln>
            <a:noFill/>
          </a:ln>
          <a:effectLst/>
        </c:spPr>
      </c:pivotFmt>
      <c:pivotFmt>
        <c:idx val="45"/>
        <c:spPr>
          <a:solidFill>
            <a:schemeClr val="bg2">
              <a:lumMod val="50000"/>
              <a:alpha val="75000"/>
            </a:schemeClr>
          </a:solidFill>
          <a:ln>
            <a:noFill/>
          </a:ln>
          <a:effectLst/>
        </c:spPr>
      </c:pivotFmt>
      <c:pivotFmt>
        <c:idx val="46"/>
        <c:spPr>
          <a:solidFill>
            <a:schemeClr val="bg1">
              <a:lumMod val="50000"/>
              <a:alpha val="80000"/>
            </a:schemeClr>
          </a:solidFill>
          <a:ln>
            <a:noFill/>
          </a:ln>
          <a:effectLst/>
        </c:spPr>
      </c:pivotFmt>
      <c:pivotFmt>
        <c:idx val="47"/>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 Pivot Table &amp; Charts'!$C$39:$C$41</c:f>
              <c:strCache>
                <c:ptCount val="1"/>
                <c:pt idx="0">
                  <c:v>Yes - Sum of Total Revenue</c:v>
                </c:pt>
              </c:strCache>
            </c:strRef>
          </c:tx>
          <c:spPr>
            <a:solidFill>
              <a:schemeClr val="tx1">
                <a:lumMod val="85000"/>
                <a:lumOff val="15000"/>
              </a:schemeClr>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136C-4B30-B4F8-4AE3016B4F1B}"/>
              </c:ext>
            </c:extLst>
          </c:dPt>
          <c:dPt>
            <c:idx val="1"/>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3-136C-4B30-B4F8-4AE3016B4F1B}"/>
              </c:ext>
            </c:extLst>
          </c:dPt>
          <c:dPt>
            <c:idx val="2"/>
            <c:invertIfNegative val="0"/>
            <c:bubble3D val="0"/>
            <c:spPr>
              <a:solidFill>
                <a:schemeClr val="bg2">
                  <a:lumMod val="50000"/>
                  <a:alpha val="75000"/>
                </a:schemeClr>
              </a:solidFill>
              <a:ln>
                <a:noFill/>
              </a:ln>
              <a:effectLst/>
            </c:spPr>
            <c:extLst>
              <c:ext xmlns:c16="http://schemas.microsoft.com/office/drawing/2014/chart" uri="{C3380CC4-5D6E-409C-BE32-E72D297353CC}">
                <c16:uniqueId val="{00000005-136C-4B30-B4F8-4AE3016B4F1B}"/>
              </c:ext>
            </c:extLst>
          </c:dPt>
          <c:dPt>
            <c:idx val="3"/>
            <c:invertIfNegative val="0"/>
            <c:bubble3D val="0"/>
            <c:spPr>
              <a:solidFill>
                <a:schemeClr val="bg1">
                  <a:lumMod val="50000"/>
                  <a:alpha val="80000"/>
                </a:schemeClr>
              </a:solidFill>
              <a:ln>
                <a:noFill/>
              </a:ln>
              <a:effectLst/>
            </c:spPr>
            <c:extLst>
              <c:ext xmlns:c16="http://schemas.microsoft.com/office/drawing/2014/chart" uri="{C3380CC4-5D6E-409C-BE32-E72D297353CC}">
                <c16:uniqueId val="{00000007-136C-4B30-B4F8-4AE3016B4F1B}"/>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Charts'!$A$42:$A$46</c:f>
              <c:strCache>
                <c:ptCount val="5"/>
                <c:pt idx="0">
                  <c:v>30-44</c:v>
                </c:pt>
                <c:pt idx="1">
                  <c:v>18-29</c:v>
                </c:pt>
                <c:pt idx="2">
                  <c:v>60+</c:v>
                </c:pt>
                <c:pt idx="3">
                  <c:v>45-59</c:v>
                </c:pt>
                <c:pt idx="4">
                  <c:v>&lt;18</c:v>
                </c:pt>
              </c:strCache>
            </c:strRef>
          </c:cat>
          <c:val>
            <c:numRef>
              <c:f>' Pivot Table &amp; Charts'!$C$42:$C$46</c:f>
              <c:numCache>
                <c:formatCode>[&gt;=1000000]"₦"#,##0,,"M";[&gt;=1000]"₦"#,##0,"K";"₦"#,##0</c:formatCode>
                <c:ptCount val="5"/>
                <c:pt idx="0">
                  <c:v>19108900</c:v>
                </c:pt>
                <c:pt idx="1">
                  <c:v>15410350</c:v>
                </c:pt>
                <c:pt idx="2">
                  <c:v>12650100</c:v>
                </c:pt>
                <c:pt idx="3">
                  <c:v>10731350</c:v>
                </c:pt>
                <c:pt idx="4">
                  <c:v>99500</c:v>
                </c:pt>
              </c:numCache>
            </c:numRef>
          </c:val>
          <c:extLst>
            <c:ext xmlns:c16="http://schemas.microsoft.com/office/drawing/2014/chart" uri="{C3380CC4-5D6E-409C-BE32-E72D297353CC}">
              <c16:uniqueId val="{00000008-136C-4B30-B4F8-4AE3016B4F1B}"/>
            </c:ext>
          </c:extLst>
        </c:ser>
        <c:dLbls>
          <c:showLegendKey val="0"/>
          <c:showVal val="1"/>
          <c:showCatName val="0"/>
          <c:showSerName val="0"/>
          <c:showPercent val="0"/>
          <c:showBubbleSize val="0"/>
        </c:dLbls>
        <c:gapWidth val="60"/>
        <c:axId val="475896288"/>
        <c:axId val="475884768"/>
      </c:barChart>
      <c:lineChart>
        <c:grouping val="standard"/>
        <c:varyColors val="0"/>
        <c:ser>
          <c:idx val="0"/>
          <c:order val="0"/>
          <c:tx>
            <c:strRef>
              <c:f>' Pivot Table &amp; Charts'!$B$39:$B$41</c:f>
              <c:strCache>
                <c:ptCount val="1"/>
                <c:pt idx="0">
                  <c:v>Yes - Count of Customer ID</c:v>
                </c:pt>
              </c:strCache>
            </c:strRef>
          </c:tx>
          <c:spPr>
            <a:ln w="28575" cap="rnd">
              <a:solidFill>
                <a:schemeClr val="bg1">
                  <a:lumMod val="9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Charts'!$A$42:$A$46</c:f>
              <c:strCache>
                <c:ptCount val="5"/>
                <c:pt idx="0">
                  <c:v>30-44</c:v>
                </c:pt>
                <c:pt idx="1">
                  <c:v>18-29</c:v>
                </c:pt>
                <c:pt idx="2">
                  <c:v>60+</c:v>
                </c:pt>
                <c:pt idx="3">
                  <c:v>45-59</c:v>
                </c:pt>
                <c:pt idx="4">
                  <c:v>&lt;18</c:v>
                </c:pt>
              </c:strCache>
            </c:strRef>
          </c:cat>
          <c:val>
            <c:numRef>
              <c:f>' Pivot Table &amp; Charts'!$B$42:$B$46</c:f>
              <c:numCache>
                <c:formatCode>0.00%</c:formatCode>
                <c:ptCount val="5"/>
                <c:pt idx="0">
                  <c:v>0.28521126760563381</c:v>
                </c:pt>
                <c:pt idx="1">
                  <c:v>0.19718309859154928</c:v>
                </c:pt>
                <c:pt idx="2">
                  <c:v>0.28169014084507044</c:v>
                </c:pt>
                <c:pt idx="3">
                  <c:v>0.22183098591549297</c:v>
                </c:pt>
                <c:pt idx="4">
                  <c:v>1.4084507042253521E-2</c:v>
                </c:pt>
              </c:numCache>
            </c:numRef>
          </c:val>
          <c:smooth val="0"/>
          <c:extLst>
            <c:ext xmlns:c16="http://schemas.microsoft.com/office/drawing/2014/chart" uri="{C3380CC4-5D6E-409C-BE32-E72D297353CC}">
              <c16:uniqueId val="{00000009-136C-4B30-B4F8-4AE3016B4F1B}"/>
            </c:ext>
          </c:extLst>
        </c:ser>
        <c:dLbls>
          <c:showLegendKey val="0"/>
          <c:showVal val="1"/>
          <c:showCatName val="0"/>
          <c:showSerName val="0"/>
          <c:showPercent val="0"/>
          <c:showBubbleSize val="0"/>
        </c:dLbls>
        <c:marker val="1"/>
        <c:smooth val="0"/>
        <c:axId val="475887168"/>
        <c:axId val="475886688"/>
      </c:lineChart>
      <c:catAx>
        <c:axId val="475896288"/>
        <c:scaling>
          <c:orientation val="minMax"/>
        </c:scaling>
        <c:delete val="0"/>
        <c:axPos val="b"/>
        <c:numFmt formatCode="General" sourceLinked="1"/>
        <c:majorTickMark val="out"/>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475884768"/>
        <c:crosses val="autoZero"/>
        <c:auto val="1"/>
        <c:lblAlgn val="ctr"/>
        <c:lblOffset val="100"/>
        <c:noMultiLvlLbl val="0"/>
      </c:catAx>
      <c:valAx>
        <c:axId val="475884768"/>
        <c:scaling>
          <c:orientation val="minMax"/>
          <c:max val="20000000"/>
        </c:scaling>
        <c:delete val="0"/>
        <c:axPos val="l"/>
        <c:numFmt formatCode="[&gt;=1000000]&quot;₦&quot;#,##0,,&quot;M&quot;;[&gt;=1000]&quot;₦&quot;#,##0,&quot;K&quot;;&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lumMod val="95000"/>
                  </a:schemeClr>
                </a:solidFill>
                <a:latin typeface="+mn-lt"/>
                <a:ea typeface="+mn-ea"/>
                <a:cs typeface="+mn-cs"/>
              </a:defRPr>
            </a:pPr>
            <a:endParaRPr lang="en-US"/>
          </a:p>
        </c:txPr>
        <c:crossAx val="475896288"/>
        <c:crosses val="autoZero"/>
        <c:crossBetween val="between"/>
        <c:majorUnit val="5000000"/>
      </c:valAx>
      <c:valAx>
        <c:axId val="475886688"/>
        <c:scaling>
          <c:orientation val="minMax"/>
        </c:scaling>
        <c:delete val="0"/>
        <c:axPos val="r"/>
        <c:numFmt formatCode="0%" sourceLinked="0"/>
        <c:majorTickMark val="out"/>
        <c:minorTickMark val="none"/>
        <c:tickLblPos val="none"/>
        <c:spPr>
          <a:noFill/>
          <a:ln>
            <a:noFill/>
          </a:ln>
          <a:effectLst/>
        </c:spPr>
        <c:txPr>
          <a:bodyPr rot="-60000000" spcFirstLastPara="1" vertOverflow="ellipsis" vert="horz" wrap="square" anchor="ctr" anchorCtr="1"/>
          <a:lstStyle/>
          <a:p>
            <a:pPr>
              <a:defRPr sz="1100" b="1" i="0" u="none" strike="noStrike" kern="1200" baseline="0">
                <a:solidFill>
                  <a:schemeClr val="bg1">
                    <a:lumMod val="95000"/>
                  </a:schemeClr>
                </a:solidFill>
                <a:latin typeface="+mn-lt"/>
                <a:ea typeface="+mn-ea"/>
                <a:cs typeface="+mn-cs"/>
              </a:defRPr>
            </a:pPr>
            <a:endParaRPr lang="en-US"/>
          </a:p>
        </c:txPr>
        <c:crossAx val="475887168"/>
        <c:crosses val="max"/>
        <c:crossBetween val="between"/>
      </c:valAx>
      <c:catAx>
        <c:axId val="475887168"/>
        <c:scaling>
          <c:orientation val="minMax"/>
        </c:scaling>
        <c:delete val="1"/>
        <c:axPos val="t"/>
        <c:numFmt formatCode="General" sourceLinked="1"/>
        <c:majorTickMark val="out"/>
        <c:minorTickMark val="none"/>
        <c:tickLblPos val="nextTo"/>
        <c:crossAx val="475886688"/>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Charts!Subsription Plan Top 5</c:name>
    <c:fmtId val="10"/>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b="0">
                <a:solidFill>
                  <a:schemeClr val="bg1"/>
                </a:solidFill>
              </a:rPr>
              <a:t>Top 5</a:t>
            </a:r>
            <a:r>
              <a:rPr lang="en-US" sz="1600" b="0" baseline="0">
                <a:solidFill>
                  <a:schemeClr val="bg1"/>
                </a:solidFill>
              </a:rPr>
              <a:t> Subscription Plan vs Revenue Lost</a:t>
            </a:r>
            <a:endParaRPr lang="en-US" sz="1600" b="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tx1">
              <a:lumMod val="65000"/>
              <a:lumOff val="35000"/>
            </a:schemeClr>
          </a:solidFill>
          <a:ln>
            <a:noFill/>
          </a:ln>
          <a:effectLst/>
        </c:spPr>
      </c:pivotFmt>
      <c:pivotFmt>
        <c:idx val="5"/>
        <c:spPr>
          <a:solidFill>
            <a:schemeClr val="tx1">
              <a:lumMod val="65000"/>
              <a:lumOff val="35000"/>
            </a:schemeClr>
          </a:solidFill>
          <a:ln>
            <a:noFill/>
          </a:ln>
          <a:effectLst/>
        </c:spPr>
      </c:pivotFmt>
      <c:pivotFmt>
        <c:idx val="6"/>
        <c:spPr>
          <a:solidFill>
            <a:schemeClr val="tx1">
              <a:lumMod val="50000"/>
              <a:lumOff val="50000"/>
            </a:schemeClr>
          </a:solidFill>
          <a:ln>
            <a:noFill/>
          </a:ln>
          <a:effectLst/>
        </c:spPr>
      </c:pivotFmt>
      <c:pivotFmt>
        <c:idx val="7"/>
        <c:spPr>
          <a:solidFill>
            <a:schemeClr val="tx1">
              <a:lumMod val="50000"/>
              <a:lumOff val="50000"/>
            </a:schemeClr>
          </a:solidFill>
          <a:ln>
            <a:noFill/>
          </a:ln>
          <a:effectLst/>
        </c:spPr>
      </c:pivotFmt>
      <c:pivotFmt>
        <c:idx val="8"/>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50000"/>
              <a:lumOff val="50000"/>
            </a:schemeClr>
          </a:solidFill>
          <a:ln>
            <a:noFill/>
          </a:ln>
          <a:effectLst/>
        </c:spPr>
      </c:pivotFmt>
      <c:pivotFmt>
        <c:idx val="10"/>
        <c:spPr>
          <a:solidFill>
            <a:schemeClr val="tx1">
              <a:lumMod val="50000"/>
              <a:lumOff val="50000"/>
            </a:schemeClr>
          </a:solidFill>
          <a:ln>
            <a:noFill/>
          </a:ln>
          <a:effectLst/>
        </c:spPr>
      </c:pivotFmt>
      <c:pivotFmt>
        <c:idx val="11"/>
        <c:spPr>
          <a:solidFill>
            <a:srgbClr val="FFC000"/>
          </a:solidFill>
          <a:ln>
            <a:noFill/>
          </a:ln>
          <a:effectLst/>
        </c:spPr>
      </c:pivotFmt>
      <c:pivotFmt>
        <c:idx val="1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lumMod val="50000"/>
              <a:lumOff val="50000"/>
            </a:schemeClr>
          </a:solidFill>
          <a:ln>
            <a:noFill/>
          </a:ln>
          <a:effectLst/>
        </c:spPr>
      </c:pivotFmt>
      <c:pivotFmt>
        <c:idx val="14"/>
        <c:spPr>
          <a:solidFill>
            <a:schemeClr val="tx1">
              <a:lumMod val="50000"/>
              <a:lumOff val="50000"/>
            </a:schemeClr>
          </a:solidFill>
          <a:ln>
            <a:noFill/>
          </a:ln>
          <a:effectLst/>
        </c:spPr>
      </c:pivotFmt>
      <c:pivotFmt>
        <c:idx val="15"/>
        <c:spPr>
          <a:solidFill>
            <a:srgbClr val="FFC000"/>
          </a:solidFill>
          <a:ln>
            <a:noFill/>
          </a:ln>
          <a:effectLst/>
        </c:spPr>
      </c:pivotFmt>
    </c:pivotFmts>
    <c:plotArea>
      <c:layout>
        <c:manualLayout>
          <c:layoutTarget val="inner"/>
          <c:xMode val="edge"/>
          <c:yMode val="edge"/>
          <c:x val="0.32593620644558852"/>
          <c:y val="0.15272284952467163"/>
          <c:w val="0.67406379355441148"/>
          <c:h val="0.80478443081351814"/>
        </c:manualLayout>
      </c:layout>
      <c:barChart>
        <c:barDir val="bar"/>
        <c:grouping val="clustered"/>
        <c:varyColors val="0"/>
        <c:ser>
          <c:idx val="0"/>
          <c:order val="0"/>
          <c:tx>
            <c:strRef>
              <c:f>' Pivot Table &amp; Charts'!$B$96</c:f>
              <c:strCache>
                <c:ptCount val="1"/>
                <c:pt idx="0">
                  <c:v>Total</c:v>
                </c:pt>
              </c:strCache>
            </c:strRef>
          </c:tx>
          <c:spPr>
            <a:solidFill>
              <a:schemeClr val="tx1">
                <a:lumMod val="65000"/>
                <a:lumOff val="35000"/>
              </a:schemeClr>
            </a:solidFill>
            <a:ln>
              <a:noFill/>
            </a:ln>
            <a:effectLst/>
          </c:spPr>
          <c:invertIfNegative val="0"/>
          <c:dPt>
            <c:idx val="0"/>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1-90AC-4D28-9C5C-01AA0E9B1740}"/>
              </c:ext>
            </c:extLst>
          </c:dPt>
          <c:dPt>
            <c:idx val="1"/>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3-90AC-4D28-9C5C-01AA0E9B1740}"/>
              </c:ext>
            </c:extLst>
          </c:dPt>
          <c:dPt>
            <c:idx val="4"/>
            <c:invertIfNegative val="0"/>
            <c:bubble3D val="0"/>
            <c:spPr>
              <a:solidFill>
                <a:srgbClr val="FFC000"/>
              </a:solidFill>
              <a:ln>
                <a:noFill/>
              </a:ln>
              <a:effectLst/>
            </c:spPr>
            <c:extLst>
              <c:ext xmlns:c16="http://schemas.microsoft.com/office/drawing/2014/chart" uri="{C3380CC4-5D6E-409C-BE32-E72D297353CC}">
                <c16:uniqueId val="{00000005-90AC-4D28-9C5C-01AA0E9B1740}"/>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Charts'!$A$97:$A$101</c:f>
              <c:strCache>
                <c:ptCount val="5"/>
                <c:pt idx="0">
                  <c:v>200GB Monthly Broadband Plan</c:v>
                </c:pt>
                <c:pt idx="1">
                  <c:v>450GB 3-Month Broadband Plan</c:v>
                </c:pt>
                <c:pt idx="2">
                  <c:v>300GB FUP Monthly Unlimited</c:v>
                </c:pt>
                <c:pt idx="3">
                  <c:v>165GB Monthly Plan</c:v>
                </c:pt>
                <c:pt idx="4">
                  <c:v>1.5TB Yearly Broadband Plan</c:v>
                </c:pt>
              </c:strCache>
            </c:strRef>
          </c:cat>
          <c:val>
            <c:numRef>
              <c:f>' Pivot Table &amp; Charts'!$B$97:$B$101</c:f>
              <c:numCache>
                <c:formatCode>[&gt;=1000000]"₦"#,##0,,"M";[&gt;=1000]"₦"#,##0,"K";"₦"#,##0</c:formatCode>
                <c:ptCount val="5"/>
                <c:pt idx="0">
                  <c:v>4100000</c:v>
                </c:pt>
                <c:pt idx="1">
                  <c:v>4425000</c:v>
                </c:pt>
                <c:pt idx="2">
                  <c:v>6900000</c:v>
                </c:pt>
                <c:pt idx="3">
                  <c:v>7595000</c:v>
                </c:pt>
                <c:pt idx="4">
                  <c:v>15300000</c:v>
                </c:pt>
              </c:numCache>
            </c:numRef>
          </c:val>
          <c:extLst>
            <c:ext xmlns:c16="http://schemas.microsoft.com/office/drawing/2014/chart" uri="{C3380CC4-5D6E-409C-BE32-E72D297353CC}">
              <c16:uniqueId val="{00000006-90AC-4D28-9C5C-01AA0E9B1740}"/>
            </c:ext>
          </c:extLst>
        </c:ser>
        <c:dLbls>
          <c:dLblPos val="outEnd"/>
          <c:showLegendKey val="0"/>
          <c:showVal val="1"/>
          <c:showCatName val="0"/>
          <c:showSerName val="0"/>
          <c:showPercent val="0"/>
          <c:showBubbleSize val="0"/>
        </c:dLbls>
        <c:gapWidth val="32"/>
        <c:axId val="1029201728"/>
        <c:axId val="1029207680"/>
      </c:barChart>
      <c:catAx>
        <c:axId val="102920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029207680"/>
        <c:crosses val="autoZero"/>
        <c:auto val="1"/>
        <c:lblAlgn val="ctr"/>
        <c:lblOffset val="100"/>
        <c:noMultiLvlLbl val="0"/>
      </c:catAx>
      <c:valAx>
        <c:axId val="1029207680"/>
        <c:scaling>
          <c:orientation val="minMax"/>
        </c:scaling>
        <c:delete val="1"/>
        <c:axPos val="b"/>
        <c:numFmt formatCode="[&gt;=1000000]&quot;₦&quot;#,##0,,&quot;M&quot;;[&gt;=1000]&quot;₦&quot;#,##0,&quot;K&quot;;&quot;₦&quot;#,##0" sourceLinked="1"/>
        <c:majorTickMark val="none"/>
        <c:minorTickMark val="none"/>
        <c:tickLblPos val="nextTo"/>
        <c:crossAx val="1029201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Charts!Device Type Doughnut</c:name>
    <c:fmtId val="14"/>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solidFill>
                  <a:schemeClr val="bg1"/>
                </a:solidFill>
              </a:rPr>
              <a:t>By Device</a:t>
            </a:r>
          </a:p>
        </c:rich>
      </c:tx>
      <c:layout>
        <c:manualLayout>
          <c:xMode val="edge"/>
          <c:yMode val="edge"/>
          <c:x val="0.5722405256855152"/>
          <c:y val="5.0549476793013822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dLbl>
          <c:idx val="0"/>
          <c:layout>
            <c:manualLayout>
              <c:x val="4.999999999999989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w="19050">
            <a:solidFill>
              <a:schemeClr val="lt1"/>
            </a:solidFill>
          </a:ln>
          <a:effectLst/>
        </c:spPr>
      </c:pivotFmt>
      <c:pivotFmt>
        <c:idx val="3"/>
        <c:spPr>
          <a:solidFill>
            <a:schemeClr val="bg1">
              <a:lumMod val="8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bg1">
              <a:lumMod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pivotFmt>
      <c:pivotFmt>
        <c:idx val="7"/>
        <c:spPr>
          <a:solidFill>
            <a:schemeClr val="tx1">
              <a:lumMod val="65000"/>
              <a:lumOff val="35000"/>
            </a:schemeClr>
          </a:solidFill>
          <a:ln w="19050">
            <a:solidFill>
              <a:schemeClr val="lt1"/>
            </a:solidFill>
          </a:ln>
          <a:effectLst/>
        </c:spPr>
      </c:pivotFmt>
      <c:pivotFmt>
        <c:idx val="8"/>
        <c:spPr>
          <a:solidFill>
            <a:schemeClr val="bg1">
              <a:lumMod val="85000"/>
            </a:schemeClr>
          </a:solidFill>
          <a:ln w="19050">
            <a:solidFill>
              <a:schemeClr val="lt1"/>
            </a:solidFill>
          </a:ln>
          <a:effectLst/>
        </c:spPr>
      </c:pivotFmt>
      <c:pivotFmt>
        <c:idx val="9"/>
        <c:spPr>
          <a:solidFill>
            <a:schemeClr val="bg1">
              <a:lumMod val="65000"/>
            </a:schemeClr>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w="19050">
            <a:noFill/>
          </a:ln>
          <a:effectLst/>
        </c:spPr>
        <c:dLbl>
          <c:idx val="0"/>
          <c:layout>
            <c:manualLayout>
              <c:x val="6.4385558357767866E-2"/>
              <c:y val="-0.19551825853702981"/>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949408211298488"/>
                  <c:h val="0.13327466419638723"/>
                </c:manualLayout>
              </c15:layout>
            </c:ext>
          </c:extLst>
        </c:dLbl>
      </c:pivotFmt>
      <c:pivotFmt>
        <c:idx val="12"/>
        <c:spPr>
          <a:solidFill>
            <a:schemeClr val="tx1">
              <a:lumMod val="65000"/>
              <a:lumOff val="35000"/>
            </a:schemeClr>
          </a:solidFill>
          <a:ln w="19050">
            <a:noFill/>
          </a:ln>
          <a:effectLst/>
        </c:spPr>
        <c:dLbl>
          <c:idx val="0"/>
          <c:layout>
            <c:manualLayout>
              <c:x val="0.16984972097861628"/>
              <c:y val="4.633595800524934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933392426336418"/>
                  <c:h val="0.10974525243168133"/>
                </c:manualLayout>
              </c15:layout>
            </c:ext>
          </c:extLst>
        </c:dLbl>
      </c:pivotFmt>
      <c:pivotFmt>
        <c:idx val="13"/>
        <c:spPr>
          <a:solidFill>
            <a:schemeClr val="bg1">
              <a:lumMod val="85000"/>
            </a:schemeClr>
          </a:solidFill>
          <a:ln w="19050">
            <a:noFill/>
          </a:ln>
          <a:effectLst/>
        </c:spPr>
        <c:dLbl>
          <c:idx val="0"/>
          <c:layout>
            <c:manualLayout>
              <c:x val="-4.9014987947316839E-2"/>
              <c:y val="0.2593836743095891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65000"/>
            </a:schemeClr>
          </a:solidFill>
          <a:ln w="19050">
            <a:noFill/>
          </a:ln>
          <a:effectLst/>
        </c:spPr>
        <c:dLbl>
          <c:idx val="0"/>
          <c:layout>
            <c:manualLayout>
              <c:x val="-0.1073838150002748"/>
              <c:y val="-0.1372549019607843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w="19050">
            <a:noFill/>
          </a:ln>
          <a:effectLst/>
        </c:spPr>
        <c:dLbl>
          <c:idx val="0"/>
          <c:layout>
            <c:manualLayout>
              <c:x val="-8.5508219561767018E-2"/>
              <c:y val="-0.1000000374953271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w="19050">
            <a:noFill/>
          </a:ln>
          <a:effectLst/>
        </c:spPr>
        <c:dLbl>
          <c:idx val="0"/>
          <c:layout>
            <c:manualLayout>
              <c:x val="9.1208767532551471E-2"/>
              <c:y val="-7.142859821094800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1">
              <a:lumMod val="85000"/>
            </a:schemeClr>
          </a:solidFill>
          <a:ln w="19050">
            <a:noFill/>
          </a:ln>
          <a:effectLst/>
        </c:spPr>
        <c:dLbl>
          <c:idx val="0"/>
          <c:layout>
            <c:manualLayout>
              <c:x val="-7.1256849634805844E-2"/>
              <c:y val="-0.1333333833271028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1">
              <a:lumMod val="50000"/>
            </a:schemeClr>
          </a:solidFill>
          <a:ln w="19050">
            <a:noFill/>
          </a:ln>
          <a:effectLst/>
        </c:spPr>
        <c:dLbl>
          <c:idx val="0"/>
          <c:layout>
            <c:manualLayout>
              <c:x val="-0.13396287731343498"/>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lumMod val="65000"/>
              <a:lumOff val="35000"/>
            </a:schemeClr>
          </a:solidFill>
          <a:ln w="19050">
            <a:noFill/>
          </a:ln>
          <a:effectLst/>
        </c:spPr>
        <c:dLbl>
          <c:idx val="0"/>
          <c:layout>
            <c:manualLayout>
              <c:x val="9.1208767532551471E-2"/>
              <c:y val="-7.142859821094800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bg1">
              <a:lumMod val="85000"/>
            </a:schemeClr>
          </a:solidFill>
          <a:ln w="19050">
            <a:noFill/>
          </a:ln>
          <a:effectLst/>
        </c:spPr>
        <c:dLbl>
          <c:idx val="0"/>
          <c:layout>
            <c:manualLayout>
              <c:x val="-7.1256849634805844E-2"/>
              <c:y val="-0.1333333833271028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50000"/>
            </a:schemeClr>
          </a:solidFill>
          <a:ln w="19050">
            <a:noFill/>
          </a:ln>
          <a:effectLst/>
        </c:spPr>
        <c:dLbl>
          <c:idx val="0"/>
          <c:layout>
            <c:manualLayout>
              <c:x val="-0.13396287731343498"/>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C000"/>
          </a:solidFill>
          <a:ln w="19050">
            <a:noFill/>
          </a:ln>
          <a:effectLst/>
        </c:spPr>
        <c:dLbl>
          <c:idx val="0"/>
          <c:layout>
            <c:manualLayout>
              <c:x val="-8.5508219561767018E-2"/>
              <c:y val="-0.1000000374953271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w="19050">
            <a:noFill/>
          </a:ln>
          <a:effectLst/>
        </c:spPr>
        <c:dLbl>
          <c:idx val="0"/>
          <c:layout>
            <c:manualLayout>
              <c:x val="9.1208767532551471E-2"/>
              <c:y val="-7.142859821094800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85000"/>
            </a:schemeClr>
          </a:solidFill>
          <a:ln w="19050">
            <a:noFill/>
          </a:ln>
          <a:effectLst/>
        </c:spPr>
        <c:dLbl>
          <c:idx val="0"/>
          <c:layout>
            <c:manualLayout>
              <c:x val="-7.1256849634805844E-2"/>
              <c:y val="-0.1333333833271028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50000"/>
            </a:schemeClr>
          </a:solidFill>
          <a:ln w="19050">
            <a:noFill/>
          </a:ln>
          <a:effectLst/>
        </c:spPr>
        <c:dLbl>
          <c:idx val="0"/>
          <c:layout>
            <c:manualLayout>
              <c:x val="-0.13396287731343498"/>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C000"/>
          </a:solidFill>
          <a:ln w="19050">
            <a:noFill/>
          </a:ln>
          <a:effectLst/>
        </c:spPr>
        <c:dLbl>
          <c:idx val="0"/>
          <c:layout>
            <c:manualLayout>
              <c:x val="-8.5508219561767018E-2"/>
              <c:y val="-0.1000000374953271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2518491537751E-2"/>
          <c:y val="0.25580577427821521"/>
          <c:w val="0.61911668255415486"/>
          <c:h val="0.7441941898127884"/>
        </c:manualLayout>
      </c:layout>
      <c:doughnutChart>
        <c:varyColors val="1"/>
        <c:ser>
          <c:idx val="0"/>
          <c:order val="0"/>
          <c:tx>
            <c:strRef>
              <c:f>' Pivot Table &amp; Charts'!$E$84:$E$85</c:f>
              <c:strCache>
                <c:ptCount val="1"/>
                <c:pt idx="0">
                  <c:v>Yes</c:v>
                </c:pt>
              </c:strCache>
            </c:strRef>
          </c:tx>
          <c:spPr>
            <a:ln>
              <a:noFill/>
            </a:ln>
          </c:spPr>
          <c:dPt>
            <c:idx val="0"/>
            <c:bubble3D val="0"/>
            <c:spPr>
              <a:solidFill>
                <a:schemeClr val="tx1">
                  <a:lumMod val="65000"/>
                  <a:lumOff val="35000"/>
                </a:schemeClr>
              </a:solidFill>
              <a:ln w="19050">
                <a:noFill/>
              </a:ln>
              <a:effectLst/>
            </c:spPr>
            <c:extLst>
              <c:ext xmlns:c16="http://schemas.microsoft.com/office/drawing/2014/chart" uri="{C3380CC4-5D6E-409C-BE32-E72D297353CC}">
                <c16:uniqueId val="{00000001-EE9E-41EF-BA84-6CDFFADAD638}"/>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EE9E-41EF-BA84-6CDFFADAD638}"/>
              </c:ext>
            </c:extLst>
          </c:dPt>
          <c:dPt>
            <c:idx val="2"/>
            <c:bubble3D val="0"/>
            <c:spPr>
              <a:solidFill>
                <a:schemeClr val="bg1">
                  <a:lumMod val="50000"/>
                </a:schemeClr>
              </a:solidFill>
              <a:ln w="19050">
                <a:noFill/>
              </a:ln>
              <a:effectLst/>
            </c:spPr>
            <c:extLst>
              <c:ext xmlns:c16="http://schemas.microsoft.com/office/drawing/2014/chart" uri="{C3380CC4-5D6E-409C-BE32-E72D297353CC}">
                <c16:uniqueId val="{00000005-EE9E-41EF-BA84-6CDFFADAD638}"/>
              </c:ext>
            </c:extLst>
          </c:dPt>
          <c:dPt>
            <c:idx val="3"/>
            <c:bubble3D val="0"/>
            <c:spPr>
              <a:solidFill>
                <a:srgbClr val="FFC000"/>
              </a:solidFill>
              <a:ln w="19050">
                <a:noFill/>
              </a:ln>
              <a:effectLst/>
            </c:spPr>
            <c:extLst>
              <c:ext xmlns:c16="http://schemas.microsoft.com/office/drawing/2014/chart" uri="{C3380CC4-5D6E-409C-BE32-E72D297353CC}">
                <c16:uniqueId val="{00000007-EE9E-41EF-BA84-6CDFFADAD638}"/>
              </c:ext>
            </c:extLst>
          </c:dPt>
          <c:dLbls>
            <c:dLbl>
              <c:idx val="0"/>
              <c:layout>
                <c:manualLayout>
                  <c:x val="9.1208767532551471E-2"/>
                  <c:y val="-7.1428598210948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9E-41EF-BA84-6CDFFADAD638}"/>
                </c:ext>
              </c:extLst>
            </c:dLbl>
            <c:dLbl>
              <c:idx val="1"/>
              <c:layout>
                <c:manualLayout>
                  <c:x val="-7.1256849634805844E-2"/>
                  <c:y val="-0.13333338332710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9E-41EF-BA84-6CDFFADAD638}"/>
                </c:ext>
              </c:extLst>
            </c:dLbl>
            <c:dLbl>
              <c:idx val="2"/>
              <c:layout>
                <c:manualLayout>
                  <c:x val="-0.1339628773134349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9E-41EF-BA84-6CDFFADAD638}"/>
                </c:ext>
              </c:extLst>
            </c:dLbl>
            <c:dLbl>
              <c:idx val="3"/>
              <c:layout>
                <c:manualLayout>
                  <c:x val="-8.5508219561767018E-2"/>
                  <c:y val="-0.100000037495327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E9E-41EF-BA84-6CDFFADAD63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 &amp; Charts'!$D$86:$D$89</c:f>
              <c:strCache>
                <c:ptCount val="4"/>
                <c:pt idx="0">
                  <c:v>4G Router</c:v>
                </c:pt>
                <c:pt idx="1">
                  <c:v>5G Broadband Router</c:v>
                </c:pt>
                <c:pt idx="2">
                  <c:v>Broadband MiFi</c:v>
                </c:pt>
                <c:pt idx="3">
                  <c:v>Mobile SIM Card</c:v>
                </c:pt>
              </c:strCache>
            </c:strRef>
          </c:cat>
          <c:val>
            <c:numRef>
              <c:f>' Pivot Table &amp; Charts'!$E$86:$E$89</c:f>
              <c:numCache>
                <c:formatCode>0.00%</c:formatCode>
                <c:ptCount val="4"/>
                <c:pt idx="0">
                  <c:v>0.25342465753424659</c:v>
                </c:pt>
                <c:pt idx="1">
                  <c:v>0.18493150684931506</c:v>
                </c:pt>
                <c:pt idx="2">
                  <c:v>0.17123287671232876</c:v>
                </c:pt>
                <c:pt idx="3">
                  <c:v>0.3904109589041096</c:v>
                </c:pt>
              </c:numCache>
            </c:numRef>
          </c:val>
          <c:extLst>
            <c:ext xmlns:c16="http://schemas.microsoft.com/office/drawing/2014/chart" uri="{C3380CC4-5D6E-409C-BE32-E72D297353CC}">
              <c16:uniqueId val="{00000008-EE9E-41EF-BA84-6CDFFADAD638}"/>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67658015962290419"/>
          <c:y val="0.56095877721167198"/>
          <c:w val="0.32341961719070833"/>
          <c:h val="0.4352978230662343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Charts!Gender Doughnut</c:name>
    <c:fmtId val="15"/>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solidFill>
                  <a:schemeClr val="bg1"/>
                </a:solidFill>
              </a:rPr>
              <a:t>By Gender</a:t>
            </a:r>
          </a:p>
        </c:rich>
      </c:tx>
      <c:layout>
        <c:manualLayout>
          <c:xMode val="edge"/>
          <c:yMode val="edge"/>
          <c:x val="0.12603232769748157"/>
          <c:y val="2.894114321002744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noFill/>
          </a:ln>
          <a:effectLst/>
        </c:spPr>
        <c:dLbl>
          <c:idx val="0"/>
          <c:layout>
            <c:manualLayout>
              <c:x val="-8.0555555555555575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w="19050">
            <a:noFill/>
          </a:ln>
          <a:effectLst/>
        </c:spPr>
        <c:dLbl>
          <c:idx val="0"/>
          <c:layout>
            <c:manualLayout>
              <c:x val="5.8333333333333334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w="19050">
            <a:noFill/>
          </a:ln>
          <a:effectLst/>
        </c:spPr>
        <c:dLbl>
          <c:idx val="0"/>
          <c:layout>
            <c:manualLayout>
              <c:x val="5.8333333333333334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19050">
            <a:noFill/>
          </a:ln>
          <a:effectLst/>
        </c:spPr>
        <c:dLbl>
          <c:idx val="0"/>
          <c:layout>
            <c:manualLayout>
              <c:x val="-8.0555555555555575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lumMod val="65000"/>
              <a:lumOff val="35000"/>
            </a:schemeClr>
          </a:solidFill>
          <a:ln w="19050">
            <a:noFill/>
          </a:ln>
          <a:effectLst/>
        </c:spPr>
        <c:dLbl>
          <c:idx val="0"/>
          <c:layout>
            <c:manualLayout>
              <c:x val="5.8333333333333334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w="19050">
            <a:noFill/>
          </a:ln>
          <a:effectLst/>
        </c:spPr>
        <c:dLbl>
          <c:idx val="0"/>
          <c:layout>
            <c:manualLayout>
              <c:x val="0.13481552377107633"/>
              <c:y val="-5.295682097193622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w="19050">
            <a:noFill/>
          </a:ln>
          <a:effectLst/>
        </c:spPr>
        <c:dLbl>
          <c:idx val="0"/>
          <c:layout>
            <c:manualLayout>
              <c:x val="0.13773972664932035"/>
              <c:y val="-8.1705713437336356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50000"/>
              <a:lumOff val="50000"/>
            </a:schemeClr>
          </a:solidFill>
          <a:ln w="19050">
            <a:noFill/>
          </a:ln>
          <a:effectLst/>
        </c:spPr>
        <c:dLbl>
          <c:idx val="0"/>
          <c:layout>
            <c:manualLayout>
              <c:x val="0.14734947502020318"/>
              <c:y val="-4.902399438522620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w="19050">
            <a:noFill/>
          </a:ln>
          <a:effectLst/>
        </c:spPr>
        <c:dLbl>
          <c:idx val="0"/>
          <c:layout>
            <c:manualLayout>
              <c:x val="0.13773972664932035"/>
              <c:y val="-8.1705713437336356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50000"/>
              <a:lumOff val="50000"/>
            </a:schemeClr>
          </a:solidFill>
          <a:ln w="19050">
            <a:noFill/>
          </a:ln>
          <a:effectLst/>
        </c:spPr>
        <c:dLbl>
          <c:idx val="0"/>
          <c:layout>
            <c:manualLayout>
              <c:x val="0.14734947502020318"/>
              <c:y val="-4.902399438522620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solidFill>
          <a:ln w="19050">
            <a:noFill/>
          </a:ln>
          <a:effectLst/>
        </c:spPr>
        <c:dLbl>
          <c:idx val="0"/>
          <c:layout>
            <c:manualLayout>
              <c:x val="0.13773972664932035"/>
              <c:y val="-8.1705713437336356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lumMod val="50000"/>
              <a:lumOff val="50000"/>
            </a:schemeClr>
          </a:solidFill>
          <a:ln w="19050">
            <a:noFill/>
          </a:ln>
          <a:effectLst/>
        </c:spPr>
        <c:dLbl>
          <c:idx val="0"/>
          <c:layout>
            <c:manualLayout>
              <c:x val="0.14734947502020318"/>
              <c:y val="-4.902399438522620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53427863980548E-2"/>
          <c:y val="0.22739063600355813"/>
          <c:w val="0.67525381338019996"/>
          <c:h val="0.77260921357675805"/>
        </c:manualLayout>
      </c:layout>
      <c:doughnutChart>
        <c:varyColors val="1"/>
        <c:ser>
          <c:idx val="0"/>
          <c:order val="0"/>
          <c:tx>
            <c:strRef>
              <c:f>' Pivot Table &amp; Charts'!$E$79</c:f>
              <c:strCache>
                <c:ptCount val="1"/>
                <c:pt idx="0">
                  <c:v>Total</c:v>
                </c:pt>
              </c:strCache>
            </c:strRef>
          </c:tx>
          <c:spPr>
            <a:ln>
              <a:noFill/>
            </a:ln>
          </c:spPr>
          <c:dPt>
            <c:idx val="0"/>
            <c:bubble3D val="0"/>
            <c:spPr>
              <a:solidFill>
                <a:srgbClr val="FFC000"/>
              </a:solidFill>
              <a:ln w="19050">
                <a:noFill/>
              </a:ln>
              <a:effectLst/>
            </c:spPr>
            <c:extLst>
              <c:ext xmlns:c16="http://schemas.microsoft.com/office/drawing/2014/chart" uri="{C3380CC4-5D6E-409C-BE32-E72D297353CC}">
                <c16:uniqueId val="{00000001-1073-4D59-8295-3ED30D1D51F2}"/>
              </c:ext>
            </c:extLst>
          </c:dPt>
          <c:dPt>
            <c:idx val="1"/>
            <c:bubble3D val="0"/>
            <c:spPr>
              <a:solidFill>
                <a:schemeClr val="tx1">
                  <a:lumMod val="50000"/>
                  <a:lumOff val="50000"/>
                </a:schemeClr>
              </a:solidFill>
              <a:ln w="19050">
                <a:noFill/>
              </a:ln>
              <a:effectLst/>
            </c:spPr>
            <c:extLst>
              <c:ext xmlns:c16="http://schemas.microsoft.com/office/drawing/2014/chart" uri="{C3380CC4-5D6E-409C-BE32-E72D297353CC}">
                <c16:uniqueId val="{00000003-1073-4D59-8295-3ED30D1D51F2}"/>
              </c:ext>
            </c:extLst>
          </c:dPt>
          <c:dLbls>
            <c:dLbl>
              <c:idx val="0"/>
              <c:layout>
                <c:manualLayout>
                  <c:x val="0.13773972664932035"/>
                  <c:y val="-8.1705713437336356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73-4D59-8295-3ED30D1D51F2}"/>
                </c:ext>
              </c:extLst>
            </c:dLbl>
            <c:dLbl>
              <c:idx val="1"/>
              <c:layout>
                <c:manualLayout>
                  <c:x val="0.14734947502020318"/>
                  <c:y val="-4.902399438522620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73-4D59-8295-3ED30D1D51F2}"/>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 &amp; Charts'!$D$80:$D$81</c:f>
              <c:strCache>
                <c:ptCount val="2"/>
                <c:pt idx="0">
                  <c:v>Female</c:v>
                </c:pt>
                <c:pt idx="1">
                  <c:v>Male</c:v>
                </c:pt>
              </c:strCache>
            </c:strRef>
          </c:cat>
          <c:val>
            <c:numRef>
              <c:f>' Pivot Table &amp; Charts'!$E$80:$E$81</c:f>
              <c:numCache>
                <c:formatCode>0.00%</c:formatCode>
                <c:ptCount val="2"/>
                <c:pt idx="0">
                  <c:v>0.5273972602739726</c:v>
                </c:pt>
                <c:pt idx="1">
                  <c:v>0.4726027397260274</c:v>
                </c:pt>
              </c:numCache>
            </c:numRef>
          </c:val>
          <c:extLst>
            <c:ext xmlns:c16="http://schemas.microsoft.com/office/drawing/2014/chart" uri="{C3380CC4-5D6E-409C-BE32-E72D297353CC}">
              <c16:uniqueId val="{00000004-1073-4D59-8295-3ED30D1D51F2}"/>
            </c:ext>
          </c:extLst>
        </c:ser>
        <c:dLbls>
          <c:showLegendKey val="0"/>
          <c:showVal val="0"/>
          <c:showCatName val="0"/>
          <c:showSerName val="0"/>
          <c:showPercent val="0"/>
          <c:showBubbleSize val="0"/>
          <c:showLeaderLines val="1"/>
        </c:dLbls>
        <c:firstSliceAng val="174"/>
        <c:holeSize val="65"/>
      </c:doughnutChart>
      <c:spPr>
        <a:noFill/>
        <a:ln>
          <a:noFill/>
        </a:ln>
        <a:effectLst/>
      </c:spPr>
    </c:plotArea>
    <c:legend>
      <c:legendPos val="r"/>
      <c:layout>
        <c:manualLayout>
          <c:xMode val="edge"/>
          <c:yMode val="edge"/>
          <c:x val="0.62544729678872757"/>
          <c:y val="0.71256015188724675"/>
          <c:w val="0.21906425278652192"/>
          <c:h val="0.2213690368837783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Charts!Reason for Churn</c:name>
    <c:fmtId val="3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0">
                <a:solidFill>
                  <a:schemeClr val="bg1"/>
                </a:solidFill>
              </a:rPr>
              <a:t>Pareto</a:t>
            </a:r>
            <a:r>
              <a:rPr lang="en-US" sz="1600" b="0" baseline="0">
                <a:solidFill>
                  <a:schemeClr val="bg1"/>
                </a:solidFill>
              </a:rPr>
              <a:t> Chart of Churn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lumMod val="95000"/>
              </a:schemeClr>
            </a:solidFill>
            <a:round/>
          </a:ln>
          <a:effectLst/>
        </c:spPr>
        <c:marker>
          <c:symbol val="none"/>
        </c:marker>
      </c:pivotFmt>
      <c:pivotFmt>
        <c:idx val="2"/>
        <c:spPr>
          <a:solidFill>
            <a:schemeClr val="tx1">
              <a:lumMod val="65000"/>
              <a:lumOff val="35000"/>
            </a:schemeClr>
          </a:solidFill>
          <a:ln>
            <a:noFill/>
          </a:ln>
          <a:effectLst/>
        </c:spPr>
      </c:pivotFmt>
      <c:pivotFmt>
        <c:idx val="3"/>
        <c:spPr>
          <a:solidFill>
            <a:schemeClr val="tx1">
              <a:lumMod val="50000"/>
              <a:lumOff val="50000"/>
            </a:schemeClr>
          </a:solidFill>
          <a:ln>
            <a:noFill/>
          </a:ln>
          <a:effectLst/>
        </c:spPr>
      </c:pivotFmt>
      <c:pivotFmt>
        <c:idx val="4"/>
        <c:spPr>
          <a:solidFill>
            <a:schemeClr val="bg1">
              <a:lumMod val="50000"/>
            </a:schemeClr>
          </a:solidFill>
          <a:ln>
            <a:noFill/>
          </a:ln>
          <a:effectLst/>
        </c:spPr>
      </c:pivotFmt>
      <c:pivotFmt>
        <c:idx val="5"/>
        <c:spPr>
          <a:solidFill>
            <a:schemeClr val="bg1">
              <a:lumMod val="50000"/>
            </a:schemeClr>
          </a:solidFill>
          <a:ln>
            <a:noFill/>
          </a:ln>
          <a:effectLst/>
        </c:spPr>
      </c:pivotFmt>
      <c:pivotFmt>
        <c:idx val="6"/>
        <c:spPr>
          <a:solidFill>
            <a:schemeClr val="bg1">
              <a:lumMod val="65000"/>
            </a:schemeClr>
          </a:solidFill>
          <a:ln>
            <a:noFill/>
          </a:ln>
          <a:effectLst/>
        </c:spPr>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65000"/>
              <a:lumOff val="35000"/>
            </a:schemeClr>
          </a:solidFill>
          <a:ln>
            <a:noFill/>
          </a:ln>
          <a:effectLst/>
        </c:spPr>
      </c:pivotFmt>
      <c:pivotFmt>
        <c:idx val="9"/>
        <c:spPr>
          <a:solidFill>
            <a:schemeClr val="tx1">
              <a:lumMod val="50000"/>
              <a:lumOff val="50000"/>
            </a:schemeClr>
          </a:solidFill>
          <a:ln>
            <a:noFill/>
          </a:ln>
          <a:effectLst/>
        </c:spPr>
      </c:pivotFmt>
      <c:pivotFmt>
        <c:idx val="10"/>
        <c:spPr>
          <a:solidFill>
            <a:schemeClr val="bg1">
              <a:lumMod val="50000"/>
            </a:schemeClr>
          </a:solidFill>
          <a:ln>
            <a:noFill/>
          </a:ln>
          <a:effectLst/>
        </c:spPr>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lumMod val="65000"/>
              <a:lumOff val="35000"/>
            </a:schemeClr>
          </a:solidFill>
          <a:ln>
            <a:noFill/>
          </a:ln>
          <a:effectLst/>
        </c:spPr>
      </c:pivotFmt>
      <c:pivotFmt>
        <c:idx val="16"/>
        <c:spPr>
          <a:solidFill>
            <a:schemeClr val="tx1">
              <a:lumMod val="50000"/>
              <a:lumOff val="50000"/>
            </a:schemeClr>
          </a:solidFill>
          <a:ln>
            <a:noFill/>
          </a:ln>
          <a:effectLst/>
        </c:spPr>
      </c:pivotFmt>
      <c:pivotFmt>
        <c:idx val="17"/>
        <c:spPr>
          <a:solidFill>
            <a:schemeClr val="bg1">
              <a:lumMod val="50000"/>
            </a:schemeClr>
          </a:solidFill>
          <a:ln>
            <a:noFill/>
          </a:ln>
          <a:effectLst/>
        </c:spPr>
      </c:pivotFmt>
      <c:pivotFmt>
        <c:idx val="18"/>
        <c:spPr>
          <a:solidFill>
            <a:schemeClr val="bg1">
              <a:lumMod val="50000"/>
            </a:schemeClr>
          </a:solidFill>
          <a:ln>
            <a:noFill/>
          </a:ln>
          <a:effectLst/>
        </c:spPr>
      </c:pivotFmt>
      <c:pivotFmt>
        <c:idx val="19"/>
        <c:spPr>
          <a:solidFill>
            <a:schemeClr val="bg1">
              <a:lumMod val="65000"/>
            </a:schemeClr>
          </a:solidFill>
          <a:ln>
            <a:noFill/>
          </a:ln>
          <a:effectLst/>
        </c:spPr>
      </c:pivotFmt>
      <c:pivotFmt>
        <c:idx val="20"/>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lumMod val="65000"/>
              <a:lumOff val="35000"/>
            </a:schemeClr>
          </a:solidFill>
          <a:ln>
            <a:noFill/>
          </a:ln>
          <a:effectLst/>
        </c:spPr>
      </c:pivotFmt>
      <c:pivotFmt>
        <c:idx val="23"/>
        <c:spPr>
          <a:solidFill>
            <a:schemeClr val="tx1">
              <a:lumMod val="50000"/>
              <a:lumOff val="50000"/>
            </a:schemeClr>
          </a:solidFill>
          <a:ln>
            <a:noFill/>
          </a:ln>
          <a:effectLst/>
        </c:spPr>
      </c:pivotFmt>
      <c:pivotFmt>
        <c:idx val="24"/>
        <c:spPr>
          <a:solidFill>
            <a:schemeClr val="bg1">
              <a:lumMod val="50000"/>
            </a:schemeClr>
          </a:solidFill>
          <a:ln>
            <a:noFill/>
          </a:ln>
          <a:effectLst/>
        </c:spPr>
      </c:pivotFmt>
      <c:pivotFmt>
        <c:idx val="25"/>
        <c:spPr>
          <a:solidFill>
            <a:schemeClr val="bg1">
              <a:lumMod val="50000"/>
            </a:schemeClr>
          </a:solidFill>
          <a:ln>
            <a:noFill/>
          </a:ln>
          <a:effectLst/>
        </c:spPr>
      </c:pivotFmt>
      <c:pivotFmt>
        <c:idx val="26"/>
        <c:spPr>
          <a:solidFill>
            <a:schemeClr val="bg1">
              <a:lumMod val="65000"/>
            </a:schemeClr>
          </a:solidFill>
          <a:ln>
            <a:noFill/>
          </a:ln>
          <a:effectLst/>
        </c:spPr>
      </c:pivotFmt>
      <c:pivotFmt>
        <c:idx val="27"/>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1">
              <a:lumMod val="65000"/>
              <a:lumOff val="35000"/>
            </a:schemeClr>
          </a:solidFill>
          <a:ln>
            <a:noFill/>
          </a:ln>
          <a:effectLst/>
        </c:spPr>
      </c:pivotFmt>
      <c:pivotFmt>
        <c:idx val="30"/>
        <c:spPr>
          <a:solidFill>
            <a:schemeClr val="tx1">
              <a:lumMod val="50000"/>
              <a:lumOff val="50000"/>
            </a:schemeClr>
          </a:solidFill>
          <a:ln>
            <a:noFill/>
          </a:ln>
          <a:effectLst/>
        </c:spPr>
      </c:pivotFmt>
      <c:pivotFmt>
        <c:idx val="31"/>
        <c:spPr>
          <a:solidFill>
            <a:schemeClr val="bg1">
              <a:lumMod val="50000"/>
            </a:schemeClr>
          </a:solidFill>
          <a:ln>
            <a:noFill/>
          </a:ln>
          <a:effectLst/>
        </c:spPr>
      </c:pivotFmt>
      <c:pivotFmt>
        <c:idx val="32"/>
        <c:spPr>
          <a:solidFill>
            <a:schemeClr val="bg1">
              <a:lumMod val="50000"/>
            </a:schemeClr>
          </a:solidFill>
          <a:ln>
            <a:noFill/>
          </a:ln>
          <a:effectLst/>
        </c:spPr>
      </c:pivotFmt>
      <c:pivotFmt>
        <c:idx val="33"/>
        <c:spPr>
          <a:solidFill>
            <a:schemeClr val="bg1">
              <a:lumMod val="65000"/>
            </a:schemeClr>
          </a:solidFill>
          <a:ln>
            <a:noFill/>
          </a:ln>
          <a:effectLst/>
        </c:spPr>
      </c:pivotFmt>
      <c:pivotFmt>
        <c:idx val="34"/>
        <c:spPr>
          <a:solidFill>
            <a:schemeClr val="accent1"/>
          </a:solidFill>
          <a:ln w="28575" cap="rnd">
            <a:solidFill>
              <a:schemeClr val="bg1">
                <a:lumMod val="95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chemeClr val="tx1">
              <a:lumMod val="65000"/>
              <a:lumOff val="35000"/>
            </a:schemeClr>
          </a:solidFill>
          <a:ln>
            <a:noFill/>
          </a:ln>
          <a:effectLst/>
        </c:spPr>
      </c:pivotFmt>
      <c:pivotFmt>
        <c:idx val="42"/>
        <c:spPr>
          <a:solidFill>
            <a:schemeClr val="tx1">
              <a:lumMod val="65000"/>
              <a:lumOff val="35000"/>
            </a:schemeClr>
          </a:solidFill>
          <a:ln>
            <a:noFill/>
          </a:ln>
          <a:effectLst/>
        </c:spPr>
        <c:dLbl>
          <c:idx val="0"/>
          <c:layout>
            <c:manualLayout>
              <c:x val="1.1649446277838054E-2"/>
              <c:y val="8.148152900643278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tx1">
              <a:lumMod val="65000"/>
              <a:lumOff val="35000"/>
            </a:schemeClr>
          </a:solidFill>
          <a:ln>
            <a:noFill/>
          </a:ln>
          <a:effectLst/>
        </c:spPr>
      </c:pivotFmt>
      <c:pivotFmt>
        <c:idx val="44"/>
        <c:spPr>
          <a:solidFill>
            <a:schemeClr val="tx1">
              <a:lumMod val="65000"/>
              <a:lumOff val="35000"/>
            </a:schemeClr>
          </a:solidFill>
          <a:ln>
            <a:noFill/>
          </a:ln>
          <a:effectLst/>
        </c:spPr>
      </c:pivotFmt>
      <c:pivotFmt>
        <c:idx val="45"/>
        <c:spPr>
          <a:solidFill>
            <a:schemeClr val="tx1">
              <a:lumMod val="50000"/>
              <a:lumOff val="50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FFC000"/>
          </a:solidFill>
          <a:ln>
            <a:noFill/>
          </a:ln>
          <a:effectLst/>
        </c:spPr>
      </c:pivotFmt>
      <c:pivotFmt>
        <c:idx val="48"/>
        <c:spPr>
          <a:solidFill>
            <a:srgbClr val="FFC000"/>
          </a:solidFill>
          <a:ln>
            <a:noFill/>
          </a:ln>
          <a:effectLst/>
        </c:spPr>
      </c:pivotFmt>
      <c:pivotFmt>
        <c:idx val="49"/>
        <c:spPr>
          <a:solidFill>
            <a:schemeClr val="tx1">
              <a:lumMod val="65000"/>
              <a:lumOff val="35000"/>
            </a:schemeClr>
          </a:solidFill>
          <a:ln>
            <a:noFill/>
          </a:ln>
          <a:effectLst/>
        </c:spPr>
      </c:pivotFmt>
      <c:pivotFmt>
        <c:idx val="50"/>
        <c:spPr>
          <a:solidFill>
            <a:schemeClr val="tx1">
              <a:lumMod val="65000"/>
              <a:lumOff val="35000"/>
            </a:schemeClr>
          </a:solidFill>
          <a:ln>
            <a:noFill/>
          </a:ln>
          <a:effectLst/>
        </c:spPr>
        <c:dLbl>
          <c:idx val="0"/>
          <c:layout>
            <c:manualLayout>
              <c:x val="1.1649446277838054E-2"/>
              <c:y val="8.148152900643278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tx1">
              <a:lumMod val="65000"/>
              <a:lumOff val="35000"/>
            </a:schemeClr>
          </a:solidFill>
          <a:ln>
            <a:noFill/>
          </a:ln>
          <a:effectLst/>
        </c:spPr>
      </c:pivotFmt>
      <c:pivotFmt>
        <c:idx val="52"/>
        <c:spPr>
          <a:solidFill>
            <a:schemeClr val="tx1">
              <a:lumMod val="65000"/>
              <a:lumOff val="35000"/>
            </a:schemeClr>
          </a:solidFill>
          <a:ln>
            <a:noFill/>
          </a:ln>
          <a:effectLst/>
        </c:spPr>
      </c:pivotFmt>
      <c:pivotFmt>
        <c:idx val="53"/>
        <c:spPr>
          <a:solidFill>
            <a:schemeClr val="tx1">
              <a:lumMod val="50000"/>
              <a:lumOff val="50000"/>
            </a:schemeClr>
          </a:solidFill>
          <a:ln>
            <a:noFill/>
          </a:ln>
          <a:effectLst/>
        </c:spPr>
      </c:pivotFmt>
      <c:pivotFmt>
        <c:idx val="54"/>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FFC000"/>
          </a:solidFill>
          <a:ln>
            <a:noFill/>
          </a:ln>
          <a:effectLst/>
        </c:spPr>
      </c:pivotFmt>
      <c:pivotFmt>
        <c:idx val="57"/>
        <c:spPr>
          <a:solidFill>
            <a:srgbClr val="FFC000"/>
          </a:solidFill>
          <a:ln>
            <a:noFill/>
          </a:ln>
          <a:effectLst/>
        </c:spPr>
      </c:pivotFmt>
      <c:pivotFmt>
        <c:idx val="58"/>
        <c:spPr>
          <a:solidFill>
            <a:schemeClr val="tx1">
              <a:lumMod val="65000"/>
              <a:lumOff val="35000"/>
            </a:schemeClr>
          </a:solidFill>
          <a:ln>
            <a:noFill/>
          </a:ln>
          <a:effectLst/>
        </c:spPr>
      </c:pivotFmt>
      <c:pivotFmt>
        <c:idx val="59"/>
        <c:spPr>
          <a:solidFill>
            <a:schemeClr val="tx1">
              <a:lumMod val="65000"/>
              <a:lumOff val="35000"/>
            </a:schemeClr>
          </a:solidFill>
          <a:ln>
            <a:noFill/>
          </a:ln>
          <a:effectLst/>
        </c:spPr>
        <c:dLbl>
          <c:idx val="0"/>
          <c:layout>
            <c:manualLayout>
              <c:x val="1.1649446277838054E-2"/>
              <c:y val="8.148152900643278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tx1">
              <a:lumMod val="65000"/>
              <a:lumOff val="35000"/>
            </a:schemeClr>
          </a:solidFill>
          <a:ln>
            <a:noFill/>
          </a:ln>
          <a:effectLst/>
        </c:spPr>
      </c:pivotFmt>
      <c:pivotFmt>
        <c:idx val="61"/>
        <c:spPr>
          <a:solidFill>
            <a:schemeClr val="tx1">
              <a:lumMod val="65000"/>
              <a:lumOff val="35000"/>
            </a:schemeClr>
          </a:solidFill>
          <a:ln>
            <a:noFill/>
          </a:ln>
          <a:effectLst/>
        </c:spPr>
      </c:pivotFmt>
      <c:pivotFmt>
        <c:idx val="62"/>
        <c:spPr>
          <a:solidFill>
            <a:schemeClr val="tx1">
              <a:lumMod val="50000"/>
              <a:lumOff val="50000"/>
            </a:schemeClr>
          </a:solidFill>
          <a:ln>
            <a:noFill/>
          </a:ln>
          <a:effectLst/>
        </c:spPr>
      </c:pivotFmt>
      <c:pivotFmt>
        <c:idx val="63"/>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 &amp; Charts'!$E$10</c:f>
              <c:strCache>
                <c:ptCount val="1"/>
                <c:pt idx="0">
                  <c:v>Sum of Unique Customers</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6CB5-49C8-91AC-AE2124F1F8CF}"/>
              </c:ext>
            </c:extLst>
          </c:dPt>
          <c:dPt>
            <c:idx val="1"/>
            <c:invertIfNegative val="0"/>
            <c:bubble3D val="0"/>
            <c:spPr>
              <a:solidFill>
                <a:srgbClr val="FFC000"/>
              </a:solidFill>
              <a:ln>
                <a:noFill/>
              </a:ln>
              <a:effectLst/>
            </c:spPr>
            <c:extLst>
              <c:ext xmlns:c16="http://schemas.microsoft.com/office/drawing/2014/chart" uri="{C3380CC4-5D6E-409C-BE32-E72D297353CC}">
                <c16:uniqueId val="{00000003-6CB5-49C8-91AC-AE2124F1F8CF}"/>
              </c:ext>
            </c:extLst>
          </c:dPt>
          <c:dPt>
            <c:idx val="2"/>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5-6CB5-49C8-91AC-AE2124F1F8CF}"/>
              </c:ext>
            </c:extLst>
          </c:dPt>
          <c:dPt>
            <c:idx val="3"/>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7-6CB5-49C8-91AC-AE2124F1F8CF}"/>
              </c:ext>
            </c:extLst>
          </c:dPt>
          <c:dPt>
            <c:idx val="4"/>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9-6CB5-49C8-91AC-AE2124F1F8CF}"/>
              </c:ext>
            </c:extLst>
          </c:dPt>
          <c:dPt>
            <c:idx val="5"/>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B-6CB5-49C8-91AC-AE2124F1F8CF}"/>
              </c:ext>
            </c:extLst>
          </c:dPt>
          <c:dPt>
            <c:idx val="6"/>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D-6CB5-49C8-91AC-AE2124F1F8CF}"/>
              </c:ext>
            </c:extLst>
          </c:dPt>
          <c:dLbls>
            <c:dLbl>
              <c:idx val="3"/>
              <c:layout>
                <c:manualLayout>
                  <c:x val="1.1649446277838054E-2"/>
                  <c:y val="8.14815290064327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CB5-49C8-91AC-AE2124F1F8CF}"/>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 Pivot Table &amp; Charts'!$D$11:$D$17</c:f>
              <c:strCache>
                <c:ptCount val="7"/>
                <c:pt idx="0">
                  <c:v>Better Offers from Competitors</c:v>
                </c:pt>
                <c:pt idx="1">
                  <c:v>High Call Tarriffs</c:v>
                </c:pt>
                <c:pt idx="2">
                  <c:v>Poor Network</c:v>
                </c:pt>
                <c:pt idx="3">
                  <c:v>Costly Data Plans</c:v>
                </c:pt>
                <c:pt idx="4">
                  <c:v>Fast Data Consumption</c:v>
                </c:pt>
                <c:pt idx="5">
                  <c:v>Poor Customer Service</c:v>
                </c:pt>
                <c:pt idx="6">
                  <c:v>Relocation</c:v>
                </c:pt>
              </c:strCache>
            </c:strRef>
          </c:cat>
          <c:val>
            <c:numRef>
              <c:f>' Pivot Table &amp; Charts'!$E$11:$E$17</c:f>
              <c:numCache>
                <c:formatCode>General</c:formatCode>
                <c:ptCount val="7"/>
                <c:pt idx="0">
                  <c:v>29</c:v>
                </c:pt>
                <c:pt idx="1">
                  <c:v>26</c:v>
                </c:pt>
                <c:pt idx="2">
                  <c:v>20</c:v>
                </c:pt>
                <c:pt idx="3">
                  <c:v>20</c:v>
                </c:pt>
                <c:pt idx="4">
                  <c:v>18</c:v>
                </c:pt>
                <c:pt idx="5">
                  <c:v>18</c:v>
                </c:pt>
                <c:pt idx="6">
                  <c:v>15</c:v>
                </c:pt>
              </c:numCache>
            </c:numRef>
          </c:val>
          <c:extLst>
            <c:ext xmlns:c16="http://schemas.microsoft.com/office/drawing/2014/chart" uri="{C3380CC4-5D6E-409C-BE32-E72D297353CC}">
              <c16:uniqueId val="{0000000E-6CB5-49C8-91AC-AE2124F1F8CF}"/>
            </c:ext>
          </c:extLst>
        </c:ser>
        <c:dLbls>
          <c:showLegendKey val="0"/>
          <c:showVal val="1"/>
          <c:showCatName val="0"/>
          <c:showSerName val="0"/>
          <c:showPercent val="0"/>
          <c:showBubbleSize val="0"/>
        </c:dLbls>
        <c:gapWidth val="60"/>
        <c:axId val="649764048"/>
        <c:axId val="649750160"/>
      </c:barChart>
      <c:lineChart>
        <c:grouping val="standard"/>
        <c:varyColors val="0"/>
        <c:ser>
          <c:idx val="1"/>
          <c:order val="1"/>
          <c:tx>
            <c:strRef>
              <c:f>' Pivot Table &amp; Charts'!$F$10</c:f>
              <c:strCache>
                <c:ptCount val="1"/>
                <c:pt idx="0">
                  <c:v>Sum of Unique Customers2</c:v>
                </c:pt>
              </c:strCache>
            </c:strRef>
          </c:tx>
          <c:spPr>
            <a:ln w="28575" cap="rnd">
              <a:solidFill>
                <a:schemeClr val="bg1">
                  <a:lumMod val="9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Charts'!$D$11:$D$17</c:f>
              <c:strCache>
                <c:ptCount val="7"/>
                <c:pt idx="0">
                  <c:v>Better Offers from Competitors</c:v>
                </c:pt>
                <c:pt idx="1">
                  <c:v>High Call Tarriffs</c:v>
                </c:pt>
                <c:pt idx="2">
                  <c:v>Poor Network</c:v>
                </c:pt>
                <c:pt idx="3">
                  <c:v>Costly Data Plans</c:v>
                </c:pt>
                <c:pt idx="4">
                  <c:v>Fast Data Consumption</c:v>
                </c:pt>
                <c:pt idx="5">
                  <c:v>Poor Customer Service</c:v>
                </c:pt>
                <c:pt idx="6">
                  <c:v>Relocation</c:v>
                </c:pt>
              </c:strCache>
            </c:strRef>
          </c:cat>
          <c:val>
            <c:numRef>
              <c:f>' Pivot Table &amp; Charts'!$F$11:$F$17</c:f>
              <c:numCache>
                <c:formatCode>0.00%</c:formatCode>
                <c:ptCount val="7"/>
                <c:pt idx="0">
                  <c:v>0.19863013698630136</c:v>
                </c:pt>
                <c:pt idx="1">
                  <c:v>0.37671232876712329</c:v>
                </c:pt>
                <c:pt idx="2">
                  <c:v>0.51369863013698636</c:v>
                </c:pt>
                <c:pt idx="3">
                  <c:v>0.65068493150684936</c:v>
                </c:pt>
                <c:pt idx="4">
                  <c:v>0.77397260273972601</c:v>
                </c:pt>
                <c:pt idx="5">
                  <c:v>0.89726027397260277</c:v>
                </c:pt>
                <c:pt idx="6">
                  <c:v>1</c:v>
                </c:pt>
              </c:numCache>
            </c:numRef>
          </c:val>
          <c:smooth val="0"/>
          <c:extLst>
            <c:ext xmlns:c16="http://schemas.microsoft.com/office/drawing/2014/chart" uri="{C3380CC4-5D6E-409C-BE32-E72D297353CC}">
              <c16:uniqueId val="{0000000F-6CB5-49C8-91AC-AE2124F1F8CF}"/>
            </c:ext>
          </c:extLst>
        </c:ser>
        <c:dLbls>
          <c:showLegendKey val="0"/>
          <c:showVal val="1"/>
          <c:showCatName val="0"/>
          <c:showSerName val="0"/>
          <c:showPercent val="0"/>
          <c:showBubbleSize val="0"/>
        </c:dLbls>
        <c:marker val="1"/>
        <c:smooth val="0"/>
        <c:axId val="1190837232"/>
        <c:axId val="1190830784"/>
      </c:lineChart>
      <c:catAx>
        <c:axId val="64976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49750160"/>
        <c:crosses val="autoZero"/>
        <c:auto val="1"/>
        <c:lblAlgn val="ctr"/>
        <c:lblOffset val="100"/>
        <c:noMultiLvlLbl val="0"/>
      </c:catAx>
      <c:valAx>
        <c:axId val="649750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49764048"/>
        <c:crosses val="autoZero"/>
        <c:crossBetween val="between"/>
      </c:valAx>
      <c:valAx>
        <c:axId val="1190830784"/>
        <c:scaling>
          <c:orientation val="minMax"/>
          <c:max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90837232"/>
        <c:crosses val="max"/>
        <c:crossBetween val="between"/>
      </c:valAx>
      <c:catAx>
        <c:axId val="1190837232"/>
        <c:scaling>
          <c:orientation val="minMax"/>
        </c:scaling>
        <c:delete val="1"/>
        <c:axPos val="b"/>
        <c:numFmt formatCode="General" sourceLinked="1"/>
        <c:majorTickMark val="out"/>
        <c:minorTickMark val="none"/>
        <c:tickLblPos val="nextTo"/>
        <c:crossAx val="119083078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Charts!Customer Review</c:name>
    <c:fmtId val="16"/>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solidFill>
                  <a:schemeClr val="bg1"/>
                </a:solidFill>
              </a:rPr>
              <a:t>Churn  by Customer Review Rating</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 &amp; Charts'!$B$49:$B$51</c:f>
              <c:strCache>
                <c:ptCount val="1"/>
                <c:pt idx="0">
                  <c:v>Yes - Sum of Unique Customers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Charts'!$A$52:$A$56</c:f>
              <c:strCache>
                <c:ptCount val="5"/>
                <c:pt idx="0">
                  <c:v>Very Good</c:v>
                </c:pt>
                <c:pt idx="1">
                  <c:v>Excellent</c:v>
                </c:pt>
                <c:pt idx="2">
                  <c:v>Fair</c:v>
                </c:pt>
                <c:pt idx="3">
                  <c:v>Good</c:v>
                </c:pt>
                <c:pt idx="4">
                  <c:v>Poor</c:v>
                </c:pt>
              </c:strCache>
            </c:strRef>
          </c:cat>
          <c:val>
            <c:numRef>
              <c:f>' Pivot Table &amp; Charts'!$B$52:$B$56</c:f>
              <c:numCache>
                <c:formatCode>General</c:formatCode>
                <c:ptCount val="5"/>
                <c:pt idx="0">
                  <c:v>32</c:v>
                </c:pt>
                <c:pt idx="1">
                  <c:v>31</c:v>
                </c:pt>
                <c:pt idx="2">
                  <c:v>30</c:v>
                </c:pt>
                <c:pt idx="3">
                  <c:v>27</c:v>
                </c:pt>
                <c:pt idx="4">
                  <c:v>26</c:v>
                </c:pt>
              </c:numCache>
            </c:numRef>
          </c:val>
          <c:extLst>
            <c:ext xmlns:c16="http://schemas.microsoft.com/office/drawing/2014/chart" uri="{C3380CC4-5D6E-409C-BE32-E72D297353CC}">
              <c16:uniqueId val="{00000000-9117-4CF4-8F70-CB7DC4F74D49}"/>
            </c:ext>
          </c:extLst>
        </c:ser>
        <c:dLbls>
          <c:showLegendKey val="0"/>
          <c:showVal val="0"/>
          <c:showCatName val="0"/>
          <c:showSerName val="0"/>
          <c:showPercent val="0"/>
          <c:showBubbleSize val="0"/>
        </c:dLbls>
        <c:gapWidth val="60"/>
        <c:axId val="607495744"/>
        <c:axId val="607512608"/>
      </c:barChart>
      <c:lineChart>
        <c:grouping val="standard"/>
        <c:varyColors val="0"/>
        <c:ser>
          <c:idx val="1"/>
          <c:order val="1"/>
          <c:tx>
            <c:strRef>
              <c:f>' Pivot Table &amp; Charts'!$C$49:$C$51</c:f>
              <c:strCache>
                <c:ptCount val="1"/>
                <c:pt idx="0">
                  <c:v>Yes - Sum of Unique Customers2</c:v>
                </c:pt>
              </c:strCache>
            </c:strRef>
          </c:tx>
          <c:spPr>
            <a:ln w="28575" cap="rnd">
              <a:solidFill>
                <a:schemeClr val="bg1">
                  <a:lumMod val="95000"/>
                </a:schemeClr>
              </a:solidFill>
              <a:round/>
            </a:ln>
            <a:effectLst/>
          </c:spPr>
          <c:marker>
            <c:symbol val="none"/>
          </c:marker>
          <c:cat>
            <c:strRef>
              <c:f>' Pivot Table &amp; Charts'!$A$52:$A$56</c:f>
              <c:strCache>
                <c:ptCount val="5"/>
                <c:pt idx="0">
                  <c:v>Very Good</c:v>
                </c:pt>
                <c:pt idx="1">
                  <c:v>Excellent</c:v>
                </c:pt>
                <c:pt idx="2">
                  <c:v>Fair</c:v>
                </c:pt>
                <c:pt idx="3">
                  <c:v>Good</c:v>
                </c:pt>
                <c:pt idx="4">
                  <c:v>Poor</c:v>
                </c:pt>
              </c:strCache>
            </c:strRef>
          </c:cat>
          <c:val>
            <c:numRef>
              <c:f>' Pivot Table &amp; Charts'!$C$52:$C$56</c:f>
              <c:numCache>
                <c:formatCode>0.00%</c:formatCode>
                <c:ptCount val="5"/>
                <c:pt idx="0">
                  <c:v>0.21917808219178081</c:v>
                </c:pt>
                <c:pt idx="1">
                  <c:v>0.21232876712328766</c:v>
                </c:pt>
                <c:pt idx="2">
                  <c:v>0.20547945205479451</c:v>
                </c:pt>
                <c:pt idx="3">
                  <c:v>0.18493150684931506</c:v>
                </c:pt>
                <c:pt idx="4">
                  <c:v>0.17808219178082191</c:v>
                </c:pt>
              </c:numCache>
            </c:numRef>
          </c:val>
          <c:smooth val="0"/>
          <c:extLst>
            <c:ext xmlns:c16="http://schemas.microsoft.com/office/drawing/2014/chart" uri="{C3380CC4-5D6E-409C-BE32-E72D297353CC}">
              <c16:uniqueId val="{00000001-9117-4CF4-8F70-CB7DC4F74D49}"/>
            </c:ext>
          </c:extLst>
        </c:ser>
        <c:dLbls>
          <c:showLegendKey val="0"/>
          <c:showVal val="0"/>
          <c:showCatName val="0"/>
          <c:showSerName val="0"/>
          <c:showPercent val="0"/>
          <c:showBubbleSize val="0"/>
        </c:dLbls>
        <c:marker val="1"/>
        <c:smooth val="0"/>
        <c:axId val="1029189328"/>
        <c:axId val="1029188832"/>
      </c:lineChart>
      <c:catAx>
        <c:axId val="60749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07512608"/>
        <c:crosses val="autoZero"/>
        <c:auto val="1"/>
        <c:lblAlgn val="ctr"/>
        <c:lblOffset val="100"/>
        <c:noMultiLvlLbl val="0"/>
      </c:catAx>
      <c:valAx>
        <c:axId val="607512608"/>
        <c:scaling>
          <c:orientation val="minMax"/>
          <c:max val="3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07495744"/>
        <c:crosses val="autoZero"/>
        <c:crossBetween val="between"/>
        <c:majorUnit val="5"/>
      </c:valAx>
      <c:valAx>
        <c:axId val="1029188832"/>
        <c:scaling>
          <c:orientation val="minMax"/>
          <c:max val="0.25"/>
        </c:scaling>
        <c:delete val="0"/>
        <c:axPos val="r"/>
        <c:numFmt formatCode="0%"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189328"/>
        <c:crosses val="max"/>
        <c:crossBetween val="between"/>
      </c:valAx>
      <c:catAx>
        <c:axId val="1029189328"/>
        <c:scaling>
          <c:orientation val="minMax"/>
        </c:scaling>
        <c:delete val="1"/>
        <c:axPos val="b"/>
        <c:numFmt formatCode="General" sourceLinked="1"/>
        <c:majorTickMark val="out"/>
        <c:minorTickMark val="none"/>
        <c:tickLblPos val="nextTo"/>
        <c:crossAx val="102918883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Charts!PivotTable10</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0">
                <a:solidFill>
                  <a:schemeClr val="bg1"/>
                </a:solidFill>
              </a:rPr>
              <a:t>Churn by Tenure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chemeClr val="tx1">
              <a:lumMod val="75000"/>
              <a:lumOff val="25000"/>
            </a:schemeClr>
          </a:solidFill>
          <a:ln>
            <a:noFill/>
          </a:ln>
          <a:effectLst/>
        </c:spPr>
      </c:pivotFmt>
      <c:pivotFmt>
        <c:idx val="3"/>
        <c:spPr>
          <a:solidFill>
            <a:schemeClr val="tx1">
              <a:lumMod val="75000"/>
              <a:lumOff val="25000"/>
            </a:schemeClr>
          </a:solidFill>
          <a:ln>
            <a:noFill/>
          </a:ln>
          <a:effectLst/>
        </c:spPr>
      </c:pivotFmt>
      <c:pivotFmt>
        <c:idx val="4"/>
        <c:spPr>
          <a:solidFill>
            <a:schemeClr val="tx1">
              <a:lumMod val="50000"/>
              <a:lumOff val="5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a:noFill/>
          </a:ln>
          <a:effectLst/>
        </c:spPr>
      </c:pivotFmt>
      <c:pivotFmt>
        <c:idx val="7"/>
        <c:spPr>
          <a:solidFill>
            <a:schemeClr val="tx1">
              <a:lumMod val="75000"/>
              <a:lumOff val="25000"/>
            </a:schemeClr>
          </a:solidFill>
          <a:ln>
            <a:noFill/>
          </a:ln>
          <a:effectLst/>
        </c:spPr>
      </c:pivotFmt>
      <c:pivotFmt>
        <c:idx val="8"/>
        <c:spPr>
          <a:solidFill>
            <a:schemeClr val="tx1">
              <a:lumMod val="75000"/>
              <a:lumOff val="25000"/>
            </a:schemeClr>
          </a:solidFill>
          <a:ln>
            <a:noFill/>
          </a:ln>
          <a:effectLst/>
        </c:spPr>
      </c:pivotFmt>
      <c:pivotFmt>
        <c:idx val="9"/>
        <c:spPr>
          <a:solidFill>
            <a:srgbClr val="FFC0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50000"/>
              <a:lumOff val="50000"/>
            </a:schemeClr>
          </a:solidFill>
          <a:ln>
            <a:noFill/>
          </a:ln>
          <a:effectLst/>
        </c:spPr>
      </c:pivotFmt>
      <c:pivotFmt>
        <c:idx val="12"/>
        <c:spPr>
          <a:solidFill>
            <a:schemeClr val="tx1">
              <a:lumMod val="65000"/>
              <a:lumOff val="35000"/>
            </a:schemeClr>
          </a:solidFill>
          <a:ln>
            <a:noFill/>
          </a:ln>
          <a:effectLst/>
        </c:spPr>
      </c:pivotFmt>
      <c:pivotFmt>
        <c:idx val="13"/>
        <c:spPr>
          <a:solidFill>
            <a:schemeClr val="tx1">
              <a:lumMod val="65000"/>
              <a:lumOff val="35000"/>
            </a:schemeClr>
          </a:solidFill>
          <a:ln>
            <a:noFill/>
          </a:ln>
          <a:effectLst/>
        </c:spPr>
      </c:pivotFmt>
      <c:pivotFmt>
        <c:idx val="14"/>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fld id="{5BA4690B-0AA2-431C-8389-3E569386CD29}" type="VALUE">
                  <a:rPr lang="en-US" b="1"/>
                  <a:pPr>
                    <a:defRPr sz="1400" b="0" i="0" u="none" strike="noStrike" kern="1200" baseline="0">
                      <a:solidFill>
                        <a:schemeClr val="bg1"/>
                      </a:solidFill>
                      <a:latin typeface="Gadugi" panose="020B0502040204020203" pitchFamily="34" charset="0"/>
                      <a:ea typeface="Gadugi" panose="020B0502040204020203" pitchFamily="34" charset="0"/>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dLbl>
          <c:idx val="0"/>
          <c:layout>
            <c:manualLayout>
              <c:x val="0"/>
              <c:y val="3.868497877504471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pivotFmt>
      <c:pivotFmt>
        <c:idx val="19"/>
        <c:spPr>
          <a:solidFill>
            <a:schemeClr val="tx1">
              <a:lumMod val="65000"/>
              <a:lumOff val="35000"/>
            </a:schemeClr>
          </a:solidFill>
          <a:ln>
            <a:noFill/>
          </a:ln>
          <a:effectLst/>
        </c:spPr>
      </c:pivotFmt>
      <c:pivotFmt>
        <c:idx val="20"/>
        <c:spPr>
          <a:solidFill>
            <a:schemeClr val="bg1">
              <a:lumMod val="50000"/>
            </a:schemeClr>
          </a:solidFill>
          <a:ln>
            <a:noFill/>
          </a:ln>
          <a:effectLst/>
        </c:spPr>
      </c:pivotFmt>
    </c:pivotFmts>
    <c:plotArea>
      <c:layout>
        <c:manualLayout>
          <c:layoutTarget val="inner"/>
          <c:xMode val="edge"/>
          <c:yMode val="edge"/>
          <c:x val="0.17814399607056555"/>
          <c:y val="0.14376382069114407"/>
          <c:w val="0.72966648035185266"/>
          <c:h val="0.82397329457118762"/>
        </c:manualLayout>
      </c:layout>
      <c:barChart>
        <c:barDir val="bar"/>
        <c:grouping val="clustered"/>
        <c:varyColors val="0"/>
        <c:ser>
          <c:idx val="0"/>
          <c:order val="0"/>
          <c:tx>
            <c:strRef>
              <c:f>' Pivot Table &amp; Charts'!$B$86:$B$87</c:f>
              <c:strCache>
                <c:ptCount val="1"/>
                <c:pt idx="0">
                  <c:v>Yes</c:v>
                </c:pt>
              </c:strCache>
            </c:strRef>
          </c:tx>
          <c:spPr>
            <a:solidFill>
              <a:schemeClr val="accent1"/>
            </a:solidFill>
            <a:ln>
              <a:noFill/>
            </a:ln>
            <a:effectLst/>
          </c:spPr>
          <c:invertIfNegative val="0"/>
          <c:dPt>
            <c:idx val="0"/>
            <c:invertIfNegative val="0"/>
            <c:bubble3D val="0"/>
            <c:spPr>
              <a:solidFill>
                <a:schemeClr val="bg1">
                  <a:lumMod val="50000"/>
                </a:schemeClr>
              </a:solidFill>
              <a:ln>
                <a:noFill/>
              </a:ln>
              <a:effectLst/>
            </c:spPr>
            <c:extLst>
              <c:ext xmlns:c16="http://schemas.microsoft.com/office/drawing/2014/chart" uri="{C3380CC4-5D6E-409C-BE32-E72D297353CC}">
                <c16:uniqueId val="{00000001-8E17-475C-BB4D-97EA7703A40C}"/>
              </c:ext>
            </c:extLst>
          </c:dPt>
          <c:dPt>
            <c:idx val="1"/>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3-8E17-475C-BB4D-97EA7703A40C}"/>
              </c:ext>
            </c:extLst>
          </c:dPt>
          <c:dPt>
            <c:idx val="2"/>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5-8E17-475C-BB4D-97EA7703A40C}"/>
              </c:ext>
            </c:extLst>
          </c:dPt>
          <c:dPt>
            <c:idx val="3"/>
            <c:invertIfNegative val="0"/>
            <c:bubble3D val="0"/>
            <c:spPr>
              <a:solidFill>
                <a:srgbClr val="FFC000"/>
              </a:solidFill>
              <a:ln>
                <a:noFill/>
              </a:ln>
              <a:effectLst/>
            </c:spPr>
            <c:extLst>
              <c:ext xmlns:c16="http://schemas.microsoft.com/office/drawing/2014/chart" uri="{C3380CC4-5D6E-409C-BE32-E72D297353CC}">
                <c16:uniqueId val="{00000007-8E17-475C-BB4D-97EA7703A40C}"/>
              </c:ext>
            </c:extLst>
          </c:dPt>
          <c:dLbls>
            <c:dLbl>
              <c:idx val="3"/>
              <c:layout>
                <c:manualLayout>
                  <c:x val="0"/>
                  <c:y val="3.868497877504471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E17-475C-BB4D-97EA7703A40C}"/>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Charts'!$A$88:$A$91</c:f>
              <c:strCache>
                <c:ptCount val="4"/>
                <c:pt idx="0">
                  <c:v>0-6 months</c:v>
                </c:pt>
                <c:pt idx="1">
                  <c:v>7-12 months</c:v>
                </c:pt>
                <c:pt idx="2">
                  <c:v>1-2 years</c:v>
                </c:pt>
                <c:pt idx="3">
                  <c:v>2+ years</c:v>
                </c:pt>
              </c:strCache>
            </c:strRef>
          </c:cat>
          <c:val>
            <c:numRef>
              <c:f>' Pivot Table &amp; Charts'!$B$88:$B$91</c:f>
              <c:numCache>
                <c:formatCode>General</c:formatCode>
                <c:ptCount val="4"/>
                <c:pt idx="0">
                  <c:v>10</c:v>
                </c:pt>
                <c:pt idx="1">
                  <c:v>17</c:v>
                </c:pt>
                <c:pt idx="2">
                  <c:v>24</c:v>
                </c:pt>
                <c:pt idx="3">
                  <c:v>95</c:v>
                </c:pt>
              </c:numCache>
            </c:numRef>
          </c:val>
          <c:extLst>
            <c:ext xmlns:c16="http://schemas.microsoft.com/office/drawing/2014/chart" uri="{C3380CC4-5D6E-409C-BE32-E72D297353CC}">
              <c16:uniqueId val="{00000008-8E17-475C-BB4D-97EA7703A40C}"/>
            </c:ext>
          </c:extLst>
        </c:ser>
        <c:dLbls>
          <c:dLblPos val="inEnd"/>
          <c:showLegendKey val="0"/>
          <c:showVal val="1"/>
          <c:showCatName val="0"/>
          <c:showSerName val="0"/>
          <c:showPercent val="0"/>
          <c:showBubbleSize val="0"/>
        </c:dLbls>
        <c:gapWidth val="30"/>
        <c:axId val="600469504"/>
        <c:axId val="600471984"/>
      </c:barChart>
      <c:catAx>
        <c:axId val="600469504"/>
        <c:scaling>
          <c:orientation val="minMax"/>
        </c:scaling>
        <c:delete val="0"/>
        <c:axPos val="l"/>
        <c:numFmt formatCode="General"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00471984"/>
        <c:crosses val="autoZero"/>
        <c:auto val="1"/>
        <c:lblAlgn val="ctr"/>
        <c:lblOffset val="100"/>
        <c:noMultiLvlLbl val="0"/>
      </c:catAx>
      <c:valAx>
        <c:axId val="600471984"/>
        <c:scaling>
          <c:orientation val="minMax"/>
        </c:scaling>
        <c:delete val="1"/>
        <c:axPos val="b"/>
        <c:numFmt formatCode="General" sourceLinked="1"/>
        <c:majorTickMark val="none"/>
        <c:minorTickMark val="none"/>
        <c:tickLblPos val="nextTo"/>
        <c:crossAx val="600469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Charts!Churn by Agegroup</c:name>
    <c:fmtId val="11"/>
  </c:pivotSource>
  <c:chart>
    <c:title>
      <c:tx>
        <c:rich>
          <a:bodyPr rot="0" spcFirstLastPara="1" vertOverflow="ellipsis" vert="horz" wrap="square" anchor="ctr" anchorCtr="1"/>
          <a:lstStyle/>
          <a:p>
            <a:pPr algn="l">
              <a:defRPr sz="1600" b="0" i="0" u="none" strike="noStrike" kern="1200" spc="0" baseline="0">
                <a:solidFill>
                  <a:schemeClr val="bg1"/>
                </a:solidFill>
                <a:latin typeface="+mn-lt"/>
                <a:ea typeface="+mn-ea"/>
                <a:cs typeface="+mn-cs"/>
              </a:defRPr>
            </a:pPr>
            <a:r>
              <a:rPr lang="en-US" sz="1600" b="0">
                <a:solidFill>
                  <a:schemeClr val="bg1"/>
                </a:solidFill>
              </a:rPr>
              <a:t>Revenue Lost + Churn by Age Group</a:t>
            </a:r>
          </a:p>
        </c:rich>
      </c:tx>
      <c:layout>
        <c:manualLayout>
          <c:xMode val="edge"/>
          <c:yMode val="edge"/>
          <c:x val="0.3056304621868503"/>
          <c:y val="4.9421190772206084E-3"/>
        </c:manualLayout>
      </c:layout>
      <c:overlay val="0"/>
      <c:spPr>
        <a:noFill/>
        <a:ln>
          <a:noFill/>
        </a:ln>
        <a:effectLst/>
      </c:spPr>
      <c:txPr>
        <a:bodyPr rot="0" spcFirstLastPara="1" vertOverflow="ellipsis" vert="horz" wrap="square" anchor="ctr" anchorCtr="1"/>
        <a:lstStyle/>
        <a:p>
          <a:pPr algn="l">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FFC000"/>
            </a:solidFill>
            <a:round/>
          </a:ln>
          <a:effectLst/>
        </c:spPr>
        <c:marker>
          <c:symbol val="none"/>
        </c:marker>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a:noFill/>
          </a:ln>
          <a:effectLst/>
        </c:spPr>
      </c:pivotFmt>
      <c:pivotFmt>
        <c:idx val="7"/>
        <c:spPr>
          <a:solidFill>
            <a:schemeClr val="bg1">
              <a:lumMod val="50000"/>
            </a:schemeClr>
          </a:solidFill>
          <a:ln>
            <a:noFill/>
          </a:ln>
          <a:effectLst/>
        </c:spPr>
      </c:pivotFmt>
      <c:pivotFmt>
        <c:idx val="8"/>
        <c:spPr>
          <a:solidFill>
            <a:schemeClr val="bg1">
              <a:lumMod val="50000"/>
            </a:schemeClr>
          </a:solidFill>
          <a:ln>
            <a:noFill/>
          </a:ln>
          <a:effectLst/>
        </c:spPr>
      </c:pivotFmt>
      <c:pivotFmt>
        <c:idx val="9"/>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50000"/>
            </a:schemeClr>
          </a:solidFill>
          <a:ln>
            <a:noFill/>
          </a:ln>
          <a:effectLst/>
        </c:spPr>
      </c:pivotFmt>
      <c:pivotFmt>
        <c:idx val="11"/>
        <c:spPr>
          <a:solidFill>
            <a:schemeClr val="bg1">
              <a:lumMod val="50000"/>
            </a:schemeClr>
          </a:solidFill>
          <a:ln>
            <a:noFill/>
          </a:ln>
          <a:effectLst/>
        </c:spPr>
      </c:pivotFmt>
      <c:pivotFmt>
        <c:idx val="12"/>
        <c:spPr>
          <a:solidFill>
            <a:schemeClr val="bg1">
              <a:lumMod val="50000"/>
            </a:schemeClr>
          </a:solidFill>
          <a:ln>
            <a:noFill/>
          </a:ln>
          <a:effectLst/>
        </c:spPr>
      </c:pivotFmt>
      <c:pivotFmt>
        <c:idx val="1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lumMod val="65000"/>
              <a:lumOff val="35000"/>
            </a:schemeClr>
          </a:solidFill>
          <a:ln>
            <a:noFill/>
          </a:ln>
          <a:effectLst/>
        </c:spPr>
      </c:pivotFmt>
      <c:pivotFmt>
        <c:idx val="16"/>
        <c:spPr>
          <a:solidFill>
            <a:schemeClr val="bg2">
              <a:lumMod val="50000"/>
              <a:alpha val="75000"/>
            </a:schemeClr>
          </a:solidFill>
          <a:ln>
            <a:noFill/>
          </a:ln>
          <a:effectLst/>
        </c:spPr>
      </c:pivotFmt>
      <c:pivotFmt>
        <c:idx val="17"/>
        <c:spPr>
          <a:solidFill>
            <a:schemeClr val="bg1">
              <a:lumMod val="50000"/>
              <a:alpha val="80000"/>
            </a:schemeClr>
          </a:solidFill>
          <a:ln>
            <a:noFill/>
          </a:ln>
          <a:effectLst/>
        </c:spPr>
      </c:pivotFmt>
      <c:pivotFmt>
        <c:idx val="18"/>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lumMod val="85000"/>
              <a:lumOff val="1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bg2">
              <a:lumMod val="10000"/>
            </a:schemeClr>
          </a:solidFill>
          <a:ln>
            <a:noFill/>
          </a:ln>
          <a:effectLst/>
        </c:spPr>
      </c:pivotFmt>
      <c:pivotFmt>
        <c:idx val="2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2">
              <a:lumMod val="10000"/>
            </a:schemeClr>
          </a:solidFill>
          <a:ln>
            <a:noFill/>
          </a:ln>
          <a:effectLst/>
        </c:spPr>
      </c:pivotFmt>
      <c:pivotFmt>
        <c:idx val="23"/>
        <c:spPr>
          <a:solidFill>
            <a:schemeClr val="tx1">
              <a:lumMod val="65000"/>
              <a:lumOff val="35000"/>
            </a:schemeClr>
          </a:solidFill>
          <a:ln>
            <a:noFill/>
          </a:ln>
          <a:effectLst/>
        </c:spPr>
      </c:pivotFmt>
      <c:pivotFmt>
        <c:idx val="24"/>
        <c:spPr>
          <a:solidFill>
            <a:schemeClr val="bg2">
              <a:lumMod val="50000"/>
              <a:alpha val="75000"/>
            </a:schemeClr>
          </a:solidFill>
          <a:ln>
            <a:noFill/>
          </a:ln>
          <a:effectLst/>
        </c:spPr>
      </c:pivotFmt>
      <c:pivotFmt>
        <c:idx val="25"/>
        <c:spPr>
          <a:solidFill>
            <a:schemeClr val="bg1">
              <a:lumMod val="50000"/>
              <a:alpha val="80000"/>
            </a:schemeClr>
          </a:solidFill>
          <a:ln>
            <a:noFill/>
          </a:ln>
          <a:effectLst/>
        </c:spPr>
      </c:pivotFmt>
      <c:pivotFmt>
        <c:idx val="26"/>
        <c:spPr>
          <a:solidFill>
            <a:schemeClr val="tx1">
              <a:lumMod val="85000"/>
              <a:lumOff val="1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C000"/>
          </a:solidFill>
          <a:ln>
            <a:noFill/>
          </a:ln>
          <a:effectLst/>
        </c:spPr>
      </c:pivotFmt>
      <c:pivotFmt>
        <c:idx val="30"/>
        <c:spPr>
          <a:solidFill>
            <a:schemeClr val="tx1">
              <a:lumMod val="65000"/>
              <a:lumOff val="35000"/>
            </a:schemeClr>
          </a:solidFill>
          <a:ln>
            <a:noFill/>
          </a:ln>
          <a:effectLst/>
        </c:spPr>
      </c:pivotFmt>
      <c:pivotFmt>
        <c:idx val="31"/>
        <c:spPr>
          <a:solidFill>
            <a:schemeClr val="bg2">
              <a:lumMod val="50000"/>
              <a:alpha val="75000"/>
            </a:schemeClr>
          </a:solidFill>
          <a:ln>
            <a:noFill/>
          </a:ln>
          <a:effectLst/>
        </c:spPr>
      </c:pivotFmt>
      <c:pivotFmt>
        <c:idx val="32"/>
        <c:spPr>
          <a:solidFill>
            <a:schemeClr val="bg1">
              <a:lumMod val="50000"/>
              <a:alpha val="80000"/>
            </a:schemeClr>
          </a:solidFill>
          <a:ln>
            <a:noFill/>
          </a:ln>
          <a:effectLst/>
        </c:spPr>
      </c:pivotFmt>
      <c:pivotFmt>
        <c:idx val="33"/>
        <c:spPr>
          <a:solidFill>
            <a:schemeClr val="tx1">
              <a:lumMod val="85000"/>
              <a:lumOff val="15000"/>
            </a:schemeClr>
          </a:solidFill>
          <a:ln>
            <a:noFill/>
          </a:ln>
          <a:effectLst/>
        </c:spPr>
      </c:pivotFmt>
      <c:pivotFmt>
        <c:idx val="34"/>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bg1">
                <a:lumMod val="95000"/>
              </a:schemeClr>
            </a:solidFill>
            <a:round/>
          </a:ln>
          <a:effectLst/>
        </c:spPr>
        <c:marker>
          <c:symbol val="none"/>
        </c:marker>
      </c:pivotFmt>
    </c:pivotFmts>
    <c:plotArea>
      <c:layout/>
      <c:barChart>
        <c:barDir val="col"/>
        <c:grouping val="clustered"/>
        <c:varyColors val="0"/>
        <c:ser>
          <c:idx val="1"/>
          <c:order val="1"/>
          <c:tx>
            <c:strRef>
              <c:f>' Pivot Table &amp; Charts'!$C$39:$C$41</c:f>
              <c:strCache>
                <c:ptCount val="1"/>
                <c:pt idx="0">
                  <c:v>Yes - Sum of Total Revenue</c:v>
                </c:pt>
              </c:strCache>
            </c:strRef>
          </c:tx>
          <c:spPr>
            <a:solidFill>
              <a:schemeClr val="tx1">
                <a:lumMod val="85000"/>
                <a:lumOff val="15000"/>
              </a:schemeClr>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BEFC-4C5F-B5EF-E5A5CDA9822F}"/>
              </c:ext>
            </c:extLst>
          </c:dPt>
          <c:dPt>
            <c:idx val="1"/>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3-BEFC-4C5F-B5EF-E5A5CDA9822F}"/>
              </c:ext>
            </c:extLst>
          </c:dPt>
          <c:dPt>
            <c:idx val="2"/>
            <c:invertIfNegative val="0"/>
            <c:bubble3D val="0"/>
            <c:spPr>
              <a:solidFill>
                <a:schemeClr val="bg2">
                  <a:lumMod val="50000"/>
                  <a:alpha val="75000"/>
                </a:schemeClr>
              </a:solidFill>
              <a:ln>
                <a:noFill/>
              </a:ln>
              <a:effectLst/>
            </c:spPr>
            <c:extLst>
              <c:ext xmlns:c16="http://schemas.microsoft.com/office/drawing/2014/chart" uri="{C3380CC4-5D6E-409C-BE32-E72D297353CC}">
                <c16:uniqueId val="{00000005-BEFC-4C5F-B5EF-E5A5CDA9822F}"/>
              </c:ext>
            </c:extLst>
          </c:dPt>
          <c:dPt>
            <c:idx val="3"/>
            <c:invertIfNegative val="0"/>
            <c:bubble3D val="0"/>
            <c:spPr>
              <a:solidFill>
                <a:schemeClr val="bg1">
                  <a:lumMod val="50000"/>
                  <a:alpha val="80000"/>
                </a:schemeClr>
              </a:solidFill>
              <a:ln>
                <a:noFill/>
              </a:ln>
              <a:effectLst/>
            </c:spPr>
            <c:extLst>
              <c:ext xmlns:c16="http://schemas.microsoft.com/office/drawing/2014/chart" uri="{C3380CC4-5D6E-409C-BE32-E72D297353CC}">
                <c16:uniqueId val="{00000007-BEFC-4C5F-B5EF-E5A5CDA9822F}"/>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Charts'!$A$42:$A$46</c:f>
              <c:strCache>
                <c:ptCount val="5"/>
                <c:pt idx="0">
                  <c:v>30-44</c:v>
                </c:pt>
                <c:pt idx="1">
                  <c:v>18-29</c:v>
                </c:pt>
                <c:pt idx="2">
                  <c:v>60+</c:v>
                </c:pt>
                <c:pt idx="3">
                  <c:v>45-59</c:v>
                </c:pt>
                <c:pt idx="4">
                  <c:v>&lt;18</c:v>
                </c:pt>
              </c:strCache>
            </c:strRef>
          </c:cat>
          <c:val>
            <c:numRef>
              <c:f>' Pivot Table &amp; Charts'!$C$42:$C$46</c:f>
              <c:numCache>
                <c:formatCode>[&gt;=1000000]"₦"#,##0,,"M";[&gt;=1000]"₦"#,##0,"K";"₦"#,##0</c:formatCode>
                <c:ptCount val="5"/>
                <c:pt idx="0">
                  <c:v>19108900</c:v>
                </c:pt>
                <c:pt idx="1">
                  <c:v>15410350</c:v>
                </c:pt>
                <c:pt idx="2">
                  <c:v>12650100</c:v>
                </c:pt>
                <c:pt idx="3">
                  <c:v>10731350</c:v>
                </c:pt>
                <c:pt idx="4">
                  <c:v>99500</c:v>
                </c:pt>
              </c:numCache>
            </c:numRef>
          </c:val>
          <c:extLst>
            <c:ext xmlns:c16="http://schemas.microsoft.com/office/drawing/2014/chart" uri="{C3380CC4-5D6E-409C-BE32-E72D297353CC}">
              <c16:uniqueId val="{00000009-BEFC-4C5F-B5EF-E5A5CDA9822F}"/>
            </c:ext>
          </c:extLst>
        </c:ser>
        <c:dLbls>
          <c:showLegendKey val="0"/>
          <c:showVal val="1"/>
          <c:showCatName val="0"/>
          <c:showSerName val="0"/>
          <c:showPercent val="0"/>
          <c:showBubbleSize val="0"/>
        </c:dLbls>
        <c:gapWidth val="60"/>
        <c:axId val="475896288"/>
        <c:axId val="475884768"/>
      </c:barChart>
      <c:lineChart>
        <c:grouping val="standard"/>
        <c:varyColors val="0"/>
        <c:ser>
          <c:idx val="0"/>
          <c:order val="0"/>
          <c:tx>
            <c:strRef>
              <c:f>' Pivot Table &amp; Charts'!$B$39:$B$41</c:f>
              <c:strCache>
                <c:ptCount val="1"/>
                <c:pt idx="0">
                  <c:v>Yes - Count of Customer ID</c:v>
                </c:pt>
              </c:strCache>
            </c:strRef>
          </c:tx>
          <c:spPr>
            <a:ln w="28575" cap="rnd">
              <a:solidFill>
                <a:schemeClr val="bg1">
                  <a:lumMod val="9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Charts'!$A$42:$A$46</c:f>
              <c:strCache>
                <c:ptCount val="5"/>
                <c:pt idx="0">
                  <c:v>30-44</c:v>
                </c:pt>
                <c:pt idx="1">
                  <c:v>18-29</c:v>
                </c:pt>
                <c:pt idx="2">
                  <c:v>60+</c:v>
                </c:pt>
                <c:pt idx="3">
                  <c:v>45-59</c:v>
                </c:pt>
                <c:pt idx="4">
                  <c:v>&lt;18</c:v>
                </c:pt>
              </c:strCache>
            </c:strRef>
          </c:cat>
          <c:val>
            <c:numRef>
              <c:f>' Pivot Table &amp; Charts'!$B$42:$B$46</c:f>
              <c:numCache>
                <c:formatCode>0.00%</c:formatCode>
                <c:ptCount val="5"/>
                <c:pt idx="0">
                  <c:v>0.28521126760563381</c:v>
                </c:pt>
                <c:pt idx="1">
                  <c:v>0.19718309859154928</c:v>
                </c:pt>
                <c:pt idx="2">
                  <c:v>0.28169014084507044</c:v>
                </c:pt>
                <c:pt idx="3">
                  <c:v>0.22183098591549297</c:v>
                </c:pt>
                <c:pt idx="4">
                  <c:v>1.4084507042253521E-2</c:v>
                </c:pt>
              </c:numCache>
            </c:numRef>
          </c:val>
          <c:smooth val="0"/>
          <c:extLst>
            <c:ext xmlns:c16="http://schemas.microsoft.com/office/drawing/2014/chart" uri="{C3380CC4-5D6E-409C-BE32-E72D297353CC}">
              <c16:uniqueId val="{0000000A-BEFC-4C5F-B5EF-E5A5CDA9822F}"/>
            </c:ext>
          </c:extLst>
        </c:ser>
        <c:dLbls>
          <c:showLegendKey val="0"/>
          <c:showVal val="1"/>
          <c:showCatName val="0"/>
          <c:showSerName val="0"/>
          <c:showPercent val="0"/>
          <c:showBubbleSize val="0"/>
        </c:dLbls>
        <c:marker val="1"/>
        <c:smooth val="0"/>
        <c:axId val="475887168"/>
        <c:axId val="475886688"/>
      </c:lineChart>
      <c:catAx>
        <c:axId val="475896288"/>
        <c:scaling>
          <c:orientation val="minMax"/>
        </c:scaling>
        <c:delete val="0"/>
        <c:axPos val="b"/>
        <c:numFmt formatCode="General" sourceLinked="1"/>
        <c:majorTickMark val="out"/>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475884768"/>
        <c:crosses val="autoZero"/>
        <c:auto val="1"/>
        <c:lblAlgn val="ctr"/>
        <c:lblOffset val="100"/>
        <c:noMultiLvlLbl val="0"/>
      </c:catAx>
      <c:valAx>
        <c:axId val="475884768"/>
        <c:scaling>
          <c:orientation val="minMax"/>
          <c:max val="20000000"/>
        </c:scaling>
        <c:delete val="0"/>
        <c:axPos val="l"/>
        <c:numFmt formatCode="[&gt;=1000000]&quot;₦&quot;#,##0,,&quot;M&quot;;[&gt;=1000]&quot;₦&quot;#,##0,&quot;K&quot;;&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lumMod val="95000"/>
                  </a:schemeClr>
                </a:solidFill>
                <a:latin typeface="+mn-lt"/>
                <a:ea typeface="+mn-ea"/>
                <a:cs typeface="+mn-cs"/>
              </a:defRPr>
            </a:pPr>
            <a:endParaRPr lang="en-US"/>
          </a:p>
        </c:txPr>
        <c:crossAx val="475896288"/>
        <c:crosses val="autoZero"/>
        <c:crossBetween val="between"/>
        <c:majorUnit val="5000000"/>
      </c:valAx>
      <c:valAx>
        <c:axId val="475886688"/>
        <c:scaling>
          <c:orientation val="minMax"/>
        </c:scaling>
        <c:delete val="0"/>
        <c:axPos val="r"/>
        <c:numFmt formatCode="0%" sourceLinked="0"/>
        <c:majorTickMark val="out"/>
        <c:minorTickMark val="none"/>
        <c:tickLblPos val="none"/>
        <c:spPr>
          <a:noFill/>
          <a:ln>
            <a:noFill/>
          </a:ln>
          <a:effectLst/>
        </c:spPr>
        <c:txPr>
          <a:bodyPr rot="-60000000" spcFirstLastPara="1" vertOverflow="ellipsis" vert="horz" wrap="square" anchor="ctr" anchorCtr="1"/>
          <a:lstStyle/>
          <a:p>
            <a:pPr>
              <a:defRPr sz="1100" b="1" i="0" u="none" strike="noStrike" kern="1200" baseline="0">
                <a:solidFill>
                  <a:schemeClr val="bg1">
                    <a:lumMod val="95000"/>
                  </a:schemeClr>
                </a:solidFill>
                <a:latin typeface="+mn-lt"/>
                <a:ea typeface="+mn-ea"/>
                <a:cs typeface="+mn-cs"/>
              </a:defRPr>
            </a:pPr>
            <a:endParaRPr lang="en-US"/>
          </a:p>
        </c:txPr>
        <c:crossAx val="475887168"/>
        <c:crosses val="max"/>
        <c:crossBetween val="between"/>
      </c:valAx>
      <c:catAx>
        <c:axId val="475887168"/>
        <c:scaling>
          <c:orientation val="minMax"/>
        </c:scaling>
        <c:delete val="1"/>
        <c:axPos val="t"/>
        <c:numFmt formatCode="General" sourceLinked="1"/>
        <c:majorTickMark val="out"/>
        <c:minorTickMark val="none"/>
        <c:tickLblPos val="nextTo"/>
        <c:crossAx val="475886688"/>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Charts!Subsription Plan Top 5</c:name>
    <c:fmtId val="6"/>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b="0">
                <a:solidFill>
                  <a:schemeClr val="bg1"/>
                </a:solidFill>
              </a:rPr>
              <a:t>Top 5</a:t>
            </a:r>
            <a:r>
              <a:rPr lang="en-US" sz="1600" b="0" baseline="0">
                <a:solidFill>
                  <a:schemeClr val="bg1"/>
                </a:solidFill>
              </a:rPr>
              <a:t> Subscription Plan vs Revenue Lost</a:t>
            </a:r>
            <a:endParaRPr lang="en-US" sz="1600" b="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chemeClr val="tx1">
              <a:lumMod val="65000"/>
              <a:lumOff val="35000"/>
            </a:schemeClr>
          </a:solidFill>
          <a:ln>
            <a:noFill/>
          </a:ln>
          <a:effectLst/>
        </c:spPr>
      </c:pivotFmt>
      <c:pivotFmt>
        <c:idx val="5"/>
        <c:spPr>
          <a:solidFill>
            <a:schemeClr val="tx1">
              <a:lumMod val="65000"/>
              <a:lumOff val="35000"/>
            </a:schemeClr>
          </a:solidFill>
          <a:ln>
            <a:noFill/>
          </a:ln>
          <a:effectLst/>
        </c:spPr>
      </c:pivotFmt>
      <c:pivotFmt>
        <c:idx val="6"/>
        <c:spPr>
          <a:solidFill>
            <a:schemeClr val="tx1">
              <a:lumMod val="50000"/>
              <a:lumOff val="50000"/>
            </a:schemeClr>
          </a:solidFill>
          <a:ln>
            <a:noFill/>
          </a:ln>
          <a:effectLst/>
        </c:spPr>
      </c:pivotFmt>
      <c:pivotFmt>
        <c:idx val="7"/>
        <c:spPr>
          <a:solidFill>
            <a:schemeClr val="tx1">
              <a:lumMod val="50000"/>
              <a:lumOff val="50000"/>
            </a:schemeClr>
          </a:solidFill>
          <a:ln>
            <a:noFill/>
          </a:ln>
          <a:effectLst/>
        </c:spPr>
      </c:pivotFmt>
    </c:pivotFmts>
    <c:plotArea>
      <c:layout>
        <c:manualLayout>
          <c:layoutTarget val="inner"/>
          <c:xMode val="edge"/>
          <c:yMode val="edge"/>
          <c:x val="0.32593620644558852"/>
          <c:y val="0.15272284952467163"/>
          <c:w val="0.67406379355441148"/>
          <c:h val="0.80478443081351814"/>
        </c:manualLayout>
      </c:layout>
      <c:barChart>
        <c:barDir val="bar"/>
        <c:grouping val="clustered"/>
        <c:varyColors val="0"/>
        <c:ser>
          <c:idx val="0"/>
          <c:order val="0"/>
          <c:tx>
            <c:strRef>
              <c:f>' Pivot Table &amp; Charts'!$B$96</c:f>
              <c:strCache>
                <c:ptCount val="1"/>
                <c:pt idx="0">
                  <c:v>Total</c:v>
                </c:pt>
              </c:strCache>
            </c:strRef>
          </c:tx>
          <c:spPr>
            <a:solidFill>
              <a:schemeClr val="tx1">
                <a:lumMod val="65000"/>
                <a:lumOff val="35000"/>
              </a:schemeClr>
            </a:solidFill>
            <a:ln>
              <a:noFill/>
            </a:ln>
            <a:effectLst/>
          </c:spPr>
          <c:invertIfNegative val="0"/>
          <c:dPt>
            <c:idx val="0"/>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7-0752-47B5-A9F3-1DF8472EAE79}"/>
              </c:ext>
            </c:extLst>
          </c:dPt>
          <c:dPt>
            <c:idx val="1"/>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6-0752-47B5-A9F3-1DF8472EAE79}"/>
              </c:ext>
            </c:extLst>
          </c:dPt>
          <c:dPt>
            <c:idx val="4"/>
            <c:invertIfNegative val="0"/>
            <c:bubble3D val="0"/>
            <c:spPr>
              <a:solidFill>
                <a:srgbClr val="FFC000"/>
              </a:solidFill>
              <a:ln>
                <a:noFill/>
              </a:ln>
              <a:effectLst/>
            </c:spPr>
            <c:extLst>
              <c:ext xmlns:c16="http://schemas.microsoft.com/office/drawing/2014/chart" uri="{C3380CC4-5D6E-409C-BE32-E72D297353CC}">
                <c16:uniqueId val="{00000008-0752-47B5-A9F3-1DF8472EAE79}"/>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Charts'!$A$97:$A$101</c:f>
              <c:strCache>
                <c:ptCount val="5"/>
                <c:pt idx="0">
                  <c:v>200GB Monthly Broadband Plan</c:v>
                </c:pt>
                <c:pt idx="1">
                  <c:v>450GB 3-Month Broadband Plan</c:v>
                </c:pt>
                <c:pt idx="2">
                  <c:v>300GB FUP Monthly Unlimited</c:v>
                </c:pt>
                <c:pt idx="3">
                  <c:v>165GB Monthly Plan</c:v>
                </c:pt>
                <c:pt idx="4">
                  <c:v>1.5TB Yearly Broadband Plan</c:v>
                </c:pt>
              </c:strCache>
            </c:strRef>
          </c:cat>
          <c:val>
            <c:numRef>
              <c:f>' Pivot Table &amp; Charts'!$B$97:$B$101</c:f>
              <c:numCache>
                <c:formatCode>[&gt;=1000000]"₦"#,##0,,"M";[&gt;=1000]"₦"#,##0,"K";"₦"#,##0</c:formatCode>
                <c:ptCount val="5"/>
                <c:pt idx="0">
                  <c:v>4100000</c:v>
                </c:pt>
                <c:pt idx="1">
                  <c:v>4425000</c:v>
                </c:pt>
                <c:pt idx="2">
                  <c:v>6900000</c:v>
                </c:pt>
                <c:pt idx="3">
                  <c:v>7595000</c:v>
                </c:pt>
                <c:pt idx="4">
                  <c:v>15300000</c:v>
                </c:pt>
              </c:numCache>
            </c:numRef>
          </c:val>
          <c:extLst>
            <c:ext xmlns:c16="http://schemas.microsoft.com/office/drawing/2014/chart" uri="{C3380CC4-5D6E-409C-BE32-E72D297353CC}">
              <c16:uniqueId val="{00000000-0752-47B5-A9F3-1DF8472EAE79}"/>
            </c:ext>
          </c:extLst>
        </c:ser>
        <c:dLbls>
          <c:dLblPos val="outEnd"/>
          <c:showLegendKey val="0"/>
          <c:showVal val="1"/>
          <c:showCatName val="0"/>
          <c:showSerName val="0"/>
          <c:showPercent val="0"/>
          <c:showBubbleSize val="0"/>
        </c:dLbls>
        <c:gapWidth val="32"/>
        <c:axId val="1029201728"/>
        <c:axId val="1029207680"/>
      </c:barChart>
      <c:catAx>
        <c:axId val="102920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029207680"/>
        <c:crosses val="autoZero"/>
        <c:auto val="1"/>
        <c:lblAlgn val="ctr"/>
        <c:lblOffset val="100"/>
        <c:noMultiLvlLbl val="0"/>
      </c:catAx>
      <c:valAx>
        <c:axId val="1029207680"/>
        <c:scaling>
          <c:orientation val="minMax"/>
        </c:scaling>
        <c:delete val="1"/>
        <c:axPos val="b"/>
        <c:numFmt formatCode="[&gt;=1000000]&quot;₦&quot;#,##0,,&quot;M&quot;;[&gt;=1000]&quot;₦&quot;#,##0,&quot;K&quot;;&quot;₦&quot;#,##0" sourceLinked="1"/>
        <c:majorTickMark val="none"/>
        <c:minorTickMark val="none"/>
        <c:tickLblPos val="nextTo"/>
        <c:crossAx val="1029201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Charts!Device Type Doughnut</c:name>
    <c:fmtId val="9"/>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solidFill>
                  <a:schemeClr val="bg1"/>
                </a:solidFill>
              </a:rPr>
              <a:t>By Device</a:t>
            </a:r>
          </a:p>
        </c:rich>
      </c:tx>
      <c:layout>
        <c:manualLayout>
          <c:xMode val="edge"/>
          <c:yMode val="edge"/>
          <c:x val="0.5722405256855152"/>
          <c:y val="5.0549476793013822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dLbl>
          <c:idx val="0"/>
          <c:layout>
            <c:manualLayout>
              <c:x val="4.999999999999989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w="19050">
            <a:solidFill>
              <a:schemeClr val="lt1"/>
            </a:solidFill>
          </a:ln>
          <a:effectLst/>
        </c:spPr>
      </c:pivotFmt>
      <c:pivotFmt>
        <c:idx val="3"/>
        <c:spPr>
          <a:solidFill>
            <a:schemeClr val="bg1">
              <a:lumMod val="8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bg1">
              <a:lumMod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pivotFmt>
      <c:pivotFmt>
        <c:idx val="7"/>
        <c:spPr>
          <a:solidFill>
            <a:schemeClr val="tx1">
              <a:lumMod val="65000"/>
              <a:lumOff val="35000"/>
            </a:schemeClr>
          </a:solidFill>
          <a:ln w="19050">
            <a:solidFill>
              <a:schemeClr val="lt1"/>
            </a:solidFill>
          </a:ln>
          <a:effectLst/>
        </c:spPr>
      </c:pivotFmt>
      <c:pivotFmt>
        <c:idx val="8"/>
        <c:spPr>
          <a:solidFill>
            <a:schemeClr val="bg1">
              <a:lumMod val="85000"/>
            </a:schemeClr>
          </a:solidFill>
          <a:ln w="19050">
            <a:solidFill>
              <a:schemeClr val="lt1"/>
            </a:solidFill>
          </a:ln>
          <a:effectLst/>
        </c:spPr>
      </c:pivotFmt>
      <c:pivotFmt>
        <c:idx val="9"/>
        <c:spPr>
          <a:solidFill>
            <a:schemeClr val="bg1">
              <a:lumMod val="65000"/>
            </a:schemeClr>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w="19050">
            <a:noFill/>
          </a:ln>
          <a:effectLst/>
        </c:spPr>
        <c:dLbl>
          <c:idx val="0"/>
          <c:layout>
            <c:manualLayout>
              <c:x val="6.4385558357767866E-2"/>
              <c:y val="-0.19551825853702981"/>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949408211298488"/>
                  <c:h val="0.13327466419638723"/>
                </c:manualLayout>
              </c15:layout>
            </c:ext>
          </c:extLst>
        </c:dLbl>
      </c:pivotFmt>
      <c:pivotFmt>
        <c:idx val="12"/>
        <c:spPr>
          <a:solidFill>
            <a:schemeClr val="tx1">
              <a:lumMod val="65000"/>
              <a:lumOff val="35000"/>
            </a:schemeClr>
          </a:solidFill>
          <a:ln w="19050">
            <a:noFill/>
          </a:ln>
          <a:effectLst/>
        </c:spPr>
        <c:dLbl>
          <c:idx val="0"/>
          <c:layout>
            <c:manualLayout>
              <c:x val="0.16984972097861628"/>
              <c:y val="4.6335958005249346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933392426336418"/>
                  <c:h val="0.10974525243168133"/>
                </c:manualLayout>
              </c15:layout>
            </c:ext>
          </c:extLst>
        </c:dLbl>
      </c:pivotFmt>
      <c:pivotFmt>
        <c:idx val="13"/>
        <c:spPr>
          <a:solidFill>
            <a:schemeClr val="bg1">
              <a:lumMod val="85000"/>
            </a:schemeClr>
          </a:solidFill>
          <a:ln w="19050">
            <a:noFill/>
          </a:ln>
          <a:effectLst/>
        </c:spPr>
        <c:dLbl>
          <c:idx val="0"/>
          <c:layout>
            <c:manualLayout>
              <c:x val="-4.9014987947316839E-2"/>
              <c:y val="0.2593836743095891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65000"/>
            </a:schemeClr>
          </a:solidFill>
          <a:ln w="19050">
            <a:noFill/>
          </a:ln>
          <a:effectLst/>
        </c:spPr>
        <c:dLbl>
          <c:idx val="0"/>
          <c:layout>
            <c:manualLayout>
              <c:x val="-0.1073838150002748"/>
              <c:y val="-0.1372549019607843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w="19050">
            <a:noFill/>
          </a:ln>
          <a:effectLst/>
        </c:spPr>
        <c:dLbl>
          <c:idx val="0"/>
          <c:layout>
            <c:manualLayout>
              <c:x val="-8.5508219561767018E-2"/>
              <c:y val="-0.1000000374953271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w="19050">
            <a:noFill/>
          </a:ln>
          <a:effectLst/>
        </c:spPr>
        <c:dLbl>
          <c:idx val="0"/>
          <c:layout>
            <c:manualLayout>
              <c:x val="9.1208767532551471E-2"/>
              <c:y val="-7.142859821094800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1">
              <a:lumMod val="85000"/>
            </a:schemeClr>
          </a:solidFill>
          <a:ln w="19050">
            <a:noFill/>
          </a:ln>
          <a:effectLst/>
        </c:spPr>
        <c:dLbl>
          <c:idx val="0"/>
          <c:layout>
            <c:manualLayout>
              <c:x val="-7.1256849634805844E-2"/>
              <c:y val="-0.1333333833271028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1">
              <a:lumMod val="50000"/>
            </a:schemeClr>
          </a:solidFill>
          <a:ln w="19050">
            <a:noFill/>
          </a:ln>
          <a:effectLst/>
        </c:spPr>
        <c:dLbl>
          <c:idx val="0"/>
          <c:layout>
            <c:manualLayout>
              <c:x val="-0.13396287731343498"/>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2518491537751E-2"/>
          <c:y val="0.25580577427821521"/>
          <c:w val="0.61911668255415486"/>
          <c:h val="0.7441941898127884"/>
        </c:manualLayout>
      </c:layout>
      <c:doughnutChart>
        <c:varyColors val="1"/>
        <c:ser>
          <c:idx val="0"/>
          <c:order val="0"/>
          <c:tx>
            <c:strRef>
              <c:f>' Pivot Table &amp; Charts'!$E$84:$E$85</c:f>
              <c:strCache>
                <c:ptCount val="1"/>
                <c:pt idx="0">
                  <c:v>Yes</c:v>
                </c:pt>
              </c:strCache>
            </c:strRef>
          </c:tx>
          <c:spPr>
            <a:ln>
              <a:noFill/>
            </a:ln>
          </c:spPr>
          <c:dPt>
            <c:idx val="0"/>
            <c:bubble3D val="0"/>
            <c:spPr>
              <a:solidFill>
                <a:schemeClr val="tx1">
                  <a:lumMod val="65000"/>
                  <a:lumOff val="35000"/>
                </a:schemeClr>
              </a:solidFill>
              <a:ln w="19050">
                <a:noFill/>
              </a:ln>
              <a:effectLst/>
            </c:spPr>
            <c:extLst>
              <c:ext xmlns:c16="http://schemas.microsoft.com/office/drawing/2014/chart" uri="{C3380CC4-5D6E-409C-BE32-E72D297353CC}">
                <c16:uniqueId val="{00000001-0539-44DB-B8E7-E17AD7A4D807}"/>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0539-44DB-B8E7-E17AD7A4D807}"/>
              </c:ext>
            </c:extLst>
          </c:dPt>
          <c:dPt>
            <c:idx val="2"/>
            <c:bubble3D val="0"/>
            <c:spPr>
              <a:solidFill>
                <a:schemeClr val="bg1">
                  <a:lumMod val="50000"/>
                </a:schemeClr>
              </a:solidFill>
              <a:ln w="19050">
                <a:noFill/>
              </a:ln>
              <a:effectLst/>
            </c:spPr>
            <c:extLst>
              <c:ext xmlns:c16="http://schemas.microsoft.com/office/drawing/2014/chart" uri="{C3380CC4-5D6E-409C-BE32-E72D297353CC}">
                <c16:uniqueId val="{00000005-0539-44DB-B8E7-E17AD7A4D807}"/>
              </c:ext>
            </c:extLst>
          </c:dPt>
          <c:dPt>
            <c:idx val="3"/>
            <c:bubble3D val="0"/>
            <c:spPr>
              <a:solidFill>
                <a:srgbClr val="FFC000"/>
              </a:solidFill>
              <a:ln w="19050">
                <a:noFill/>
              </a:ln>
              <a:effectLst/>
            </c:spPr>
            <c:extLst>
              <c:ext xmlns:c16="http://schemas.microsoft.com/office/drawing/2014/chart" uri="{C3380CC4-5D6E-409C-BE32-E72D297353CC}">
                <c16:uniqueId val="{00000007-0539-44DB-B8E7-E17AD7A4D807}"/>
              </c:ext>
            </c:extLst>
          </c:dPt>
          <c:dLbls>
            <c:dLbl>
              <c:idx val="0"/>
              <c:layout>
                <c:manualLayout>
                  <c:x val="9.1208767532551471E-2"/>
                  <c:y val="-7.1428598210948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39-44DB-B8E7-E17AD7A4D807}"/>
                </c:ext>
              </c:extLst>
            </c:dLbl>
            <c:dLbl>
              <c:idx val="1"/>
              <c:layout>
                <c:manualLayout>
                  <c:x val="-7.1256849634805844E-2"/>
                  <c:y val="-0.13333338332710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39-44DB-B8E7-E17AD7A4D807}"/>
                </c:ext>
              </c:extLst>
            </c:dLbl>
            <c:dLbl>
              <c:idx val="2"/>
              <c:layout>
                <c:manualLayout>
                  <c:x val="-0.1339628773134349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39-44DB-B8E7-E17AD7A4D807}"/>
                </c:ext>
              </c:extLst>
            </c:dLbl>
            <c:dLbl>
              <c:idx val="3"/>
              <c:layout>
                <c:manualLayout>
                  <c:x val="-8.5508219561767018E-2"/>
                  <c:y val="-0.100000037495327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39-44DB-B8E7-E17AD7A4D80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 &amp; Charts'!$D$86:$D$89</c:f>
              <c:strCache>
                <c:ptCount val="4"/>
                <c:pt idx="0">
                  <c:v>4G Router</c:v>
                </c:pt>
                <c:pt idx="1">
                  <c:v>5G Broadband Router</c:v>
                </c:pt>
                <c:pt idx="2">
                  <c:v>Broadband MiFi</c:v>
                </c:pt>
                <c:pt idx="3">
                  <c:v>Mobile SIM Card</c:v>
                </c:pt>
              </c:strCache>
            </c:strRef>
          </c:cat>
          <c:val>
            <c:numRef>
              <c:f>' Pivot Table &amp; Charts'!$E$86:$E$89</c:f>
              <c:numCache>
                <c:formatCode>0.00%</c:formatCode>
                <c:ptCount val="4"/>
                <c:pt idx="0">
                  <c:v>0.25342465753424659</c:v>
                </c:pt>
                <c:pt idx="1">
                  <c:v>0.18493150684931506</c:v>
                </c:pt>
                <c:pt idx="2">
                  <c:v>0.17123287671232876</c:v>
                </c:pt>
                <c:pt idx="3">
                  <c:v>0.3904109589041096</c:v>
                </c:pt>
              </c:numCache>
            </c:numRef>
          </c:val>
          <c:extLst>
            <c:ext xmlns:c16="http://schemas.microsoft.com/office/drawing/2014/chart" uri="{C3380CC4-5D6E-409C-BE32-E72D297353CC}">
              <c16:uniqueId val="{00000008-0539-44DB-B8E7-E17AD7A4D807}"/>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67658015962290419"/>
          <c:y val="0.56095877721167198"/>
          <c:w val="0.32341961719070833"/>
          <c:h val="0.4352978230662343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Charts!Gender Doughnut</c:name>
    <c:fmtId val="11"/>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solidFill>
                  <a:schemeClr val="bg1"/>
                </a:solidFill>
              </a:rPr>
              <a:t>By Gender</a:t>
            </a:r>
          </a:p>
        </c:rich>
      </c:tx>
      <c:layout>
        <c:manualLayout>
          <c:xMode val="edge"/>
          <c:yMode val="edge"/>
          <c:x val="0.12603232769748157"/>
          <c:y val="2.894114321002744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noFill/>
          </a:ln>
          <a:effectLst/>
        </c:spPr>
        <c:dLbl>
          <c:idx val="0"/>
          <c:layout>
            <c:manualLayout>
              <c:x val="-8.0555555555555575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w="19050">
            <a:noFill/>
          </a:ln>
          <a:effectLst/>
        </c:spPr>
        <c:dLbl>
          <c:idx val="0"/>
          <c:layout>
            <c:manualLayout>
              <c:x val="5.8333333333333334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w="19050">
            <a:noFill/>
          </a:ln>
          <a:effectLst/>
        </c:spPr>
        <c:dLbl>
          <c:idx val="0"/>
          <c:layout>
            <c:manualLayout>
              <c:x val="5.8333333333333334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19050">
            <a:noFill/>
          </a:ln>
          <a:effectLst/>
        </c:spPr>
        <c:dLbl>
          <c:idx val="0"/>
          <c:layout>
            <c:manualLayout>
              <c:x val="-8.0555555555555575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lumMod val="65000"/>
              <a:lumOff val="35000"/>
            </a:schemeClr>
          </a:solidFill>
          <a:ln w="19050">
            <a:noFill/>
          </a:ln>
          <a:effectLst/>
        </c:spPr>
        <c:dLbl>
          <c:idx val="0"/>
          <c:layout>
            <c:manualLayout>
              <c:x val="5.8333333333333334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w="19050">
            <a:noFill/>
          </a:ln>
          <a:effectLst/>
        </c:spPr>
        <c:dLbl>
          <c:idx val="0"/>
          <c:layout>
            <c:manualLayout>
              <c:x val="0.13481552377107633"/>
              <c:y val="-5.295682097193622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w="19050">
            <a:noFill/>
          </a:ln>
          <a:effectLst/>
        </c:spPr>
        <c:dLbl>
          <c:idx val="0"/>
          <c:layout>
            <c:manualLayout>
              <c:x val="0.13773972664932035"/>
              <c:y val="-8.1705713437336356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50000"/>
              <a:lumOff val="50000"/>
            </a:schemeClr>
          </a:solidFill>
          <a:ln w="19050">
            <a:noFill/>
          </a:ln>
          <a:effectLst/>
        </c:spPr>
        <c:dLbl>
          <c:idx val="0"/>
          <c:layout>
            <c:manualLayout>
              <c:x val="0.14734947502020318"/>
              <c:y val="-4.902399438522620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53427863980548E-2"/>
          <c:y val="0.22739063600355813"/>
          <c:w val="0.67525381338019996"/>
          <c:h val="0.77260921357675805"/>
        </c:manualLayout>
      </c:layout>
      <c:doughnutChart>
        <c:varyColors val="1"/>
        <c:ser>
          <c:idx val="0"/>
          <c:order val="0"/>
          <c:tx>
            <c:strRef>
              <c:f>' Pivot Table &amp; Charts'!$E$79</c:f>
              <c:strCache>
                <c:ptCount val="1"/>
                <c:pt idx="0">
                  <c:v>Total</c:v>
                </c:pt>
              </c:strCache>
            </c:strRef>
          </c:tx>
          <c:spPr>
            <a:ln>
              <a:noFill/>
            </a:ln>
          </c:spPr>
          <c:dPt>
            <c:idx val="0"/>
            <c:bubble3D val="0"/>
            <c:spPr>
              <a:solidFill>
                <a:srgbClr val="FFC000"/>
              </a:solidFill>
              <a:ln w="19050">
                <a:noFill/>
              </a:ln>
              <a:effectLst/>
            </c:spPr>
            <c:extLst>
              <c:ext xmlns:c16="http://schemas.microsoft.com/office/drawing/2014/chart" uri="{C3380CC4-5D6E-409C-BE32-E72D297353CC}">
                <c16:uniqueId val="{00000007-CB56-463D-8C0A-AC475C8F7771}"/>
              </c:ext>
            </c:extLst>
          </c:dPt>
          <c:dPt>
            <c:idx val="1"/>
            <c:bubble3D val="0"/>
            <c:spPr>
              <a:solidFill>
                <a:schemeClr val="tx1">
                  <a:lumMod val="50000"/>
                  <a:lumOff val="50000"/>
                </a:schemeClr>
              </a:solidFill>
              <a:ln w="19050">
                <a:noFill/>
              </a:ln>
              <a:effectLst/>
            </c:spPr>
            <c:extLst>
              <c:ext xmlns:c16="http://schemas.microsoft.com/office/drawing/2014/chart" uri="{C3380CC4-5D6E-409C-BE32-E72D297353CC}">
                <c16:uniqueId val="{00000008-CB56-463D-8C0A-AC475C8F7771}"/>
              </c:ext>
            </c:extLst>
          </c:dPt>
          <c:dLbls>
            <c:dLbl>
              <c:idx val="0"/>
              <c:layout>
                <c:manualLayout>
                  <c:x val="0.13773972664932035"/>
                  <c:y val="-8.1705713437336356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B56-463D-8C0A-AC475C8F7771}"/>
                </c:ext>
              </c:extLst>
            </c:dLbl>
            <c:dLbl>
              <c:idx val="1"/>
              <c:layout>
                <c:manualLayout>
                  <c:x val="0.14734947502020318"/>
                  <c:y val="-4.902399438522620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B56-463D-8C0A-AC475C8F777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 &amp; Charts'!$D$80:$D$81</c:f>
              <c:strCache>
                <c:ptCount val="2"/>
                <c:pt idx="0">
                  <c:v>Female</c:v>
                </c:pt>
                <c:pt idx="1">
                  <c:v>Male</c:v>
                </c:pt>
              </c:strCache>
            </c:strRef>
          </c:cat>
          <c:val>
            <c:numRef>
              <c:f>' Pivot Table &amp; Charts'!$E$80:$E$81</c:f>
              <c:numCache>
                <c:formatCode>0.00%</c:formatCode>
                <c:ptCount val="2"/>
                <c:pt idx="0">
                  <c:v>0.5273972602739726</c:v>
                </c:pt>
                <c:pt idx="1">
                  <c:v>0.4726027397260274</c:v>
                </c:pt>
              </c:numCache>
            </c:numRef>
          </c:val>
          <c:extLst>
            <c:ext xmlns:c16="http://schemas.microsoft.com/office/drawing/2014/chart" uri="{C3380CC4-5D6E-409C-BE32-E72D297353CC}">
              <c16:uniqueId val="{00000005-CB56-463D-8C0A-AC475C8F7771}"/>
            </c:ext>
          </c:extLst>
        </c:ser>
        <c:dLbls>
          <c:showLegendKey val="0"/>
          <c:showVal val="0"/>
          <c:showCatName val="0"/>
          <c:showSerName val="0"/>
          <c:showPercent val="0"/>
          <c:showBubbleSize val="0"/>
          <c:showLeaderLines val="1"/>
        </c:dLbls>
        <c:firstSliceAng val="174"/>
        <c:holeSize val="65"/>
      </c:doughnutChart>
      <c:spPr>
        <a:noFill/>
        <a:ln>
          <a:noFill/>
        </a:ln>
        <a:effectLst/>
      </c:spPr>
    </c:plotArea>
    <c:legend>
      <c:legendPos val="r"/>
      <c:layout>
        <c:manualLayout>
          <c:xMode val="edge"/>
          <c:yMode val="edge"/>
          <c:x val="0.62544729678872757"/>
          <c:y val="0.71256015188724675"/>
          <c:w val="0.21906425278652192"/>
          <c:h val="0.2213690368837783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Charts!Reason for Churn</c:name>
    <c:fmtId val="2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0">
                <a:solidFill>
                  <a:schemeClr val="bg1"/>
                </a:solidFill>
              </a:rPr>
              <a:t>Pareto</a:t>
            </a:r>
            <a:r>
              <a:rPr lang="en-US" sz="1600" b="0" baseline="0">
                <a:solidFill>
                  <a:schemeClr val="bg1"/>
                </a:solidFill>
              </a:rPr>
              <a:t> Chart of Churn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lumMod val="95000"/>
              </a:schemeClr>
            </a:solidFill>
            <a:round/>
          </a:ln>
          <a:effectLst/>
        </c:spPr>
        <c:marker>
          <c:symbol val="none"/>
        </c:marker>
      </c:pivotFmt>
      <c:pivotFmt>
        <c:idx val="2"/>
        <c:spPr>
          <a:solidFill>
            <a:schemeClr val="tx1">
              <a:lumMod val="65000"/>
              <a:lumOff val="35000"/>
            </a:schemeClr>
          </a:solidFill>
          <a:ln>
            <a:noFill/>
          </a:ln>
          <a:effectLst/>
        </c:spPr>
      </c:pivotFmt>
      <c:pivotFmt>
        <c:idx val="3"/>
        <c:spPr>
          <a:solidFill>
            <a:schemeClr val="tx1">
              <a:lumMod val="50000"/>
              <a:lumOff val="50000"/>
            </a:schemeClr>
          </a:solidFill>
          <a:ln>
            <a:noFill/>
          </a:ln>
          <a:effectLst/>
        </c:spPr>
      </c:pivotFmt>
      <c:pivotFmt>
        <c:idx val="4"/>
        <c:spPr>
          <a:solidFill>
            <a:schemeClr val="bg1">
              <a:lumMod val="50000"/>
            </a:schemeClr>
          </a:solidFill>
          <a:ln>
            <a:noFill/>
          </a:ln>
          <a:effectLst/>
        </c:spPr>
      </c:pivotFmt>
      <c:pivotFmt>
        <c:idx val="5"/>
        <c:spPr>
          <a:solidFill>
            <a:schemeClr val="bg1">
              <a:lumMod val="50000"/>
            </a:schemeClr>
          </a:solidFill>
          <a:ln>
            <a:noFill/>
          </a:ln>
          <a:effectLst/>
        </c:spPr>
      </c:pivotFmt>
      <c:pivotFmt>
        <c:idx val="6"/>
        <c:spPr>
          <a:solidFill>
            <a:schemeClr val="bg1">
              <a:lumMod val="65000"/>
            </a:schemeClr>
          </a:solidFill>
          <a:ln>
            <a:noFill/>
          </a:ln>
          <a:effectLst/>
        </c:spPr>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65000"/>
              <a:lumOff val="35000"/>
            </a:schemeClr>
          </a:solidFill>
          <a:ln>
            <a:noFill/>
          </a:ln>
          <a:effectLst/>
        </c:spPr>
      </c:pivotFmt>
      <c:pivotFmt>
        <c:idx val="9"/>
        <c:spPr>
          <a:solidFill>
            <a:schemeClr val="tx1">
              <a:lumMod val="50000"/>
              <a:lumOff val="50000"/>
            </a:schemeClr>
          </a:solidFill>
          <a:ln>
            <a:noFill/>
          </a:ln>
          <a:effectLst/>
        </c:spPr>
      </c:pivotFmt>
      <c:pivotFmt>
        <c:idx val="10"/>
        <c:spPr>
          <a:solidFill>
            <a:schemeClr val="bg1">
              <a:lumMod val="50000"/>
            </a:schemeClr>
          </a:solidFill>
          <a:ln>
            <a:noFill/>
          </a:ln>
          <a:effectLst/>
        </c:spPr>
      </c:pivotFmt>
      <c:pivotFmt>
        <c:idx val="11"/>
        <c:spPr>
          <a:solidFill>
            <a:schemeClr val="bg1">
              <a:lumMod val="50000"/>
            </a:schemeClr>
          </a:solidFill>
          <a:ln>
            <a:noFill/>
          </a:ln>
          <a:effectLst/>
        </c:spPr>
      </c:pivotFmt>
      <c:pivotFmt>
        <c:idx val="12"/>
        <c:spPr>
          <a:solidFill>
            <a:schemeClr val="bg1">
              <a:lumMod val="65000"/>
            </a:schemeClr>
          </a:solidFill>
          <a:ln>
            <a:noFill/>
          </a:ln>
          <a:effectLst/>
        </c:spPr>
      </c:pivotFmt>
      <c:pivotFmt>
        <c:idx val="13"/>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lumMod val="65000"/>
              <a:lumOff val="35000"/>
            </a:schemeClr>
          </a:solidFill>
          <a:ln>
            <a:noFill/>
          </a:ln>
          <a:effectLst/>
        </c:spPr>
      </c:pivotFmt>
      <c:pivotFmt>
        <c:idx val="16"/>
        <c:spPr>
          <a:solidFill>
            <a:schemeClr val="tx1">
              <a:lumMod val="50000"/>
              <a:lumOff val="50000"/>
            </a:schemeClr>
          </a:solidFill>
          <a:ln>
            <a:noFill/>
          </a:ln>
          <a:effectLst/>
        </c:spPr>
      </c:pivotFmt>
      <c:pivotFmt>
        <c:idx val="17"/>
        <c:spPr>
          <a:solidFill>
            <a:schemeClr val="bg1">
              <a:lumMod val="50000"/>
            </a:schemeClr>
          </a:solidFill>
          <a:ln>
            <a:noFill/>
          </a:ln>
          <a:effectLst/>
        </c:spPr>
      </c:pivotFmt>
      <c:pivotFmt>
        <c:idx val="18"/>
        <c:spPr>
          <a:solidFill>
            <a:schemeClr val="bg1">
              <a:lumMod val="50000"/>
            </a:schemeClr>
          </a:solidFill>
          <a:ln>
            <a:noFill/>
          </a:ln>
          <a:effectLst/>
        </c:spPr>
      </c:pivotFmt>
      <c:pivotFmt>
        <c:idx val="19"/>
        <c:spPr>
          <a:solidFill>
            <a:schemeClr val="bg1">
              <a:lumMod val="65000"/>
            </a:schemeClr>
          </a:solidFill>
          <a:ln>
            <a:noFill/>
          </a:ln>
          <a:effectLst/>
        </c:spPr>
      </c:pivotFmt>
      <c:pivotFmt>
        <c:idx val="20"/>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95000"/>
                    </a:schemeClr>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lumMod val="65000"/>
              <a:lumOff val="35000"/>
            </a:schemeClr>
          </a:solidFill>
          <a:ln>
            <a:noFill/>
          </a:ln>
          <a:effectLst/>
        </c:spPr>
      </c:pivotFmt>
      <c:pivotFmt>
        <c:idx val="23"/>
        <c:spPr>
          <a:solidFill>
            <a:schemeClr val="tx1">
              <a:lumMod val="50000"/>
              <a:lumOff val="50000"/>
            </a:schemeClr>
          </a:solidFill>
          <a:ln>
            <a:noFill/>
          </a:ln>
          <a:effectLst/>
        </c:spPr>
      </c:pivotFmt>
      <c:pivotFmt>
        <c:idx val="24"/>
        <c:spPr>
          <a:solidFill>
            <a:schemeClr val="bg1">
              <a:lumMod val="50000"/>
            </a:schemeClr>
          </a:solidFill>
          <a:ln>
            <a:noFill/>
          </a:ln>
          <a:effectLst/>
        </c:spPr>
      </c:pivotFmt>
      <c:pivotFmt>
        <c:idx val="25"/>
        <c:spPr>
          <a:solidFill>
            <a:schemeClr val="bg1">
              <a:lumMod val="50000"/>
            </a:schemeClr>
          </a:solidFill>
          <a:ln>
            <a:noFill/>
          </a:ln>
          <a:effectLst/>
        </c:spPr>
      </c:pivotFmt>
      <c:pivotFmt>
        <c:idx val="26"/>
        <c:spPr>
          <a:solidFill>
            <a:schemeClr val="bg1">
              <a:lumMod val="65000"/>
            </a:schemeClr>
          </a:solidFill>
          <a:ln>
            <a:noFill/>
          </a:ln>
          <a:effectLst/>
        </c:spPr>
      </c:pivotFmt>
      <c:pivotFmt>
        <c:idx val="27"/>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1">
              <a:lumMod val="65000"/>
              <a:lumOff val="35000"/>
            </a:schemeClr>
          </a:solidFill>
          <a:ln>
            <a:noFill/>
          </a:ln>
          <a:effectLst/>
        </c:spPr>
      </c:pivotFmt>
      <c:pivotFmt>
        <c:idx val="30"/>
        <c:spPr>
          <a:solidFill>
            <a:schemeClr val="tx1">
              <a:lumMod val="50000"/>
              <a:lumOff val="50000"/>
            </a:schemeClr>
          </a:solidFill>
          <a:ln>
            <a:noFill/>
          </a:ln>
          <a:effectLst/>
        </c:spPr>
      </c:pivotFmt>
      <c:pivotFmt>
        <c:idx val="31"/>
        <c:spPr>
          <a:solidFill>
            <a:schemeClr val="bg1">
              <a:lumMod val="50000"/>
            </a:schemeClr>
          </a:solidFill>
          <a:ln>
            <a:noFill/>
          </a:ln>
          <a:effectLst/>
        </c:spPr>
      </c:pivotFmt>
      <c:pivotFmt>
        <c:idx val="32"/>
        <c:spPr>
          <a:solidFill>
            <a:schemeClr val="bg1">
              <a:lumMod val="50000"/>
            </a:schemeClr>
          </a:solidFill>
          <a:ln>
            <a:noFill/>
          </a:ln>
          <a:effectLst/>
        </c:spPr>
      </c:pivotFmt>
      <c:pivotFmt>
        <c:idx val="33"/>
        <c:spPr>
          <a:solidFill>
            <a:schemeClr val="bg1">
              <a:lumMod val="65000"/>
            </a:schemeClr>
          </a:solidFill>
          <a:ln>
            <a:noFill/>
          </a:ln>
          <a:effectLst/>
        </c:spPr>
      </c:pivotFmt>
      <c:pivotFmt>
        <c:idx val="34"/>
        <c:spPr>
          <a:solidFill>
            <a:schemeClr val="accent1"/>
          </a:solidFill>
          <a:ln w="28575" cap="rnd">
            <a:solidFill>
              <a:schemeClr val="bg1">
                <a:lumMod val="95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FFC000"/>
          </a:solidFill>
          <a:ln>
            <a:noFill/>
          </a:ln>
          <a:effectLst/>
        </c:spPr>
      </c:pivotFmt>
      <c:pivotFmt>
        <c:idx val="40"/>
        <c:spPr>
          <a:solidFill>
            <a:srgbClr val="FFC000"/>
          </a:solidFill>
          <a:ln>
            <a:noFill/>
          </a:ln>
          <a:effectLst/>
        </c:spPr>
      </c:pivotFmt>
      <c:pivotFmt>
        <c:idx val="41"/>
        <c:spPr>
          <a:solidFill>
            <a:schemeClr val="tx1">
              <a:lumMod val="65000"/>
              <a:lumOff val="35000"/>
            </a:schemeClr>
          </a:solidFill>
          <a:ln>
            <a:noFill/>
          </a:ln>
          <a:effectLst/>
        </c:spPr>
      </c:pivotFmt>
      <c:pivotFmt>
        <c:idx val="42"/>
        <c:spPr>
          <a:solidFill>
            <a:schemeClr val="tx1">
              <a:lumMod val="65000"/>
              <a:lumOff val="35000"/>
            </a:schemeClr>
          </a:solidFill>
          <a:ln>
            <a:noFill/>
          </a:ln>
          <a:effectLst/>
        </c:spPr>
        <c:dLbl>
          <c:idx val="0"/>
          <c:layout>
            <c:manualLayout>
              <c:x val="1.1649446277838054E-2"/>
              <c:y val="8.148152900643278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tx1">
              <a:lumMod val="65000"/>
              <a:lumOff val="35000"/>
            </a:schemeClr>
          </a:solidFill>
          <a:ln>
            <a:noFill/>
          </a:ln>
          <a:effectLst/>
        </c:spPr>
      </c:pivotFmt>
      <c:pivotFmt>
        <c:idx val="44"/>
        <c:spPr>
          <a:solidFill>
            <a:schemeClr val="tx1">
              <a:lumMod val="65000"/>
              <a:lumOff val="35000"/>
            </a:schemeClr>
          </a:solidFill>
          <a:ln>
            <a:noFill/>
          </a:ln>
          <a:effectLst/>
        </c:spPr>
      </c:pivotFmt>
      <c:pivotFmt>
        <c:idx val="45"/>
        <c:spPr>
          <a:solidFill>
            <a:schemeClr val="tx1">
              <a:lumMod val="50000"/>
              <a:lumOff val="50000"/>
            </a:schemeClr>
          </a:solidFill>
          <a:ln>
            <a:noFill/>
          </a:ln>
          <a:effectLst/>
        </c:spPr>
      </c:pivotFmt>
    </c:pivotFmts>
    <c:plotArea>
      <c:layout/>
      <c:barChart>
        <c:barDir val="col"/>
        <c:grouping val="clustered"/>
        <c:varyColors val="0"/>
        <c:ser>
          <c:idx val="0"/>
          <c:order val="0"/>
          <c:tx>
            <c:strRef>
              <c:f>' Pivot Table &amp; Charts'!$E$10</c:f>
              <c:strCache>
                <c:ptCount val="1"/>
                <c:pt idx="0">
                  <c:v>Sum of Unique Customers</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11-2F2E-49AA-9C98-2D76E20FF8E9}"/>
              </c:ext>
            </c:extLst>
          </c:dPt>
          <c:dPt>
            <c:idx val="1"/>
            <c:invertIfNegative val="0"/>
            <c:bubble3D val="0"/>
            <c:spPr>
              <a:solidFill>
                <a:srgbClr val="FFC000"/>
              </a:solidFill>
              <a:ln>
                <a:noFill/>
              </a:ln>
              <a:effectLst/>
            </c:spPr>
            <c:extLst>
              <c:ext xmlns:c16="http://schemas.microsoft.com/office/drawing/2014/chart" uri="{C3380CC4-5D6E-409C-BE32-E72D297353CC}">
                <c16:uniqueId val="{00000012-2F2E-49AA-9C98-2D76E20FF8E9}"/>
              </c:ext>
            </c:extLst>
          </c:dPt>
          <c:dPt>
            <c:idx val="2"/>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13-2F2E-49AA-9C98-2D76E20FF8E9}"/>
              </c:ext>
            </c:extLst>
          </c:dPt>
          <c:dPt>
            <c:idx val="3"/>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14-2F2E-49AA-9C98-2D76E20FF8E9}"/>
              </c:ext>
            </c:extLst>
          </c:dPt>
          <c:dPt>
            <c:idx val="4"/>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15-2F2E-49AA-9C98-2D76E20FF8E9}"/>
              </c:ext>
            </c:extLst>
          </c:dPt>
          <c:dPt>
            <c:idx val="5"/>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16-2F2E-49AA-9C98-2D76E20FF8E9}"/>
              </c:ext>
            </c:extLst>
          </c:dPt>
          <c:dPt>
            <c:idx val="6"/>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17-2F2E-49AA-9C98-2D76E20FF8E9}"/>
              </c:ext>
            </c:extLst>
          </c:dPt>
          <c:dLbls>
            <c:dLbl>
              <c:idx val="3"/>
              <c:layout>
                <c:manualLayout>
                  <c:x val="1.1649446277838054E-2"/>
                  <c:y val="8.14815290064327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F2E-49AA-9C98-2D76E20FF8E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 Pivot Table &amp; Charts'!$D$11:$D$17</c:f>
              <c:strCache>
                <c:ptCount val="7"/>
                <c:pt idx="0">
                  <c:v>Better Offers from Competitors</c:v>
                </c:pt>
                <c:pt idx="1">
                  <c:v>High Call Tarriffs</c:v>
                </c:pt>
                <c:pt idx="2">
                  <c:v>Poor Network</c:v>
                </c:pt>
                <c:pt idx="3">
                  <c:v>Costly Data Plans</c:v>
                </c:pt>
                <c:pt idx="4">
                  <c:v>Fast Data Consumption</c:v>
                </c:pt>
                <c:pt idx="5">
                  <c:v>Poor Customer Service</c:v>
                </c:pt>
                <c:pt idx="6">
                  <c:v>Relocation</c:v>
                </c:pt>
              </c:strCache>
            </c:strRef>
          </c:cat>
          <c:val>
            <c:numRef>
              <c:f>' Pivot Table &amp; Charts'!$E$11:$E$17</c:f>
              <c:numCache>
                <c:formatCode>General</c:formatCode>
                <c:ptCount val="7"/>
                <c:pt idx="0">
                  <c:v>29</c:v>
                </c:pt>
                <c:pt idx="1">
                  <c:v>26</c:v>
                </c:pt>
                <c:pt idx="2">
                  <c:v>20</c:v>
                </c:pt>
                <c:pt idx="3">
                  <c:v>20</c:v>
                </c:pt>
                <c:pt idx="4">
                  <c:v>18</c:v>
                </c:pt>
                <c:pt idx="5">
                  <c:v>18</c:v>
                </c:pt>
                <c:pt idx="6">
                  <c:v>15</c:v>
                </c:pt>
              </c:numCache>
            </c:numRef>
          </c:val>
          <c:extLst>
            <c:ext xmlns:c16="http://schemas.microsoft.com/office/drawing/2014/chart" uri="{C3380CC4-5D6E-409C-BE32-E72D297353CC}">
              <c16:uniqueId val="{0000000E-2F2E-49AA-9C98-2D76E20FF8E9}"/>
            </c:ext>
          </c:extLst>
        </c:ser>
        <c:dLbls>
          <c:showLegendKey val="0"/>
          <c:showVal val="1"/>
          <c:showCatName val="0"/>
          <c:showSerName val="0"/>
          <c:showPercent val="0"/>
          <c:showBubbleSize val="0"/>
        </c:dLbls>
        <c:gapWidth val="60"/>
        <c:axId val="649764048"/>
        <c:axId val="649750160"/>
      </c:barChart>
      <c:lineChart>
        <c:grouping val="standard"/>
        <c:varyColors val="0"/>
        <c:ser>
          <c:idx val="1"/>
          <c:order val="1"/>
          <c:tx>
            <c:strRef>
              <c:f>' Pivot Table &amp; Charts'!$F$10</c:f>
              <c:strCache>
                <c:ptCount val="1"/>
                <c:pt idx="0">
                  <c:v>Sum of Unique Customers2</c:v>
                </c:pt>
              </c:strCache>
            </c:strRef>
          </c:tx>
          <c:spPr>
            <a:ln w="28575" cap="rnd">
              <a:solidFill>
                <a:schemeClr val="bg1">
                  <a:lumMod val="9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Charts'!$D$11:$D$17</c:f>
              <c:strCache>
                <c:ptCount val="7"/>
                <c:pt idx="0">
                  <c:v>Better Offers from Competitors</c:v>
                </c:pt>
                <c:pt idx="1">
                  <c:v>High Call Tarriffs</c:v>
                </c:pt>
                <c:pt idx="2">
                  <c:v>Poor Network</c:v>
                </c:pt>
                <c:pt idx="3">
                  <c:v>Costly Data Plans</c:v>
                </c:pt>
                <c:pt idx="4">
                  <c:v>Fast Data Consumption</c:v>
                </c:pt>
                <c:pt idx="5">
                  <c:v>Poor Customer Service</c:v>
                </c:pt>
                <c:pt idx="6">
                  <c:v>Relocation</c:v>
                </c:pt>
              </c:strCache>
            </c:strRef>
          </c:cat>
          <c:val>
            <c:numRef>
              <c:f>' Pivot Table &amp; Charts'!$F$11:$F$17</c:f>
              <c:numCache>
                <c:formatCode>0.00%</c:formatCode>
                <c:ptCount val="7"/>
                <c:pt idx="0">
                  <c:v>0.19863013698630136</c:v>
                </c:pt>
                <c:pt idx="1">
                  <c:v>0.37671232876712329</c:v>
                </c:pt>
                <c:pt idx="2">
                  <c:v>0.51369863013698636</c:v>
                </c:pt>
                <c:pt idx="3">
                  <c:v>0.65068493150684936</c:v>
                </c:pt>
                <c:pt idx="4">
                  <c:v>0.77397260273972601</c:v>
                </c:pt>
                <c:pt idx="5">
                  <c:v>0.89726027397260277</c:v>
                </c:pt>
                <c:pt idx="6">
                  <c:v>1</c:v>
                </c:pt>
              </c:numCache>
            </c:numRef>
          </c:val>
          <c:smooth val="0"/>
          <c:extLst>
            <c:ext xmlns:c16="http://schemas.microsoft.com/office/drawing/2014/chart" uri="{C3380CC4-5D6E-409C-BE32-E72D297353CC}">
              <c16:uniqueId val="{0000000F-2F2E-49AA-9C98-2D76E20FF8E9}"/>
            </c:ext>
          </c:extLst>
        </c:ser>
        <c:dLbls>
          <c:showLegendKey val="0"/>
          <c:showVal val="1"/>
          <c:showCatName val="0"/>
          <c:showSerName val="0"/>
          <c:showPercent val="0"/>
          <c:showBubbleSize val="0"/>
        </c:dLbls>
        <c:marker val="1"/>
        <c:smooth val="0"/>
        <c:axId val="1190837232"/>
        <c:axId val="1190830784"/>
      </c:lineChart>
      <c:catAx>
        <c:axId val="64976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49750160"/>
        <c:crosses val="autoZero"/>
        <c:auto val="1"/>
        <c:lblAlgn val="ctr"/>
        <c:lblOffset val="100"/>
        <c:noMultiLvlLbl val="0"/>
      </c:catAx>
      <c:valAx>
        <c:axId val="649750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49764048"/>
        <c:crosses val="autoZero"/>
        <c:crossBetween val="between"/>
      </c:valAx>
      <c:valAx>
        <c:axId val="1190830784"/>
        <c:scaling>
          <c:orientation val="minMax"/>
          <c:max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90837232"/>
        <c:crosses val="max"/>
        <c:crossBetween val="between"/>
      </c:valAx>
      <c:catAx>
        <c:axId val="1190837232"/>
        <c:scaling>
          <c:orientation val="minMax"/>
        </c:scaling>
        <c:delete val="1"/>
        <c:axPos val="b"/>
        <c:numFmt formatCode="General" sourceLinked="1"/>
        <c:majorTickMark val="out"/>
        <c:minorTickMark val="none"/>
        <c:tickLblPos val="nextTo"/>
        <c:crossAx val="119083078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[MTN_customer_churn_analysis_dashboard.xlsx] Pivot Table &amp; Charts!Customer Review</c:name>
    <c:fmtId val="12"/>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solidFill>
                  <a:schemeClr val="bg1"/>
                </a:solidFill>
              </a:rPr>
              <a:t>Churn  by Customer Review Rating</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 &amp; Charts'!$B$49:$B$51</c:f>
              <c:strCache>
                <c:ptCount val="1"/>
                <c:pt idx="0">
                  <c:v>Yes - Sum of Unique Customers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Gadugi" panose="020B0502040204020203" pitchFamily="34" charset="0"/>
                    <a:ea typeface="Gadugi" panose="020B05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 &amp; Charts'!$A$52:$A$56</c:f>
              <c:strCache>
                <c:ptCount val="5"/>
                <c:pt idx="0">
                  <c:v>Very Good</c:v>
                </c:pt>
                <c:pt idx="1">
                  <c:v>Excellent</c:v>
                </c:pt>
                <c:pt idx="2">
                  <c:v>Fair</c:v>
                </c:pt>
                <c:pt idx="3">
                  <c:v>Good</c:v>
                </c:pt>
                <c:pt idx="4">
                  <c:v>Poor</c:v>
                </c:pt>
              </c:strCache>
            </c:strRef>
          </c:cat>
          <c:val>
            <c:numRef>
              <c:f>' Pivot Table &amp; Charts'!$B$52:$B$56</c:f>
              <c:numCache>
                <c:formatCode>General</c:formatCode>
                <c:ptCount val="5"/>
                <c:pt idx="0">
                  <c:v>32</c:v>
                </c:pt>
                <c:pt idx="1">
                  <c:v>31</c:v>
                </c:pt>
                <c:pt idx="2">
                  <c:v>30</c:v>
                </c:pt>
                <c:pt idx="3">
                  <c:v>27</c:v>
                </c:pt>
                <c:pt idx="4">
                  <c:v>26</c:v>
                </c:pt>
              </c:numCache>
            </c:numRef>
          </c:val>
          <c:extLst>
            <c:ext xmlns:c16="http://schemas.microsoft.com/office/drawing/2014/chart" uri="{C3380CC4-5D6E-409C-BE32-E72D297353CC}">
              <c16:uniqueId val="{00000000-0AD8-4AEC-8E2F-5FEE9438DD4A}"/>
            </c:ext>
          </c:extLst>
        </c:ser>
        <c:dLbls>
          <c:showLegendKey val="0"/>
          <c:showVal val="0"/>
          <c:showCatName val="0"/>
          <c:showSerName val="0"/>
          <c:showPercent val="0"/>
          <c:showBubbleSize val="0"/>
        </c:dLbls>
        <c:gapWidth val="60"/>
        <c:axId val="607495744"/>
        <c:axId val="607512608"/>
      </c:barChart>
      <c:lineChart>
        <c:grouping val="standard"/>
        <c:varyColors val="0"/>
        <c:ser>
          <c:idx val="1"/>
          <c:order val="1"/>
          <c:tx>
            <c:strRef>
              <c:f>' Pivot Table &amp; Charts'!$C$49:$C$51</c:f>
              <c:strCache>
                <c:ptCount val="1"/>
                <c:pt idx="0">
                  <c:v>Yes - Sum of Unique Customers2</c:v>
                </c:pt>
              </c:strCache>
            </c:strRef>
          </c:tx>
          <c:spPr>
            <a:ln w="28575" cap="rnd">
              <a:solidFill>
                <a:schemeClr val="bg1">
                  <a:lumMod val="95000"/>
                </a:schemeClr>
              </a:solidFill>
              <a:round/>
            </a:ln>
            <a:effectLst/>
          </c:spPr>
          <c:marker>
            <c:symbol val="none"/>
          </c:marker>
          <c:cat>
            <c:strRef>
              <c:f>' Pivot Table &amp; Charts'!$A$52:$A$56</c:f>
              <c:strCache>
                <c:ptCount val="5"/>
                <c:pt idx="0">
                  <c:v>Very Good</c:v>
                </c:pt>
                <c:pt idx="1">
                  <c:v>Excellent</c:v>
                </c:pt>
                <c:pt idx="2">
                  <c:v>Fair</c:v>
                </c:pt>
                <c:pt idx="3">
                  <c:v>Good</c:v>
                </c:pt>
                <c:pt idx="4">
                  <c:v>Poor</c:v>
                </c:pt>
              </c:strCache>
            </c:strRef>
          </c:cat>
          <c:val>
            <c:numRef>
              <c:f>' Pivot Table &amp; Charts'!$C$52:$C$56</c:f>
              <c:numCache>
                <c:formatCode>0.00%</c:formatCode>
                <c:ptCount val="5"/>
                <c:pt idx="0">
                  <c:v>0.21917808219178081</c:v>
                </c:pt>
                <c:pt idx="1">
                  <c:v>0.21232876712328766</c:v>
                </c:pt>
                <c:pt idx="2">
                  <c:v>0.20547945205479451</c:v>
                </c:pt>
                <c:pt idx="3">
                  <c:v>0.18493150684931506</c:v>
                </c:pt>
                <c:pt idx="4">
                  <c:v>0.17808219178082191</c:v>
                </c:pt>
              </c:numCache>
            </c:numRef>
          </c:val>
          <c:smooth val="0"/>
          <c:extLst>
            <c:ext xmlns:c16="http://schemas.microsoft.com/office/drawing/2014/chart" uri="{C3380CC4-5D6E-409C-BE32-E72D297353CC}">
              <c16:uniqueId val="{00000001-0AD8-4AEC-8E2F-5FEE9438DD4A}"/>
            </c:ext>
          </c:extLst>
        </c:ser>
        <c:dLbls>
          <c:showLegendKey val="0"/>
          <c:showVal val="0"/>
          <c:showCatName val="0"/>
          <c:showSerName val="0"/>
          <c:showPercent val="0"/>
          <c:showBubbleSize val="0"/>
        </c:dLbls>
        <c:marker val="1"/>
        <c:smooth val="0"/>
        <c:axId val="1029189328"/>
        <c:axId val="1029188832"/>
      </c:lineChart>
      <c:catAx>
        <c:axId val="60749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07512608"/>
        <c:crosses val="autoZero"/>
        <c:auto val="1"/>
        <c:lblAlgn val="ctr"/>
        <c:lblOffset val="100"/>
        <c:noMultiLvlLbl val="0"/>
      </c:catAx>
      <c:valAx>
        <c:axId val="607512608"/>
        <c:scaling>
          <c:orientation val="minMax"/>
          <c:max val="3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07495744"/>
        <c:crosses val="autoZero"/>
        <c:crossBetween val="between"/>
        <c:majorUnit val="5"/>
      </c:valAx>
      <c:valAx>
        <c:axId val="1029188832"/>
        <c:scaling>
          <c:orientation val="minMax"/>
          <c:max val="0.25"/>
        </c:scaling>
        <c:delete val="0"/>
        <c:axPos val="r"/>
        <c:numFmt formatCode="0%"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189328"/>
        <c:crosses val="max"/>
        <c:crossBetween val="between"/>
      </c:valAx>
      <c:catAx>
        <c:axId val="1029189328"/>
        <c:scaling>
          <c:orientation val="minMax"/>
        </c:scaling>
        <c:delete val="1"/>
        <c:axPos val="b"/>
        <c:numFmt formatCode="General" sourceLinked="1"/>
        <c:majorTickMark val="out"/>
        <c:minorTickMark val="none"/>
        <c:tickLblPos val="nextTo"/>
        <c:crossAx val="102918883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Number of Churned Customers by State</cx:v>
        </cx:txData>
      </cx:tx>
      <cx:spPr>
        <a:noFill/>
        <a:ln>
          <a:noFill/>
        </a:ln>
      </cx:spPr>
      <cx:txPr>
        <a:bodyPr spcFirstLastPara="1" vertOverflow="ellipsis" horzOverflow="overflow" wrap="square" lIns="0" tIns="0" rIns="0" bIns="0" anchor="ctr" anchorCtr="1"/>
        <a:lstStyle/>
        <a:p>
          <a:pPr algn="ctr" rtl="0">
            <a:defRPr sz="1800"/>
          </a:pPr>
          <a:r>
            <a:rPr lang="en-US" sz="1800" b="0" i="0" u="none" strike="noStrike" baseline="0">
              <a:solidFill>
                <a:sysClr val="window" lastClr="FFFFFF">
                  <a:lumMod val="95000"/>
                </a:sysClr>
              </a:solidFill>
              <a:latin typeface="Aptos Narrow" panose="02110004020202020204"/>
            </a:rPr>
            <a:t>Number of Churned Customers by State</a:t>
          </a:r>
        </a:p>
      </cx:txPr>
    </cx:title>
    <cx:plotArea>
      <cx:plotAreaRegion>
        <cx:plotSurface>
          <cx:spPr>
            <a:solidFill>
              <a:schemeClr val="bg2">
                <a:lumMod val="25000"/>
              </a:schemeClr>
            </a:solidFill>
            <a:ln>
              <a:noFill/>
            </a:ln>
          </cx:spPr>
        </cx:plotSurface>
        <cx:series layoutId="regionMap" uniqueId="{9BAB4D54-08C8-49A4-9EE0-3A729A0374E5}">
          <cx:tx>
            <cx:txData>
              <cx:f>_xlchart.v5.2</cx:f>
              <cx:v>Churned Customers</cx:v>
            </cx:txData>
          </cx:tx>
          <cx:dataLabels>
            <cx:txPr>
              <a:bodyPr spcFirstLastPara="1" vertOverflow="ellipsis" horzOverflow="overflow" wrap="square" lIns="0" tIns="0" rIns="0" bIns="0" anchor="ctr" anchorCtr="1"/>
              <a:lstStyle/>
              <a:p>
                <a:pPr algn="ctr" rtl="0">
                  <a:defRPr sz="1400" b="1">
                    <a:latin typeface="Gadugi" panose="020B0502040204020203" pitchFamily="34" charset="0"/>
                    <a:ea typeface="Gadugi" panose="020B0502040204020203" pitchFamily="34" charset="0"/>
                    <a:cs typeface="Gadugi" panose="020B0502040204020203" pitchFamily="34" charset="0"/>
                  </a:defRPr>
                </a:pPr>
                <a:endParaRPr lang="en-US" sz="1400" b="1" i="0" u="none" strike="noStrike" baseline="0">
                  <a:solidFill>
                    <a:sysClr val="window" lastClr="FFFFFF">
                      <a:lumMod val="95000"/>
                    </a:sysClr>
                  </a:solidFill>
                  <a:latin typeface="Gadugi" panose="020B0502040204020203" pitchFamily="34" charset="0"/>
                  <a:ea typeface="Gadugi" panose="020B0502040204020203" pitchFamily="34" charset="0"/>
                </a:endParaRPr>
              </a:p>
            </cx:txPr>
            <cx:visibility seriesName="0" categoryName="0" value="1"/>
          </cx:dataLabels>
          <cx:dataId val="0"/>
          <cx:layoutPr>
            <cx:geography cultureLanguage="en-US" cultureRegion="NG" attribution="Powered by Bing">
              <cx:geoCache provider="{E9337A44-BEBE-4D9F-B70C-5C5E7DAFC167}">
                <cx:binary>5H1pc9y4suVfcfjTTMSwGjvAG7dfxAWrSrvkffvCkCWZO0GQALdf/7K02FXVdr+xribi6U11hG0J
hSqQB8g8eTKT/c+r8R9X5c1l+2Ksyrr7x9X458vUueYff/zRXaU31WW3qLKr1nTmm1tcmeoP8+1b
dnXzx3V7OWR18gdBmP1xlV627mZ8+R//hE9Lbsypubp0malf+5t2enPT+dJ1fzP206EXl9dVVi+z
zrXZlcN/vryor83LFze1y9z0bmpu/ny5846XL/7Y/5y/fOeLEpbl/DXMlQtEUCgUo+H96+WL0tTJ
/TBfIC4kkyFGdy/68NXnlxVM3yzmxVt36W4efv+zJd0u6PL6ur3pOrie27935+5cwu7QlfG129y+
BO7kny/Ps+SmzS5fvsg6E90NRWZzJecHt5f+x+6t/49/7v0Cbsbeb7bQ2b9z/9XQX8CJYId0L95k
/U37dzfk9zDiCyUkDgUXO9ioBSeISUnCe2z4w1feYbO1lsdC9JOP2EPqJ+94VoCdXF77GnbTU50n
jBZUEU4JJjtgyYXilBLC0Y9zdvedd2DdreOxOO3O3oNod/BZoaMv/VWaPSk6ghBFFFN3ZwbvgATg
IaKk5ATA20bnbh2PRWd39h46u4PPCp1X4EZuLv3DrfqZ5f89QxeCt1GUMcXuLdruGQoXQhFBlNhz
QvfreCw8e9P38Nkb/XcB2vVOL7YdMbhYIhDh9wZC7WxNshAMhZgx9nC77+zGw/KWNw1wjwo27cP4
z+D4uSP+2Wf84i5sf83erdA3dVb/1S3r4/8GbvlkuGyf0MirhaJCqhCTe6zkDlZsIYQCE8MfSBNY
mW1rcruax+7Wncl7KO2M7cHz35s3LW9K94QAcaBGkiKB5E8Pk1hgqRgW8Ja7196hul3NYwHambwH
0M7YswJIm7Z+wrADkwVWktNwzwHTBUXgmil7OFm7J+d2FY8FZmfyHjA7Y88KmBOTPCFBkgsZslCA
J/pxMrbCQQEeGP4TEiKRHYsGi3gsLJsLeJi7h8r20LMC5a0pjHvK40IXSGCMw+8Gbcfh8AXFwFkR
feAOe/DcLefhJt8B939PD3Zn70G0O/isQDq9TEz3sI9/djt+j7wK8DkiRBSzHxHe1tGhCy4l8Fr2
MAz8bvsI3a7msRDtTN5DaGfsWQGkL6ebsntCWsAWUpBQKv6AwS5vE5voT4VSgv27fe3Rgvv1PBak
vel7MO2NPiug3gG7/vqEOKkFqKmYQiR4f5R240AI0yWVglJ5T7CBRGwfpbvlPBam3dl7KO0OPiuQ
bkXJJ7R3bLGh0HBi7g8LgtOyZe8EiJaIISUfxvcklbvlPBak3dl7IO0OPiuQzi87OEvDk54lRgEE
sS08bsGkFgT0SsUhVrp77bmlhwU9Fqj9+XtQ7Q8/K7C+XFbfnlRXgKgIAcMD9r1/lhgG7YfiB2YB
fmvb4N0v5LEY7U3fg2hv9FkhdHL5pEErXqiQKRqScMfUQSKGCvBXWN3js6dPblbxWGy25+4Bsz30
zFBxXfakSRey4AKEAyLvjRgQgi0bJxeCILmlBu0dn5PL2/U8HqKd6X9BaWf0WQH1r2K4fHH01VQP
5ubfj5LYIgRSIKjY0kZ3oAJSQYjgW8LdtqX7vqLHgvWXD9iD6y/jzwqwVZG5p1WDqFAb0eH+XO26
Jb4AkVXRHwxwj4ffruaxQO1M3gNpZ+xZAXTReciR3O3of/8wyQXf5MoYYHT/2rF7bMEg2AW7KO5H
92ShzWIeC8/23D10toeeFTj/+rqpK3kqcPiCcUjZATW4Pzy7QSxghzmkKEJ+P7xHGjaLeSw423P3
wNkeelbgHGfJk8ZFwLUp4YQKuotLCLggSkLyoD3sBUR363gsMruz97DZHXxW6ByY6uvfloD9npZ6
W0UDyblwPz+EFwRBHZRQe67m9vsfC8rO5D1MdsaeFSQX0xMmIEAmwBxD9dJuVQKI2oIRFe7DAd/9
WDC2pu5BsTXyrIA4ufn69QlJGcaLTeqaS/7TGia2wEiC53lIoIb7wc5mNY8F5/ZSHibvwbMz9qwA
WtU+ecIqJkgEbZx+SB+i0V0HIwE+Bo4fPyTr9hzM7Woe7vGvycjPS3l2Ju8BtDP2rAD6V31ZfX3K
Ah4B5kxRvAlu7l67lbViAbQNQyT6i/qQ+/U8FqS96Xsw7Y0+K6Bui4yejkKHi5BCSZzaRYcvBMcY
MgsPJet7Fu52EY/FZmfyHjI7Y88Kl39dX1ZPyp43LBkyqfLBhoUQvWzJOBtyrRRW6ntFwsOmuKta
vF/PY0Ham74H097oswJq9ZS9HVCtgyRIad+5AByULZD4IpSESKgp/aGabmttsJbHArQ1dQ+crZFn
BQxUt/onDHDkgnIEyLCfOyC1kNDXoSTb4wa3q3gsKDuT92DZGXtWwHw2Txp4Ql0igT4NaIe6OxS7
mQTg3pAp5UDtdu3Zf7WIn5O1u1l7SNz98llBcFQ9YaQJpbuKh4wDgf4ZNYN+NSGgFWov/oclPPZY
bE3dg2Jr5Fnh8a+vPr988b/W0bv//bBNf6U1P2Er3K9u0XYIs/Oe3+xUhO4POJIU2hHv3RXf8WZy
sdkuEqqK74f3irduydu+vru7np+f0u8Td978/7wR8dfIfG/nXF66y9VtH+hWn+Lfj95eInSm7k39
O9H7Dr+j6z9fYoGhe4ptjN/3HtPNB93Pfmhk20927029uezcny/DBYTIFDpPEYIMBZIbBWm42YxA
tlZyDCkLxqDGC8I0YP+1aV0KC4AuGMQ2nHNTagnsEzDujL8dQpALoUA3JShSMEbk9y7cV6acElN/
vzH3P7+offXKZLXr/nxJBFxTc/e+zXJvewcw9BpBjZmCXCTj4Iibq8s30OoLb8f/pw1IgXpOD0w+
d+OSwjprjdpBflJVbk5iMabtUZbUzSdRypEskySeYy0tvkyDFHUaZwh9c2oW7cE0dydWlqPTxub2
PJfUdYc+puH5nDmRROHYlx/Hrh/5UTbjMY3c0L6fTR6XkeRV9jFJgix/G3Y0n6MiT8W09H1HDgQ2
wUFZCT7r3KLwxDnjDh3tsmLZ58O4msPK93oqg84sWRK0B2E3qSRivI/PpMyaMpqaoDgoE7ggbVA3
nuM0aw4m3+GozMbhmBhYgw7G3r+CBuE+i1iWVL1OZkPPu1zVr1ExlcuUN+wyaXLxLc07e1PUc+nW
NlbsdVeiMdQB9n00diTwusSBeN3FJMDrmvH60PIpLXTpJrIqy5FdUztioZPMwtcCdsV7z1TvNart
eNpPZbkyeTOvoUaGXXFVio+hSwurOenwqSkQXCyXGYpciUSqkfPDQZ9NX8peoPGkL/gwLSUq4tdU
xsGg/czpWuWs/ygCEX8uy5hFOC/wsmlV863MW6tNQeqjwZT5xYxadaGSuHpFiiQ+nMUUautNrm3a
21QHfc8uEtKLddq76vVcWH5oZdFfxDIH1P0su0uo7smdFlVWvC9qVXwUSTe+D/tQHcys49e0cMN5
Xyd8zXgWM933LrmJJ5nIpR8T8r7kZRNrE5aUHTRwZN6LaVTv81qOn1wT56ddQstaC4F9GE1DzNOj
2lbpKhnK/kT4ojhsTF7641BalEalKuwlaYf0jNs4P2wS0VxUvsVGj3FeU024nD66ulBRqib6uhBV
+LUIoah2XTc1+dKnfXFNfBZ8DYdUflMinw5H1ooVn1m5VlWPPzaFwhcDT9lx5c10PnSj+TzwMTmZ
h7mMxp4mZ27McxMhQINFQUbVincTKqMuM8NHCbeMaeswfl3Mthi0qB370rmA6EQkrT8ISF1/EIqL
D9g7u0obRCOVi+LGT2W/UjnPXw1CJEuliuGdxE696ZuOvmeJa/NlkOII0j/iJIzD5pISZy6yIESh
jhPXV5q1XdZpRKj5mNcqXvXBa9ZM7nxKAqqVqMxxP7fsIg1HdUjGYD6yEg9XHvq0jwbRFGddJ8d1
2KCwj0ReyvM8LRKdppR+7rvens8uFkijzqNkVSNWX5pqyg+Lwhf9uiFBjHQ/0ulD6lK2TuO+XsZF
aj5Cq9nwrc278CNBFdUW0DiiXpZzNDaV61Y2EMLpks7ZK1zm6QVBQXtW5Qlbu7ypSl2gpjgS1PmP
uW2ndYoG1B+Y0SfLQRTl2eRV8woKOe3am7B45+as+lyXfZVpk5X120EVWXMSl6OsIhPk8m2vbKBT
BD1yh4mUVPdNMmBdJg5/SKWxJ6SGkwT8LjkytegPBlOUq8CS6bxzGQmORNwjFvV8IpMmcFvPcRxW
XTQ01gwRrnD5IRuDaT7MeFzp7e7CHUt/ZZqpzZL0/pEL33/8j4vmpn7r2psbd3bZ3D4M4MfY7o8/
nhWwcXPfHxyw5zzvHuzwC8/6t4O/53ZBYvm1292p8v+ry94kl2/9LtsEnhB0AoeGfyBwog9+lyyg
RGpDrsDZgXuFdpPvfheEBKDc4HbBZW8EA/XD7wrw4yEU1QNnh5QpxYL9jt8VwOG23S5ISlDzjUB6
hTZfyglDu27XBc0wUpVFlqMmiYTK/Vk9myDTjia+WDV8UEdxMpzSxiYsEqUKL4YusdOKYRQeTmZG
50VoilPuYr/uc5eBK4nDxB9lJkxLbYVA1XIeS+q16ctm0mEb1rFWPCXVmwG1Nn9D4yAb3qN6TLHO
84FEfR+zszJHY6pHKEsfV1U9dy4ScVUfN0XYfXZjOzY6TNrxPMBieBt6xWpdZ577FUEcTbq0trBg
mXu/BFcXuMh3lUk/sDk1NBoKCU69huN0weJ5XAuHzHWf0EBGqW+mflkYlPujOhPlt7C1J77JJ3o6
+bib3nXBENYXNgkMXk1d1sxLZMygoqq1lThPu0bQ87lXo49QIMDdN8Bp2k9lE+bVAU8SMZz/f3O+
CFC8X5+vhx7pnWedbDHbzey7Ewa5a0HhgSkhg1ZuwSiHPX7HbKFOFDpPgJxC52MIwpyAxNADs908
NgK6ISGA4SCc0o3wc89sFZwwSUGjgyruEAnCf+eAYQmnePeEKc6hhS8kFFQMKP0Gdr1NbF0wNLKr
grUccVatiU99qesiSanOWGHrJOKhlSc9FK9s9vhgi9dZnXXNcS2m9jpsjM0uhEupWtZiUFqGNVuN
FvFmDczJfkOTn97LuQurJWfzdOFRXhqtcqCFup2N+uhV7S/6NnmbMledxeDpr+IYzWTVFwh/CXJb
v3KNwycVS+urvIvx68bb7rqtpe/WtUCpihCKPTkffOWjAjPiVzmQq3iFemAvR1OCg+rAFi0yh5SO
jhxYOdhBz1Ne1keEV8AsRJy0/LjpK/9lVNjGS9zSfj5nTZ8exa1j9JBbRN6knSwv2ejYewZH/ZPC
M9iLbEhRrvmkhlZniNlglc3Gv3cNno9NjBMCY7G1Og/kgCJTjzkQHlvVtabFZIe1o0Zl53EqaxGR
qaZmNQW1zY/SKTzmFQfeKdPEFToumGOat4L5E4yK2S2TtCu9nmwaZu+qIos/CpIC93Gufd+ppgt0
wobgRsU4POwSlGVREgeNXdo4m0VkhPlm4qwpdCtMkwL3V+qQ8zIvlnHZpe8TPCd8KcraHdDKNlU0
Ez/V51YFzar0VRW+zscxfTsXlXwf4zn4Im3q3iZ1npqoDCug6dPMi0IHMnWlDkjrD9k8dJEHHnWx
ScVdBLQVbtlUdZLqgfuqjTKOISChGbbRIIg97mwdFBpVdZnr1IbzaxSrLjgfciJX1DNyWseyEcsk
nsQrCFTHIRJTR2GjhUX7tXW4OjRp08enUysCeuqliM/mGOc0iis2dBqCiZotVcOC0wIq7aUGuuac
TkM7JJqbEkM81g+rEqHmtPBZdgEwUL9MszKt9Zg7HGpWKeJ1GyZ5oeWQFp+LSZUr1tO2jipepjdD
2aJ1SFC8kkRkQwRM0V8mPo8vbMuSw3qOk1VhkwlFsqz857KLe7ziqgrwipQkexNDK0d3FAStK05t
AQEfD2NhItidUl38z7fUUBR8lw38tZ3+yfOIfrCh7/MfNAgmGZR6QU0/2GqyyWE9SBDw9Aa1ISOC
sE2fGdT73xtqaGsCow7cFR7wgEAoRjDp3lDDYx9UuMkYQ1MUJFawUL9lqTl80ralpsC1CIeugs0n
bmQSIF3blhoN2RSyuFiOtazzZW5Nc+ENH1s9BthAtEcxG3VXmgJizK6gZ4ynwZc5yASH6HRApeYQ
yJ2xLky+FHlG84hWZOoh2mpnBP3wch41G4oMogOVyOaQBS6F8KcYqjnKY5JnER3ysF1OYnRWp7kc
nHZZauma9sKIlUBZYyKeJpEXImsPWc3KT6EsyDlLGdARl5TJRTu78DLFin8yiVPXTUzCNuom7jOd
tl1f6Ml7LD7FBL72Y4Kt4xqaley0LB1EjtFEwLgcD31R9ro2JIZwmCOmjmjr2+EoyWQWHyg8DK/C
usySJe862yzzTEiwShar9BWrbN3oWCIeXjRz3jYHbaXEpB0ER8OyyMf0QxYOnV3GSdBxDfTSD6uQ
1iE/DgdEqoM4zWawhhMhBGQMhnE0qmBekmTzfapiXRoJ27gEtJrCsWiGeKSMlEzRV0q8OurLuko0
k3iMl66EuGoFDDy+VnHjWi1CGpy2Q8US3ds2z8FtOfYG87l7nTft1OgiKDyO3FiQz7DIeoYQNan1
ZFh8PVgmyxWKyypbNkAWTZTJDauVdTDlB6pouNK5GAQ/6KsaPsp0ZffB1Y35rGwY8BVIZr1dJU2Q
jMskHDaRGAhMdj2kbVBAKDa2iQYZLvMRPMSBvReqogxIuEfzarKBPZMT0AfdzHNSaUMyP2iexrJa
9hUR7yydbbsmtkyDZclqm0YKQtv2gKZlfkZk7PLDWvis15kHQxtZ1jOjvS3DV7IhFmuKTBVGM4do
dEnMMPeRzFR/TCfX4iXxTdlF3Li81e1gGnqA+harYx4C5CtHCXVHeVYCYy4nkyvNy6ppdd2lKoM9
JFqlXZ6Tkx4lea5BOAwMaE7xILRvWvvpf4yRvdp+rN5DmuCW0EogrL82sN/l8B9mFW9m3JNfMIIS
OCzYwRB8FbTdPNhUkG43tehQ0bkJ8UIoH/huUzFdKBBrNvQXAdWFdsQtmwo9PZsCwxAYNUj7MOsh
0N4J9kHSvv95W9YFtfonNhWK4+DxPFDlK4GI79pUWXaE5T7WZZ9nzXgwIeBnmhKDwqO5RJM6b2RS
Z3rssyI98046t6SubLujPBlVEbWNAN42EtG+kx5o8bIphmS4CA2YQR3wzJJMJ94idQwcts6BMYDd
KA3MKBBd4q6ZU20rFGTrgsg2P5QTy3nUoNyIM1Z3wBjvNmSbIc915YIJayNAAI/6MZf5v2n5a1E1
8HkVi4cnsPyBLcT0ZFY/Z8NYnf3K3rOynsxbOudAIedmHsiqkHPYRbKRagbmn8apzrlXH4zpKH7L
TernM563/jQUsQL93gVlU+us8/NxaWPbXXRdjMojknvldCNIcUIERAtgJofxU53Eyq9BZEuBNvZj
HX8wad6z9RAGaXXYxWlLQYi0OV3ZrLNf26k2WM9WyatU1HEaITKxD0PF3WeUObC1uCzcgVe2sVHa
1Oqqi41pl/mQDd1BO4M0HSFcGaZrxSuklUrak5xzUKmx8BNft7mQU1SwrCs1mkQvN+o4ldGIYVkH
vBNjr1vru0NnguA67UG+0OOQZSc47tI3gcu6b1AD8t5lCdD/tMOIRKVTTaPLXGVv/WDqDG5QYddl
iUcaBXPbBlrMhH4kZiywLhiqJi0nzt941udE9zmol1GWlnOj+1KEgY7J0BHtxmr8NNbQqQchj6+v
iAOuESkK1FzPkKh4bUvBYW34NvKEQKjWZd3PRQTJ+PYGFJj4Kh6q+gKiYfw1Q3NerrvEjKDWS1v3
S9HHvIA/s+GLgpNvNfKItAcxhIONBq5EwYeM9XzJAt5c9JT7RFvbjrMueqPcErUxD7VKrZl1SrLc
HBPX0g6iOGIgWOIdHTSKhwlpAnmY+VMJWv9VNWAmD5rKkPqEK580QFiqpntbJ4SlSxmHWaZ7R4pX
OOfkTTw1xSkOQONdpm2Brq3tybxOMjFWuutz9SnniXjthAs/GSlBse8bLLMjU1JnjtKhrC5saVCh
q5JAEsBlMm+i0KnkhoA4DkFKaxWCwWEmUWfVVGlOzZBE8TiW74c0SUMwZens3+emTD77fINPWOYZ
05PDCi3FNIDpG7OSgFgrRlNqiOMtGCmc2LNQ5dV7RODbVpC3mD7M00DTi77qWgH7EJIIb1pQ+eMl
BSEJgkY1J4cMAtDhQBDB3SppxViueD60U+StYcmSBmW1yXmJFoEWxspMh3GVdLrwMiQ6CD1tlqzG
VQX8JU/RGlJvqdeJKTZXF2aBWQbM9Baut8/OuoAA/zCQNiw0nlUTL1VLY7GeZNB/DpA0nytmITYb
hqDpNWjNwO7cmNFZl15NOfyZuFEL2YmLsquHr51y7UkzJiBLJCGvnS6mZmyWHeg5b2DDjqCmxVUZ
QkzN0mGVTVaUy4xDZLds4MBBME9nN0Qx87SOJpAph5WUTZNexClKj1pQ82c9E5m8yWzVO8irzH5d
Ewts3DKAQEFartJVYjuQQGZRmxNXlXml7ZQnfsXAB3ldzDyv1iquXLjaSI1fMmVhU/gsGevI2VC+
6eIgnjVvRCqALoO/g209Zp+zDAFra7saqWUIR+0dY8J1eo6pOY4rgrtVkSieRwlrYqfBmiKkIVrw
LWgLBFijCyqXwCEtA7ssEwPJEJOT6kPWpXG9lA5xrEHvwVOERtR8ICCsBlHrC9h8fYZqSC/VFf8M
+YsiiUqQHJatyOd0ZXGTNhrDI3KuxzBDIHMgnH9WHLIh9RGE53wYPsSiggOtRdri68FV9bmf56zQ
BM/yiHdF1R/EGSm+5SMpz/ko+HsSZPPn0pP2Kg3AFkaTMeIadz6IgSQj9GE0eThp2rXmG0t4ejDO
0pyUeJ6/ZJj4szDG1ug0NjTUjc1bs7S2zIooswa/mdyMPwqeg1xRSVOEeoDZn2JLB6NZSOY3RRbM
34rA9cdYghmI2oy5g6HMZx+lvQwvGKmySecIYa77lkCiENnU9NqlPT7iXsKe8QMk1/QMhybTsR96
CgelF++KJEBFVLSx7DUkJp1dszxp/JKNECzonhfoLC1tetWNQaH0aBvKIl6Wk3qd0BlvkmgQ00Ku
xYGEHiRqmArQL+oqxBDd9Rm9LELkUpg4O+xPBpJU46t5rjho2EQMXp0mIe6LU5EEfQ6eZZzj+p0o
M1csB8iYwh4o5Bgf+iJo0QCqd4Xw0RTwEr1uJ6twJFlbVksoTAzrZSFoc6aMVeVJ7VLRajnn+Eqq
ZBiu8TQl9tSUcRkAyc8qsExl6LPlNBQx3cyc5qicUvo1KYN8iCiaqi4GU8Rit7Q+i2PQ8R2Kjzo/
+fSjmF3AVl3Q1fk7N/W1WZZxjvLDOBsSkWkBVh6DRjPBjQkdmQD2uevjL56xjq7QUIfs0HijpNF9
WPZMgeEqQ1uvW857dAPqPSw+gF5YdDCJPBjmZR9y5iDqgRhQnYaZi6dvLhxRcd6BgWhB56tUe5YV
iWnPYlTk4VEaFnjmqwq4xTgsZ1Sjcp0OjZcnSZFTyMzPiUlOSc/K5KtpgzZcpm5EAFPOKxdlLIaF
ktTHw+EYe0ZHXY0JZdd+dL48Top+Kl6B7IzmqAU6HRzUnXXoOIb8gY3QBHv3sIS4Tawtmosygm0K
mQc6iwx/6EB+zQ4SK4EKw0bm43vVQ+pT15wPGSiZxFoJ8SfGn8Y4GMlBpXz8DXko3DioixxSF2VS
TERXMQJllMywmZeQSPVurWwv3WFdtsV0BPe88NGE+qyLRJtbd5GD4SlP0pz4mwBo9JkaY/lF1hOS
a6ymIlvjtoM6B6r6cFoN8OxREs0Sx3NkuACtcp4hJoSb1pvzBmRCupo8Rg0InZDWOA3gwqB8IqB4
0gqo9qjbRtqvYBMyv+Y96KVgVVDGooQOvbpw0sMxx6oEOZYB7bDA1nxCwb8T61fQjYa+WYoKYPBh
BkqugKw0XQlPLNGmTot4KbAcS+AgvSuhgqJirbZ8hPMWhxysXgN+8z0LsxD+SZl9ZxjoKGs/Scej
dhhYF1UxHsWqkVn+BgL/9FtNRF5EULvgKx2ObDqBLH9ldQdCiluaWoJiYNrOG91ZMYSgSFZCHeM0
gVvcSpR+DHAjG9BlkgIKImibV1HNfQFUxRYofUV9CxmxmptsBHo7eXPChtJCMJzGk4nmIcjrwxAi
axkVdT5DNYL3RX1mxxYKK0ypLDmBHNtUws1rg3TV+01xSG7wECwD0P8xKNii4CtmZpVGBXxYuUTe
pnHkWFt0Om+m2kfJ0E1yOeTpMEE2PByu+mAugUV3qblJmqwMVzYGXfxrUzZsapfbGa5Z4M7MkTWy
Vz6iiRNtAdk850erZy4b3K9BbAp5uZQ8IRwygCMN4tU0UUeioqilvFBg8+PjuQYN4Vy21Zh/lHwY
fRzVLc1xE7VA/tk7oJ45BYLQQo59jn5fGTh7+B8K7GadbwPcHynp55quBs301yrCVmnllo5wX18G
M+/UBGiVAg0UBFeo+5ME9MzvqTTISENQAA1wUCMG7W4E/1Booayd3uqwFKRb6ITbCA33Ci1fQFaO
Q9p7k/m6lW9/R03AfK9IDJRjyKXDo8gIB8FjI17sqgl+RCLLFI/mKiSwdZp0BcVrwzpNe6VJE4Kr
wUlzxoasOzSoxzlEIu14zBBJP9G44VE8zEj7OiZvE4nceioSyGVBKNoNMRzwEAJUCDDssmdDE/UB
A6+SZsVx72v/Ci6vPiiwvwRTXX9CQ8+Ok8r0a0VyuQLvER/mhNoVLcRnYM1O04m0h9V/kncmS3Lj
2NJ+lf8F0EZwArElGVNG5KAcJW1oGlIACBIcAI5P/ztTNUhVt/qaln17VVYmhZTKjADOcf/cGfH2
hTAe5/1I6Dlmxn9qRtnvkykAShOsGZc4ZgLt1dlUDP1xnDWfM6+qMi9RAl9ln3zoQxmdh8Dx67Xp
ZRq0RZv2wXIb1itk4l6KK1MVxaUVstmNkB5J2jedf3SyJec4sV2aEG13hNJyx/pgPZqkZae2iOmZ
TaEHjsfTH2K6yM9iiL51ktW3ol7gxYdENntKm+RhFAncOtvIA0uwMKZRxwesBaFnz60JINAsVvZX
wldLRrr2CeoebrZmagJoKWGLVbSUWTRT4C1dGz+WPp/TIijfeRLGWDBM5K6vnL4qPMOfVFeQ/WqK
9jUqGRlyijHp7PMD1NmPszdae4x8XL03ZROU+wo72S3vevYxwuVw1U5QNVVk5c1SDRX2feogj84F
iDAeXqom0E/1mgSXljXzlzBR/CXGwnjgznyAGlzls8Q1llrptQM2l3LOyFQacAJh/UUkMY5l/P/O
Rst6hZybe1f5YvjiLczsw5a0e+gKbl8w0x0kBruunm6WxJ/3U5Rgp7TlS+Lb4eDxYnl1vsE1CV8x
s726gbsK/SvBNTt1F72K/QjYKi1rYnd9NMorwwQ2RunKLNLRvvTbdpdAvT//+vH4n3rwgVn554Pv
7w9M+QEiCPDS7ycfqig9dH7BZoKNhDMr+AOPBcCDniNgOjGKRn1Ipn+efCjvjVAdxqF+wEXAlPcn
poNHiCQciA5OTIAw6N8JfuXk+9u5hyMiwcEM0BaKLk7nn889YkM9a62zwbnqCjfmfAxEzF4lhZyQ
r/giorSAaaPTH75T/4N8i3ZB/ME/ULnAjDwf/cQIlvkJLNrNfPvREjNRQnsa6IwyWB5gDTv/myfD
WN1UZZnQa3g1K8EgKvp3S9xhkzOi6+EJVLp8t4pQiLQX8UNPvPBl8b0GWqwxy7NvE0ySevLKTwvX
IAbihsopx65mvmrSYdZX5Yj1pLC0uZpJYl0+xJiA8n6ZsBU4GkXDyamxPSfuOdKjB2mq7BbpYKD0
5OJqbmwqZEXFLo4a80JAIH5LpnUp8qmo3oegPA9BALEjFUsI65+OHljiWtS1zCWFw5y2y0odHOc1
7rJk8iw0h7DBeAknKsaB00G/gKuPY2LCN+C5CMh8j01hmXOIQRW8j7IkK+6nFY6aScwE3WnsE9xY
YsgXb6Ef8ApsmitGvXVdkkvTrt2xlRO9bmumz92owibTI1UvmO6Wu3Bo2XtSJfNnLVbQmQGuHH8f
j6JXh2jw6YFhyl5gwHXJjsi5A8xg6hEooMUOzGHA361Fz5rcRc7MqV/aqs28oageLAsGl/PgkbUD
vt+2m0mUTmROaiiemiRHYpUMjhPz5uam46bDQLtQ4u03FGRWtTa7mgdqTTFADg9TUDpzLk0j2iwI
kvJRsbhyu9oLVizRBcyfjdsK0oqt/aWol2VIQXcpjsVR6jJTXgQYJpAt29YuV4wHXHnhZ9XU9EQY
HYssNqsXpmLsGU29x6RhHc/iNcTmLizWeog5RZElnVerTLnRAcINiqTYV6Urp5zROvwAF5pDXomB
eezBRdf83HvDtFzgsCVj5i/BCU8F4nBmddFAKh04tpyVkwQ/Z9q+DjT6RtbOeimnmvqZS2jBsHjI
8Boqrw9Ny0KgzKao+BKXPPw0JUvyRDwqcIeMxZI2EH7vqxDQi51tpW+HGR933LNqTB7mealKfB2M
WJh881Cd/mvO942Y+ufz/ec+7L/NttuLfz/hE99DozfiBSxJPPCTvztlaHAIt2ogAH/AkBF0wNT7
Oyb2z07ZFk0DMoDjGP4bwEn/l054VK79fNTiD0K+AtVfuEa2lpzoL2c8g4jOpfB3nHgTlrlJmyOk
x0trivmlCdbirOKu+WQmSb6QWJkL/rXL5wmXz80Q0yTrJcR2NlXaAjDS9LHH7npVAB84xrKOvsVr
4Y1pGHX0llUUWxxzxVUMhf4smnEBdh9H+4WMywcyBHJXlYH/sWsg6vjFeNOMfpWRpBmLvB4WlS4s
TmCYdMvXIfasyJpVQ3j1ApFciaaQwAI6W9z1fiMw4nmq2U1UVmHKZqx3Gc6S5DzV2EBzG7Wk37XA
DETmvDZp9pwILM0FtB8M3U0fpnRK6IBDcqbQfCYIYx+C2NAyg6cHIrrknn4ZKGvGg3JrvC3ItXcH
b6SYs6Y20G29niqSqyJ2z7ahQ3+1iLm0OYB3mNNlr8fHROPSTXtasYe+RPYnFdCxnipWhXKf2Ip9
hebreGqMpcOe+Kv/bukESCONTTfZoe1olntD5qVPE0yjjy4oGky4kEzOfTGwKJv82njgWotJ3YhQ
M56WgChe48G6RxBSe6L0nCaQMe8rovzq84IBHK4+W73HcSngzZA1dFkDcupRzsIInJm03jV6mu86
aNVXep5Vm0JsDJZd34TQoXS4XubJ8uuRgJ1dw27MHDaA24auhdtJn0Oe00QOrzFXNoBY1ptv4zDb
e8kJ59lMVKEP/5soF7IC2ZCExWHZ7HralfPNClyPXWxtabmf1SzbS+C3UELqSLcr5uY/VbouKPsV
/4YNCitUvcwpFDmOY5KqtsP9Xq1UZFI63Zx/U+/4qvjOn0yz5HKeC3tq+iGyp3EKwmHXLpG/PiXe
5KdmHLvHqBEdBb5bey+WTUHzSTWtjjM+StrlSRdH96Fv6SvMFMQP/N4t12PnxWlYefo4cRuZdCU6
nFK/EkGUznEASq4js+dfytrOx7l25pr2MTstVc8OJRskZGjXvbdsYDbdAM/3ZCn0ey14eztNTj9z
Xcl4byriD6CPy/hiCydvI1gn8B2WzqoMAatZ5WVUqCbVtI1pasDr4D0lNeAbSGOukDO8PR9hiYxU
Lt7NNinB1YhFwhUXLsq5XMLjbBuGdULa8CHsY3oVYO35CnZnvVWqBPVJOHafFu/lr33hwP2FFQWg
YWDoqj0sSCDbDr4FBqdQL3mE727GFpyaGFs6rzsFrI5PgA+jq5HReKP44vCgw0K9Vw1ExyseDNWI
oIFn7zEwNSQNEmfgAdaS3E6sal7/719qDMc7wi3/7kr7+flxf15pf7z0+4WGhyL5QbRN5THgxk2U
+f1CwzIDfiMAwoHZHeQHxT7x+4WGW8vHWAUWGY8VgeaKr+Q3sQYPA8OSg44PCl5ja3eNf2VlCbZd
6sfdYbtPsVJhLwKdh47Rvyb6fCDyZh2WfUepuFs9wT9izcAQbefEFAeJSas5lVREmY7CgdyojUCF
row3pXsDU0U9dFfhRquWb+Dq/AaxAu2FdCzw5nY5Ig30dgCFfxsSz27y6HBcqxVAbLx2FWzdN1AW
8i2gWTM690A2ktbbmFocm/IhMk3D33Vh1e28N/x25bKrM9UP7hCGi4xy0MvyyZVK61zBkzoGlECz
mMgKZ98k60mC8joyQNpZyBZPHXzhBXIfRxWDU1PSeMzolmEsE+T3MFl7/bx9xkFwqSagkI1of/G3
/M38FsWBQ4xYTrAldKa3sA57C+54dgnIaQ3FejNvyZ52y/joogI87bU0V1sCaK5i+jy9xYLklhBy
k07YkbGBYOyc2AN5CxMBqUGwCGqveVgx/qq09b3qw7hlkDAydXvtFf29hyAjrFpklZQ3IbY0Ine4
Z4EbXqot1TS8BZzqDnk+WNP9NVwZeVtvSagFrI5Ll7eAVPgWlurxYTgFW4IqABD4grfq9K3Azf6i
tqRVBQZjj/jJ8ty9BbGs35QIZW35LGT6zCfdDavYBWCQcYGqqrvhUJE/jDXQHyDW8U0kGKZ2t+W/
AGKU10UH3xLLwfSlMMF64kWpnytnIoUkZMFutTHFnSn9sTjUTFmTw+Luk5zVXnilQsFebSHib9FK
+Jgjq+LpXHJE1mD1uvLLxCcEHjmWhrzCbaKzsk2onw4ln6B0uQoxwCTMY9JiEQGYz08gKFt8B9Xg
P47F2NyVibT93sAbSW1QwXut5OwdHPgMc4xM27+PJucdWlaVZ9hPCzCJuJt9HPhR/NTwTY2iDR7i
APaAlTsf8Ux1pFh099g1V+x+fkk+UuHB2xriAJetXmjajrO4xjXJjmo1IF+I6y/CFfNDAWtirxM+
PyiicBFyM2LvE4MwmRiX+aryLCjVCjTAnai4hBiGN3UFXjAHL1OUmfGn+VNFmb6CpThjU9ItTFpa
az/IFBmbbMCcCypgLkeSovxRAH+dOvUcbIi7MDgP8iL02PUc0+55JmOIXAH/1jZafgr5gG0xgIQL
010p6JNBAt5/P1N/TMHFT4dFlRakZkGi9/DNqyZfGuc/Y5YMXyabhPetBPOT8lb08PMWcwsSEp4C
nxV7VSYcDv4EbyvHCB1BL+i1uxmhakSHZV7wl3mjWa9JNMlPXhl6d9pShHVhkqt7UpbdCbd4eOkQ
gGpTMhTEpFFZxO+aQA5hDhaFqx2MNALid+3uVMLdTeRK/m5osLdnZDTkVCJ5BIdp5XOerIvOHQSQ
VxZ0UErg4E0H5HhBMtie+XW2RLNd9pujdepAifQ7vMP0jReW/iPG6qpNS520dV7xFZDHxCxI1iGe
jiROGoqxc1JZgZ/bnRhBOrVNuAWdl/ojgQySgkewd0vJcBrNS7Ev+liMOYxZ8Yn14JuzzhTlbhXJ
jNQgIlEuR8Ym3K9Qjl46D/oAvHkewF9PwDlnOMvMk6txQKQec8CcxrCu7SNVAQH93+kPyDTKvEB2
YD9gm0Hcap2eEkHCGCjAMNx2GpTvhdd9SHYeco3XXoxAaQZhSLO99TzAX7Xzu+nYG3/50CGuC/eJ
JRgvaaPKK0C0+En6K+a0cxEm5QiVe1FBHhUievWIa+5cpaoTvtQRKWLmgdGZzJaPdPMwHWPbdwcH
D5TnM06yBsc8C6HZCwHOugj6JjULZjtkXAGZHKcmjMW+Tswsci+CN7DHs0+lzXTtxm9dRIS8MIAl
9CDrZAQtjLQ4O/w3zDxQTTjmg39e4396HtyPI89vr/w+8tA32hUqLKJZ4I8gq/4+8mzbOAIF28yD
h9mFeMbGnyNP8C88zHkjWtkWskR99h8jD6Jjnu8DF0HOMsKv/tLEA8Dn54kH4nAMdyqGXoxfi3n4
F3uKBkoEvI9PDgigyapI0w8wm2CYAA7qbxDvlyyrO7WSqwlvzP1Q0SBrmE56UCuhgQCF1WGTuUDA
p1zytTqFyYoPKWEjCYC1yehm9pcuI21wN4RT/RwgjogFosBVvLY2yeBqt4+6qew1XawoUulI8K6F
skawQ4OHuMWY0D+ME473q6on83q91i0oLg4z+IyNjqCKYEE+/8sCGXMfDys5qg52ySVBycL9hCxC
gkg2Trs70i29Ocp28vIqKCN2ApFuDxNphp1FTo3umk62PpJfcfwyuIC0maBC3+PEMPitfAUfQMLb
uYgTk8WW+2IXhcodnN93N1GT0JwmPnws0Fl+2B1KmZRnj3e4TwlQVBsXKcI6/r1eR5aNa3iL47DZ
+bhY9htGdFKTxsjh1txiO8tKJXQWUmSPHK7zwVhIgA7zGEnao4R2f4EUXF26ljyFXnWoo22fjui1
RVJiXwlyQjat2MEly30fdnqTLPKI87POZA2OSaEj42RALO0AqAByQBohGM2JJ/OnZCBXVk6oLWiX
vHfTc4lnxpx9leBg6Jpdp83t6HdnOiIIkZDxIJvqNJKkz61d67y2YR4sGCeUVvP7lrDlVsl+PNUs
kS8ReI0iL4Iq+vhGwFFV6a/w/NXnjjqyd+MC5WFYx/PQ9+K+JJF8l1SREtmKhzqQswAjslzg9GOU
khHKKlLDICkRVs9pa0hdZz8ycb0BSbMvTNyfKt849ncmDnidOXjS4HrxRv/It3hBjxQgEi0uOkRu
smWqtvWUlMq99zBOP/mlrs4labH76ql1F/yrqjvYnwRMQh+VbVqzRTfbVJXsl4H7Mk08AVRzRnND
neq4rK/7WmGy6KgHBGKCoiYACTdx2q3Ai9IuiU2+FLRHYQjGkqSX8xFxO/I6DP1wj6TDkBVCtZe2
CKBJI2Y2HnuvQc5BRMgMS4fvBIT/AMFhi/ega/yzmai5x848XLy2RogjbMst/KuPBcIpDwUpK4wV
RJEbLVv7GJgG41Kn5iyJRHJsRN0Hv/F5kdc/rPOqzvO82ju8iaIzLNIJOMtCUr+Do2LtyHbeortd
Ncdy70WBfcXwBPiwmvn7sq7Cr2UYDv2163FJyj21oR2BBs9Ywh+9KR4tGEiyxOeYJ93eqQ44YrAL
jUJSZZ4xto2hAFuv+fsCcnQWVBXLfB+XLq9BXMIRChAIRGkFCJp90Dyq2oXnji7VvtJ+D3u4WfYz
WJG+Wx/U5K76csHm43alGvLatzde3x8djF8Q5uqGaGaOdW8jDBSsz1ZIkjdtyIbrQlVrDinjAT/5
9R6CCuYOv+rBuqxkN0DlfzXS8qs2FOUxKpbHcINzqCw6fPbl8DU2ZrrTEjvi2KvdlJgbMw3hI7pY
5DcPY+zrNFcsj2aYCpZ7qMJYpHgHdaTFecD8S4Hczic8+ppXwDCL7thNroTuaVpwywrkU2eCE47P
/rwazPkJDrU95Eep0qGx/iOmjSgjGEIOyH/K/dKH8YWqJHoS89peg9PnMA6m6AX7QrePwseJo5lD
3EkKygwaF9vxobojle9umVw7/CFSXnzBAR5OHmJSUVC/i6sxupkcI+8af2iPDX40majG4hhjnLzF
nQYEUlcoe9EsCFJIT+IF6xYQgpWMObCu8F24GLARGxrZrMgGAxqn60M5Ur3rjKwOwchRnOMQnnxS
bUuzfl74vsPb7BBOpdhj94L0VAty5ffzfBUYBxtQi1yYBow0kzs5xTUOvRBFLlKTqzBx8S2NSXMg
xnunXDenks5fhxIO2yTV0eryAL3utqzEYy3ma1KM43kd/PqSKLkeFMUS7bYOADFbuW893maFTsAs
hG7YM+LNGN7gfQP3xAedrMBkGQIcR3/hZZbIccm7CDjHIMpnAe48Y6VlT2xpr+D1Yh8xS+6QiGqw
5mxvxcjHemDWuN1P1tYady5BDY8ZS3au+z4uwBh7c3GjJlqzvIlE0ad2WkaS4y1GP0dsrk+lUZqf
lCwi9Uy7cD0MBbjLbOzEuIuGITh0AEczNAPZSyj95OSNy3oZo3lqHmdGEEyTvK9QvwPtzkdSZeEc
43MkEPJFmu9rTQv3LgY6fj844VhunAdlYiohTqdaO+Rh9dCO03FdK2vzuByCT9AYkmsEn6s0dBF7
Bb0vZLaW+CzcIFyDu4XrGEFk33bATgDin4aWo/4k6lpDMZwg2IwzgxRX/Wy7MA0DmBEpLNE1Sluq
I6B0ZY3tG8xQv6/sUmP2bfA+ONKiFJ8aNo+f8a/iNNc4rRswtsoBZk+S8+yjKCJMKAT3QM1Q96my
d7RfvxKtHzoZj3ALl1B+9sYGc/w4AN474P2U3FeekEcgclscV61tvsysh14MDkfveewAGtYlosNz
K6oc6FuYT23MHovZ1tG5caz5VNSQU1PgmlBZq7a6mRE5ALBWidT4AUooPCSKYS6YGmB51ZRHfwqX
oyccecHIqI8EdTvPU8jsi78qczeaXoGeXOedvxbzrZsC9+wtngNf54W5Y1PsDqoGVRghJP21dFaf
libCNYzf8+ShcOZqbg3enIjpf+ZiPhKkKfZt41D+8t22/62g7Dff/nu71h/U2l/+9z+1cyUEdvHP
S8L+9etr/6n6f9mnVjn89/G175Vr+gUe31st2w9ox/YnfV8aQGnAnttmfKiLoNr+XBpitH4il4Zm
Fg/cGwX49sfSwP+1PTUpxOmFdhYPrhz+uN900gTPGWEb1LZFliHy/FI/RLiFin8iLLbFJKQh/i4O
ij/G3/MjYTG2USh4aXY9RL0BMtccJ7dhF/ABdw4dy73osKweQjx+3V2xJiBfE8RGiwzgc7Qel6WI
PrO58RD0Nw5ThpRqeSrgFvIMdN1wGXjUuuPQkcV7F8WV3UfziJBSOg9uFLu58q6Br2IjDuZKPvsi
Xs7DtizTbW2mzRy+mmmVATL5IA6wTYjwqez6+K5BLWC/XylokGS5DNKPEQZIBsB32K3himTTTBfd
pyvYprtijHX5bSSCmjOgam57FLN0K17x65vx/03Ck2F1RTvtv/to3Iq/Plpo+yz88cLvnwRsz3g+
DopWI5SkJAGqUX5fnxEWxbsPzyDHQYw3I/vBAkfPY4QI+LZyRyhFeXuC/G+fBLS6bylRvApvYiT3
vV8Ki9LtL/n5s5B4NMKDyvCQJXwqozca6YcOwHqaR+n3OvNg1CHJgyEmxUIp8yYmyRPbkIoZbEX1
RllUjQJxsSR9eG3fOIxZEDAZIG/AZwAR+jZuyMb6Rm9Eai6CXfRGdWCS5Meh9E/LptFkpg6H5ULe
WJD2jQvxAnxCUoOnQH1A56CecoDNRbFXFSJZR9v3BsmTN9JEAw2o0yVETNWufs+BbUYoTiqjCfE2
v0jgYTZo+Otzh/5FKJI0sV98qpdvtXHDg3XJ0Bxqor0HLl3Md+idE2f0XYBd0m4rjLFIErRXyYq8
UgogVqnjFEzIDjVqAOFdtnHYX1Tpr8ehCBHTjtpgeZClRLJhAieKHgLgNzCbOwTWZVGjdQa9TbLc
NfOC1Bu3+dAtCzTCyO/Kd2LuRofipVK8rCoQ7wIxRR8bxPVY2oTDegfLIYAvs1BMYKEW5Vc0Kbn3
McbvD4nDRGQ9f4QS2xLQ90XNsJUr7hBdWGMY3pIzyMAxNpkr28RLcpin0EdGrTL6CZkQ6+9U5+jH
Iem53pcL4YcIZXn3ol/nB78w9rngVrqj8pG1S7lGVD9D0HhtsliNYYkwuQkgGQ/eBOW0suiCiTCJ
4c+fi6JCLeOAJVdgyj3AQGIPlaUI/4R68NezgNq77L5z+au3mLOuqF9g/P13cP6qesDCgCgwQv8T
oh+JMb6p/ZE+fsf0OxTjIcU1G/o/YfqIB0EkiAZ++7+j+rhCyJq6OJRxFmzlVcCr4ttpQPNE3sgE
GRO8d9B0NaP1ZMhQrDHk6B2qOsR5IvRiMYaIwy5qh83kxrb/IAc639i3Pi34W/YDsq3mqnrr28LT
Nxm6t956uJBeia5JgCTr+tbT5b91do1ej/4uFm1dXvjhYaSa3NzgQ1svEJValGzUoPq2HrAVz2wc
YB1t/WDhVhVWbqVhXdx4NyKwmA+roll20VYv5r81jXF0jjURyscgSqOHDBovPlrRVk/WRm9NZSqI
+iPwRYhCuLfYa8djeaSobbxa/CgYdr9+t/yH4rGbCvnPI1X+WqFP9p9KtrbXfr86MCrFDCXdKG5B
Iy2FlPb71YEHTGKKwqWyzTAJymr/pKfwYBYUCKDWBQPWVquyIVe/XR0RnjiO34rJCl12KLSIfome
om9m8g9jFN55uH8guUawwhMPbTA/j1EB4oo27MBRwLG5CTTn34BHgeFo/MmhQ1W1E8gGbVEUpJFm
RwBTNv5Dv9JizrXlyDN65fg+8l3gpZu/h2wOicavjYlkg6iiVZ9gOwZIrmPRtFdlMa+IpNqKoASq
XNpHp4FvpAWBq5SCHH2/6sSiAgsW3hMsJ7HnrJ4avInjsc4w9ycawmhdfFJolKI7ZQp3ET5hLCta
ik7OuefIy6FISV+aMQRrKnvRGvh3fXFNEBUGgQXiRqIexV+THQYtpAaXKEiGFGQsDuAVU+ZJtyOB
JkkS76opq9jP63pEgYcdoCOgxkRJk00j9rVDEa26PziAt++2+x9JVGuAl/qinPFtQmXfe39qIJlS
BOXofoFHC9TSDBbqLcpmUO1JXPsqFjb2GYpPJnzLiwUdSwSjSE4jHMK7oVMfbADqP7OuUBztovVw
9JC1m9NGIIkPFU3Douti5NR2SI8F6y4RaInJjEbsGXVYFcpswd2/xyGwIkelOWkvckCL34avGHlo
m4W0OVncu34J2ZoOo26/oWRGNfk6lfjaW8m64MYJCMvIkso2s6XxTgz9KdN7fDXTvdX++sWP6+A8
iw59PONgzQdhfXrtd71ds9Xh4s8CIsfHDpxCmY6Cxw+tCJJ+5/st++BJ7k7wXsOznKG/HVB8wb6W
hfe5QWMMCKk4mHJkQ2ibd0hjdii4CRg6bIjrPhvFNzMPptd1xUKN1gT0enxcULvFzhZxVHWDVkH6
TUeDDfZAhbmBa8W24BjnaKvRpi0eqmT1m0OnSOJAAkr8IvJVkP5jViOSrsPm9D2HhcJGaABRZBjS
YetckrSaKATEsFREnxIE3k2mPYfQn9igKrw0CJ455ETIr9AptoaEGoUEopoxSVA538ZlHPwXUD2/
NXWHAG3++az96ZkPf19Y8drvZy1HdmDbB30cuQEsrS1W8HtPFpBTmAQ8hM+0PYb0T5cr+RcORcTx
UaGFV/A33OaPMT0E3wp6CIUuGBQ38vUXOl387XmNfxnTQw9lv1iOvXA7dvGF/7SyloPuw9rb0WJo
dqhZKK9HpVqX1RBiz/Dk0SoQ+tVHdIAYtBK4IWl2RARwsDizDh0iJECUGrpVl1HHa3yU8Vm+d8LY
lxnRB3AhphX2kdmIf/IMLP+McVJSICRzWZymoUpkagJkGvdTTSDbOOQMsDkb5Y1XLWLXAn14kwFj
UI/ROqSmh0r6iDOwCb4F8zSAbm0Gu0PV8nB0BXzB8+I6vWOEo9qqtbU6jn1sToxX4r2sauZdLWGI
QqeyKyb/hA2+WC/hqCSKoSqNsNFe9CE/VUlczQdLsMDsAloKuhMNIAYYIPEyXlfGsi6D2LCWGUSp
WaQNKru9bNQAwT8mjiuGXPhApjtXqzK5MZC+8HEeR3j/dVVVRyE8OCwFLJV5L6SOkIA1CuUc6F60
wQlZBv2ACsitO1BbEWSl7hRqy0qgotDjZPisYGtknW396v1kvKnKO5BO2aI64JNJ1dJ7aKY03vXo
UUZtN1RnbFLNynZVm7Reajt/fEH4uTvV8dbEUrSIHLjodUmCetwVZU1ZWiaRDnYJiXDpluh49FMs
A+rBKU6+BWOP5sRKeiPCC0WM7iqEXfHTD6FK4Nwx4467YA1uEe+Kjv6WseeR7k4UOec7HxWt+xgN
2j0KLhEvzgI6kr1uBL/Uc0iWHPUwpdovRoBddhCW8wFs/b2t6vl5sMS779E08Nn5hfqKZnoOdl82
4TNaFhgQAbxl9gqaKuDEorxC9hAkTb/0ewp06zPvbAWbQK8uEz5FeES2MD0yn2t5QADiHTCt5iiw
XWRaiqeoR+s3pygmQ9CtQnSrFPeyo8U3yrvgmvb0ZercF+111TGivXw2Uy2zxsXtbuqxh6J/pjl5
tg/3EHPoqWzkJw3mJS28hRzX3r/xTFXf8bBccsQKvvAyrh62v5Zr9qUV9Fq3eMOXkJj2fTuoC6nl
16KPvnR19QTKVJ/6uF7zRK2HvqUS0FQF8C2aSqDUpVvFuVrhKx/aeZ0/rtgGDoEt6nrnrZ1/58ak
OCF1Pr0gw4KO7bpE3qNg7jaiorxoEVdHY5NrtKtEfTpuJYx+S498Sf4/eWe2HLmxLdkvggxAYHzs
TGQmk8l5Zr3ASFYR84wIDF/fCyipVNI9dcx037r1JjOJqoHMiNjb3ZerXQkZ4mCZE/gTN2/a5xTw
SQRuolNLbFxuEyfSg9SzxqBuNf4a8/ixqFMtEI3BJ9qfs+yW9by2GTHq7bo5GrZxB34l8mOEo0JE
Fzkot23mjd21jNvnAnYcurI5bRuwCwCHHU97YZAATm3al2Lwp33nDeO2nJvqKXLrfA9SaR/lU1j/
L1ZR/6+NC9wPvNR51v/6AjsNb+1/GBZ+fOUfo4JJugIfqcMFBvx2uR++X18Qr3ns858Dw+V6Y+f6
Y9+KEwPzBCZSg6sL9LXxp0nDw5eKN4PTEYgYsxsVtf/k+nL/tnHl3uT3tVySFr8Sob6/uTTGmgfl
GJdBIqv+i9c2fbiB/fSALhU+YhriHLD79qWMe1JmDtdZteOBzWlP9r5+dPU2v69m0/kMIVx5WzNp
+AwReTJuRx5hyA1YBnfc6uNHnE+8iQE0+mpvh5nTBHC4YwA0EJV4ZSXedKpdbFS34VzpN6YRee1p
iDAAblx01/k0JGbRno8zB6pf59klwOo0gRo49a/LTuNjmjW9OPUqhWfg141v7HR6MsPDYCa5thVm
iAgcsz466Qkf1V2cl+PnaI3VnZgEsAY8ANUz/tFSnOFLyR/zoQTcZXJFv7qhV4BVKrAtAMEIb0NV
Q2kadFi/e6o2WX+AA+mTbW/o4xvbdeyyWRKNW+nNLWOQEwp4xk6j79xMs+HuOG1hHwuRIQ3PWM3d
rVeDypBjbcmN7ZZqzxWg2KYwI8zbwapLfYtE678AhbCJqnHf3MWumVy5aIbvfTmP1UU0ChtSgGrV
RzlpZkRQBZ/hMfGVgAs8Z9V4J2xNJvcgKfzyorByxsI+nopgjD3/qcjc4irtpPNSZlPFisS0L/pM
pxij5duCaX14d/uZKLWmN/aFrEz2SSqeh30a5fUdu+ue1Vaf7q2qheoElZFJQyMDl0XEPFzZ6WIT
pt54a6ou3Rv4CF49QFPHLmnVRdcM6V4AmaSFQ0/JvCheC6HKkqtkztMXy6vbk17rzXtHf8mVU9h6
MIz8dRIajweoVSqCqxja6XGWrRj3CjfiGHzndahKqHrf84jYT01WPLbWJIeAdGF8MxDOoNHD1wAB
g0MavH2XFA12wP8C7ihzPfmcyHKceWB4EB7Zyz6YldKmq/5/EDz0xg3hIiFWFrshEcmDQonWCMSX
4HD4l3F66dTV8IYDiEdH6FIcUSeYuQOjHLW7zvTGPR7xBFW3qL/2hV6coRHIYxuyKKKyZd4QutZ3
7I6svesDrBEEHQJS+eF+SD31BGljvCbZbx3cgvFlIE4f5DKZXl3Vh/sUb/BxZHTDGNKY6UYwwF6S
mOKHbiBUNDRGdQdJTjzOhe5/m7AN7c1ZCwnTyOyqmcwQUlXZfSR2qp9/B4Y43hzgIbD3BsUfXC7W
S+P10iF8BQBD0fqyxCcc52VooyJ6rpUT+ufd7GCv0MbM+la7bXaCqVndevBCBfjqClnWHotSXs4Z
HKavtudk4QOXsTftszrBajSR9q14qHagQ/yw97xdCLqVP4wPJTFoagfsJjgbYV5GoeG8RHE5u9da
OM1EOFtZvTkg9KotuJj8Q8o6O9Wgz044tCLjlIsxzXaqGHy5tch9AcmHFyWOfdOCKucHprWG7cRy
XZwYqO3+LsN/dd4q8qQJmnFyXrmFH/F+LmQJMNpP9w0It2Mp9epjTkvtBVgzxMUiHh7tIiYW1dNW
1JIf0Xg+sYYtrmqTWX5n89EtAjOxrKu4N1nwy8wYTlCO8L7U41AP1OGkerxhup6SIB+y7DIUvT3v
9RjOUYe5JAzWG+7fIKaiTP6Xy/yBu/z9P9zmv4+yyxd/v8+xVuKpxIdJmMvVfcv9Ybr0fzOYK0mg
oBCZIH2XsvLfcyb+bw6lEvyMEJi3AeA73MI/xlHWfuwCaZZyqJxyKZX6B/e5WJaIfxlHybEQ2fdw
Xfq0aFhiue9/Uo066NC1YRicHpATNlya480KYsRVbd9zvnVBP9rsteKVxDhYqv8ca7AYetgbB9XM
xV2Lu+Kc0KS1SyrHYLr0SAqWEDP2ejE7r6Y4OFF6LUilnE+C925LnmUYcY3kTv0h6Re4TTHnwKR6
mdochn98sIz65Lr4ajKCx15+oaXQ9MpadwIDePFd6ksV1L5JOMP0OVLbwjoUEfjSWYX9Ke6FvEty
D0RjKqGRF1Grv/fGuE/c1jwY2WxRWWXIy6w0DfxIcUlERi2WtY0RWeqehEp2KRsZ3leFVlytIEiX
yYLfYEnHTfKeZ5p+Kpu6xpTngUPF+2bABGrSF1lXNETNulG525UR6fkVZ64v+5PdDc297ffIDrzw
zqBeTnGQeH2zYJb7M1tk+UMu53LPxiCwCi+IUz0/S/rGaBluMBRhxOCjLfSmvYT50QV2PNUn+P3V
hc9IcqO8aHyeYbgElC7p55hPug1rqmYJT/f1rbZku3kZJPf15Ic7ztDxCxspOzC4iN7MxnHZqToJ
ID3DmW1mQODTgdkRGdwUqVd9HZ2ciwKA1BeCGcmztKuOKCEj7riziPIvsl06PubCDrHgSXCQW6m5
rMowzHLND73W7BxH1hdDl6e7OiUGmNuVv21oRzv0jIt3tpa7B8jJ+WNLaIu2BmCImMGxatkAGIfL
yE6MTxHHaSBD3Ghx19cfpA/AvG3yHBMTOVjirDetAcUxiBuuadoBDB4XWUbGfVM2UV7srcRkm5mF
7WxvC48/W+s3sQxaM3HtB4Wj9ij1UWkHWppEu0NUw7rftIU8EB9ro50XA7ZnZGMq3EQiytitWo4G
v5uKrKto0vmpTy0pP1XFO6u0i099GCb43j6ZjXvIX8mtcnUABWVXlh+UuhjPI9SddDdg2vHP2T3F
976eQGOYW2lctaYPx5yIGK85aWlvnmXDQyAqG4VB2RBXrQAR4513jbTY9VD6oDLog6fOm7V7opLU
UChnMm6lmIqPDsDvyU204kYuxRU4l0gzEhZxP6Kl2ALC1j2eXnmtEtd9dtf+i9AcM9iBWN+uha88
ViFWPD0aLIY/c6Wseu9aXICJizsrqOuuSq5dVuRfG7hW9XkDBO82jWuDVg5jjt2TM2S8VrZuRhqT
tggyP3BZx5hvyloWYOV+DXPSTQlPDXqdjjddChRH5Rh3gxBB4IskBvFg+Gro95k/2dWGggxanLKe
aPaG25INkT2OtXbeNK51lSWtmNAZ/Ryjldbb1XW0bKzStobA19HPRdeF1ojPYl1v4RVk1RWua6/q
+w7Ms+q8PMvBxe66dUOm1m3Z3PWF3JOXc+MNyl0S0lzWsl1DYejABY6mOpSi8VHak7B9yGNrLoNa
t9vnHr7H3WiUeX3hFX3bbCl9iD/sTO+6bWsMeNDdrGSH5taqginZ6NnB64Taz51JuEXkH1Uapaek
MfUXEXu3uIxxHWd4b4nPvfS5uhCzdhlZOKYiixseUPmlSQpsMxkUnrFKSP1gVrp/8CdyzBtSH9qV
5ZK9UIJalQGsGoTAxuZzm+fDyGdEhPd+q+bA17L5YE9lfueqDhMW5gOeSfRzaF9WPLFJY995JORM
50Xulkdav9rykBMc20UkCg9paozBWM/tpSJvfcqrhfL6E7YYSCKexE1bKP8iq0prS2q83fMDMjtb
QKsEX2VeHOeoMTnJ+djnlyvEOGoFkpHD3PSZ89n2eCJn9iv7iU+3kg4A1cHy+U70OFOx15+lvdVf
rFzjcZjsG92rpqcxbPVTXvuSOPHfAcd8lwvug3DA/84Vnu/LyRzPmGMaEJVDDX8oxAm5VUOD+Xvq
8zwKpJ64dwQr020dVeSqPLJAKO19TMYy6QwQGlwxT4KgwnvTy+bguLKK/kXWtf/qz9m8Td/y7tfP
rbV4+m2p44S0hn5JkIXFOwP7+nL6vj6xfxPgWlmBL4B2siY/kYiWf7U0hjn4wJAH0NZ+PLcsTDrL
F6DWs1XhRfbPTDp4ev7y3EJpBTfPQwupV8dO5/LH/vm55f5BdNf1pvYu3JnLi/RCIbtg4lxydqHv
KTJgPE2SM+K//YOIxIDOhBw7kxG002kf4bp5hSI4PIM0rT/bkNB43mny4EENtbcGc8plYUxGduib
3DY3SQKOC4R8UX9rE0LPkBsUn1cLStDBhOlq39XOzM+iNlq9vktJvT5aqunpl2HntwGcyTQ0jF4D
WFmXc7ubhT5/lOSPL5ocVtvW0LzizG1G+JSJoPhyO2Yi5q0yTfW8Sbjb3iJjEW3FlCDgLqohYm5f
gepq+uZRwxE+0HTQvvirAEzlDp/seNGFXeDD2iZZ5WLWS0N3ztYXGRmfQ/w24MKGV6Y36muxSs7O
Kj8nixKdL5p02QtyguOiVLMtAjcsVwHbEkJxf5c+ln/TCwVs+UXvjrO2uHIXOc5El4tXhQ5FE7XO
X5W7cFXxwkXQi1dtzzNn1i12G0U7ooganUSomeluMlpFo6D0o+6ijG1vj8vfEy9tVRf4lCmjNHc2
W45dJ1pde4PEZ3zw3SDUMllj0p8pS3vNIgIAU46jfTMYOHxYrYzxv2guY4D69ZL1y1vx+R/XrH8M
Znz198HM/Q3Lg00boCAKJzzP+bFotX7zFiAAZwgf1fVA+DGY0f1AdIpGCBrOQMSIn2iN7GBJ1FkM
bJQOurZHC88/GMz4vfz9pMBehFBocvp4HBgr8eanwaxvs84GuLufajYCIFAc0sDYxDy1iZeQ8OB0
mg/7XVr+hkchOeIYq+t5YRIu9qCYSGa5jgxNCP48EQhKdpoYr7w3yCZbhTueq2hJLIetryjgAav1
LUuaiTJAws3RzD91S+CZ7WR3KITunjVLHNpTNsnoeAlJx63vnrzSs258cqNREJtptQ8jHwXQX0LW
sS9Nazt0Rkb2unB0rlA/ObfS3DJ5oAvwFz7Yq1dqBayrZtRzgqFV/1X3vIH2RDwqdPsWBqW1ZWP5
2dbX4+JISS3iKIIZb2pX73ahZiUXILYpGgAope+jzEovCQuGNwBTGS+sOkne2KmoL33Z19nWLjKy
ebTwfo0w5n/2sHA50nLorhg/grof3COmT6QpHi5iS0IQGL+FfhPoXW9fABfuzyycL8WJ1m9xo0id
XIbE2bSDr012c6apEXgIIIAkee7Y0LxL4q7vvO2WnCxL0E0Oi9kMcKB0RIX6xhm3ZGe0JyOd5HEu
2CSifYrowwxt94oq2OToV315z9O22yZk+890yfccCneVEhPu6ZLIDuiDQGdSI+/uCtctPhO3Ri/L
Fz5NsqJq6hVbIxeCjb6wbIaFauMbpn9ZLaQbITTtwN1oTmSlFhQOml5PTSR8nDQZil2yQnPqhZ8j
YigGW7lQdfA56A80Oi6z1qTm/D1pMu8jtnv9osVgDWZ4kGCBQmPA0VO0fmscwcmNtAqsUB+NxV2/
7+JIfE5lGT/4C/qnWilArTcPhOUjBHoMPwspCOXZvE3BDMh9uLKE3AUrlK2EISyp6aMaoLpsSAE6
9+5KI0oWMBHpSyITE0T2LmhXdlG8YoyUQckP0fyh3Gor6SheoEeoePCPZDiVvN/nMnvmL4/1tbXS
ksCeLuSk3pm9i7qoISoxH5HxIC7anocrc0nqC3+pWVlMelOFLTZP6Q0MapXHrsBR6ZZfGIqTF9Oh
ueMxG932cRzeRCNSeEA3LfSncgFB8SPa8saEyvBVAa07I3vVbsOVHhV5hjjzRmCZFIlCWKPmwrlJ
U3IZu1kbJnPbzOPYIXGY6bU5d/Iy8YvwE0IrhhxLZWqDkNA9ikpy/fTMqPtYVPWptSwKOTy3bPdF
VM0IjGbjnUQVFg/jSCx+U7DQeGzdejpOc+1iVOcP4gSqm6D18DmoXvnhSq9kbGVWYMihYKVhsGYM
YD702yGarWIbFX6ltvMY2dk9BOWxOtR89p9nCvCIm48RBYZW5PEVxOu2ljOXksX33OrbOLKZ+G2X
Iy21WITD4O6qLa7/6IXH1WiBOsTUxB+5zodDP4Z8xGutOGZmn1Tb1CLVliWduvn37DS54359d94l
6lvb/dLOSEf9j6tzKQTF7w59AuoaeuAfGiX9ussuceGAwts0cND/uDrt3zDdLE9vdtPcuyCNf3pk
CwhyIG9wyuPYWTpI/8HViZ3y71cn3AAXOADiqYnPdvnt/fzIHgV3Db7zrepL/R5wff9YlIl3KdI0
ecxd2qV5YOujfqS5gvakEsIFkpjS9OcIERz+RjJ5OG/+Y49SRn/muTm6U7f9uUxJTjwTN1gC6w8E
KdPZm8ojhq1Le/yCY3q87y3bChcLuB4HUPaLG5Ip404ZEP0D3YsrG1JCVsMTtmvdpPRkHC7HxpwS
CJ7aTM+SiOYOJX+wgJXgY99K5ZLFnEh9w4bPbOosapg9E9dumryEvGPfNNlSz4Mio7ytO5GQ2Mem
WbAliYEOba0IB/yGnQJXCRZKSlhoa8jZjGpmvXEMoUdHO837bQO8UqOOLCJuBcV1anatKtQF3hL2
Z84YuxAsKj98M9n/FnRJDoLc/JC27SYE03knHSnfichhCTWs0DCvfFpE6jPKz0ssCq7T3yRDCBNo
6XAh4UYp22XfW2V5YOzHujkaNEsOq6EToyxl7JRDYPSMs1kni7iOGfE6cijbjK2tvkwi9TqUtFip
L6ZlUiHaM7U7zjMGmNCqZ+dlWgcbscw4IlbysU3NTt9V6xDECcZAVOV06TGHKNYazcjzK1umpyTj
/MPgif8et+qyotGXWctdx66YKMShWWYx9gr154LgfOZIFK+2nBM6zElKc1Ctw1wCwOS5hLW48EyX
Rq9/z/mE+vDr8+m1escM+T+sfyZf9LvWYmKZXnrZHOzU2Ot+klqwX3uYKlzoFrwN/zyVeNALjwpM
4ElcjD5tUj9OJR70HFNLWfj3UI/1zx70eLL/Nvoz98NgX34nSDi4EP96KqGzllWfeyAIuK42slX5
e5UmdsCUnnMm2AarwSWYCXmlyvbzmtd0R2BZwbzEOHsXu7Af5TFIA/Kdy9a4PWSEXpdWnBJ0QT3B
XZe2fIIB+yW0+u7GWhKjA0MmT2rOyTO5JEpLPArXPDmJmVK/FBpB6ZI+rbspegtTKjDOYt0kIyrX
qGqf6+K1D00CrOUaZrXXYGu3hlynJe+K5rGgIfAMG1cFrxN9U09ad3SGomU85jzFjEAF4lEsDYpX
7hqrtXsStuWStfWX1C1IEPGmr1FcffL74YwCMiK6fDKI6zIGtWwNHI0Yr1PJnBdSI28tejK/Gmvg
11zDv/EaBO5VXLCmIHtd7NzImqqHLPMWw2HoHXnTdheJzjDBkl6waMV8p9bQ8ThrM0p26SVPSqPV
5egsCWV+CfO9kxM9ERWlMlBG1jjzvEabyzXm3EKHOjUIugZb17TMYHmSiXaWdPQQy97GLW/Pj4hk
zkJTk3IvJhpnkrJzDnCUYH10EXlYo1fIOb1HaLhGFFLG8IVgyKah3xqohVve0lOUHE3sjGffy3To
6jtPyN6cD7WZBFHvAD5gg5k95DOZL79qsYp7Tn3MwxFmT8KyWc8nI9DS9lMvZArWABPJnFdGdvm9
gSek+4kid3hdxtnvDTwMZ5p7Irs2treqRnB4M1uqLYkJ/6WAZ+4mRrI8K2z5hYPRrGkmLRL3Xo3I
isgCMyafWnMiljuFWe9MfnAiCPhQ4h+6wsZ7CeWOC0i01iGd/YrSrVIjpqwz8lq7GSXA3euprc6d
PK4+BjpfKCeKsQttcn9w7nF3mOedScl2HvGzQCYnth5aLSwuhknQVYAYpJ5MpauCyhNhnSoLsBzO
buuRYL734XDiX9N6VBDCcaZjaNjNTcQi+nqooiHaL4Ip4AA1vplRQkA6nkx0uJSxmixNlVjPSdWa
HyBOhnN3ghEBMrWl43ls6yCnBWYvQNi9+P5Q9AhFQ30z9l726FY4ffLZKndgtq2bKsPJuGlDMWWH
wQVgyvvVvTIR/OZzyroE9vNkxoMyEdZ/w8wYbTqPLtQbcJQSPgvq/tim7kWeqJymU9z2L1Hl+189
zcXBWiL1xLCj+4nqBi3f8+0d92MEXO5sRsuLwKNFZJIKWJSfeWmJchPHcfQ2TxhQUZ5ceE7aZGGi
afs02tKonb/OFB1pN0YbOTdirB5gezrIYE0SnTAO2pdhNA0dpARp3jZpNIkDVVmVEbCMN58iJ5lm
ZgzPeJQQGxIW6+PwmNPE5e1zn/68QKRdGiQAv5sDSGx46MRRuiMntOq2zVTQbMXowMtMzxT92KGW
Pag5xL4FsrCj6C7SnwpYCP+LTdn/n7nY3zdii43w13fu1VvHOm349ep9+fLvty+mBXwMoKKw3dss
3xc/w/fVu0PHCd3UbN1d7uXVs/Cn04FblxIA/Ae4HdYr+3ejA8Fz/IXEY+k+sU2DcNQ/GgqYIf5y
/XKN24sDQwgiTgsv8W/Xb2JSbunk1o4K3247hZ54l0ZaPg520t7UsvMv4N5iZGCsAbioNKQlCtq6
ETFMnxJzV9tpOR40tlGEQRbjOliFxcVurZZ2SD2TeWwIXdbEOxbbO2iU6EWuXvjVFu91hYMiOURl
fVR+7/onGqIRLfNVwKTlBzFTiDDlymm0/qAWuVNGs/dlVr43Ib7WyKGrMlqsKilMHSKyyzKJQBGn
pgeswnXTK23tZBdLPXtfZaGxG21XGtjUKXDHYDTqBF+saNcuBe/xUvVegvl8YwPJriUk50msnVJ4
uFbRN3ttiqeoLd8pLvhXvx7Fa0vPWyBjr7/if09pUcJvlINjLZ/X4z65LpZGesCIw64XyrgyCN5c
DabNcsurzINi7thwtUYn3I7w3zvwUpeVLysQgAnsjA02fP4LabTelgQRYKs4H66svi5dmDBG2pxc
qvqA2IxGfJWLuX1nFBPsocphwuAcshKpQrd2Akta5sWYmu7OIU0PqdinWAT41VRAT82WOgKtnLwv
kV61D1jrmwL8hAd1zlsJdO1Ko+toavmEQRZ1Wx4ZUbYPExzUwbhy7DDK5vKsnmST7u3EplkxXeF3
qEhdFTBkOX6AcYSzTI6g8qxZEOPtegllJVS8PuC0LlwBp5VmcnJbbVA9xsRmxnNgKPudtscoedSg
lg3NRi9HiV0yxPmyoURIXoUDhlc4XEUK5LWI6Z6zVag7WwMkzzW2m+IrBotJYyVk4t1p3dTtAW7p
ybs1uzqZMApC90UzlQjormyNg2SVyg9z5mHl23aSZq+3mP43np6Zb/evo5m2wBQhWSlmvMi/JehB
0EKtoQt3DWCEfaOMe025frevDT99+dcMNYL1w68P2NMb4d3yv5yvfPUf5yt3LusRcqSC6k6WLH+e
r+xNlpMXUB/nLKCOH1uXZb4hdAqpask26Zyzf843xm9AO5iKlqyUD5/gH0mbTEt/PWCFzkZocbOh
fJCwAnP11/mmdnlaOENy6Kj4iDDOgHF1ZpeQ/0KXqVfKq1qAr6oYTXOTrRxYe/Y0nAcLHTZbQLGw
nzU/qNzYyAJrZckSF3c+Cb2A5FlQs+FKnc1XAm1bR2N40IcpvKmn2ruOUwtabawN2VPij97ZMLfW
NZSB6ryxaJWFw5RcJybdpoyC1bPdAgPfsM9WxcbJ+ZPR5mZV12Ho129mGbknKlqwede8SWTdiUfu
FO+OnfvwEFlaFHhplt2EYwswk23Gt6TWBVYwWJdOWrpPkSjLp9iJWnnoe83ElttbX7ISX8Om7Q3j
1sN6s1TmVsNzHjWUYLbQp3Zdb2rWVo4pRtMeEusloXys5sgIp7Ebq1fTnSY4PLF1TiGreU1izaBJ
0sr3vQY5hwN1OguH2P2U/ai9k7jKvqYI2l90nojWvkO6eu9lKG5BvAI7LOv5eQhT3LNS+UZFmNSp
r3svz84E/IDLsZubt9Bt9JicGWPDOeUw+Z51YBsHaTh3T7PUqkd/iuPXOipgqYdkNUEI0NB6U6Tw
gXvPscct2AF6mcz5oujmktbrxTYv2B1nBHIH/16V5cwXRU3LGiXBuOH2LdXMVpOqhbXAfVYwVVxW
ntYFEUkVhrtMGCjYQ0NjLg5+se3C3HxLR7cEmF/43wyIRMGQRclladps4P3JTYMZxfhzlqV252Wy
qsgF5d5AxCrzQDiEQA22I5zmJ8gecRUYVhedSiwnH2v9p513VU/lQ17ZImjpO9G35aBRaxlj4t98
r/8stcGNA6OaZrqpiRtfz9RM87dR9bp1iCH7TbufO0CLacZ6v2lqQ1QgevU8fHMnstFPDqskY8td
zW7QmftRoRP92f6ZOBiOdrOh6k93kYfMXjErLJLRtKpHo1eTuaAw9uRMVSoDhlTsKKPjJmZgrwqU
vohR/SJLtYtA5a5aVfhdt1o1LJ4a6FlzZkWXxD/ETSShBp/UIn15dEZfiEUOE6sypmkmKhnOV3lb
LdKZZi0iWhnTbVPSpaTlSGws4OqvVHL4H3JV4KpFjCNjHL95Omh7UL+ef0NXbHqZweqmnmvR8rRF
1hOtM3e7BdUhQpc4U7gKgE7E+D6uuuBodg78OMwDAKpRDutVQ0wWOXFs9P41WjXGoS4E4e1FegQn
q4Pohl4er2zonBkLHuWCjDbKQj9YC0a6tqWiTXKlS7cLaBoqs4vPM4Y+zbVd3cQLkvpfc7Ut0Pxf
X227Ukbyl3LC8rV/KPE4pFnOkVHiEOUYwn7z5+BAWzfBKlN3HMfWuVN+t0i7vyE+LJ4dHvYAxdzF
V/375EClInI6HiASQfj1aTP9J5ODufwif7FI8xvj/wcel6YywyYN/NeLrcyanrOKVs84ckFAleZV
GRvzzYII2lhVqB3Rj8XSVuqkt9WYJueDAV3KMxJ1oXU+oChljpelaD0yIGNPuzzpHOfCcf32EQwm
q6iUaHgXF6DoqP0yjsqICAmJTITP0H6A3DWaRV1rY0cPZkHAE7vy6EPXn9L+5E/NYp+zenGn4YY6
1/i4bEFqu3dQDnosttb81ueO2pS9CW06TqMOmb7yWx+Qep3e8cqA929HzTYaXQfFhG2RRLrkQ8V8
EyDEz8cptL5VCAbnqjeSOykb59DkZXheGWNFkzotsOz68GbDcrxn6C8R7wr9I8rFcMxTfbiF+55Q
N1NE4b22pl3NzncfvcHxHmqR6UfOAvtbvORi4eRs6oQk5Fw0nb/hLhA7wFc0NUZ2CxqxENPXZja8
h4Eujb2vfOoDkgR1eQinY+d7ycuQaeKSTJP7BBexupauLideHKl36RHL2jtNK/aJaMS+8YjwVuw+
YAHNCJxNaZ+UiMs9In51QABBps2t5gYHqXfWNn53nug1yCHT1c7CaIiXZnid7Wphx2fl1PaBRx/4
viT1GhiZme5gEXVnSyw4MEayVnNaN7T3UDysNRF/7aFwOJ9HJ5AJ/0MFSPSa1s7ujBJaygp0X14y
PPUBpULm06TF8UdltOLQR4a1F1livxli6h4TGGynBu7CU6Yr+9y12d4WkVRHAnNltlHegE+ExudN
0VXtRUwYi6UW/b8D+Z5dPvn5S53DckqokqYjJ7H3shptqtGUdaGNrb2fFXloNlB1vJlUhzgFy5a8
TEcIN7VpdKzq6wIh/iOty+o+pogdJrlddtduFZNUnUt/ccmKtt8YtpLbJq2roOsb68XEuvJodbFx
1tHHDsrXgbCaJjTcYRoDu5FQ3klLwIh3Xm+2nQ2jUoZ0reGD7S5mexT70Y+iY5c6+gkpaLzwIj1J
NkhV5o71u/Mgqrbca7Kbv/U0mn2dwaZR2mPcAoCVMTGB2OcN6BBbL3Wcxk5Sb2O3xWrTxojMjMdU
6s7ZeB5F8ENLQ6l3K+r1wCMjnp4YfXhrsWzf/3uuAc7e/3INZEmf/Poa4Gu/XwMIxNgymSAgjbvL
XcA5/P0aWAxZAvCCYwsUXWA5f14DgBsMg/0RmVgmam4PpJ0fC6SlwYS5x0VQ9m1WP//kGjAWP9jf
rgFIPFhLF9CgMO2/J1+7QQo0Pn9bdvF0CrO62mJXYK4weo68EO5PudGBrz/q5oR1YXIduXeKujvG
kT68JH0hrkSZG7cYP813L1LfhlSj9yo0CYfmfVh/sr719hUrjgDGaBw4FK5qAPbzDS6MSx+nUOAo
49tk6reKKsoLgOPyzZG2sVNVM71gJdW9oPe9L5kMR2crI7u+jVVtnWXxjEWJbuiLCO17p8MQ20+T
Ecfs8gd18OJ63IZSD19Kq+Ki6HMUbN51BfmIQsJiK/T5ZHFgzHHUXLj1cA3L3z/r5ja7dDx1STT+
q+qMr4T6BxA1o3VGl2Zz1GuA1UQ7G5KHg7erCSds8Xc0eBqb/CnNanE1OYl2wda/pLSpnLVtm2T2
1oIlO24mRwMWob7m6TTuSTc09qZQtXOJCFbuEZGEPKJwJeewG+qA2+utoytkh4JRP7btRerHdzDb
rGNIUOWVnFH3pRw998qiHSXoOdq3uNbdW45anAHSgZZNZPVhNHt32BZLKo4cAX1STcSWiMgKZ7ap
lycyFMlRkUF9NfqRGSTJrF1Gh1u2kVbRIjJp/SUMx9YOEM6NXWnkOj090IWwpAFeyM1zQpf1QZf1
F/4jwG5GK4MoMstdRbXEVdW13WvYdl5A+KjfdHi9zse++MLKu8s2UZeTYKk1KNPK1AGtuhrf7ag2
A6813Esc5z1M4dgn6RmrVDymC21g8OtUbIZGik0z04YX555xm8dEyTcUANdnWRsbQT5m6VMWj/NN
OVcztiKvuhkBOGPCbxtwdH3ncXYW7nWaWS9i7mGtYcvZTVriXjlw6jdt3SaPLCXL01ho882Yttso
qrnzMDgVJLCJFzdOPB3oMb3monDe/jXnpv1fSx3+T8ba/fheFb88O5ev/352emx5OAipY1i2OawY
2X5/PzspJSfCt6xkDJssHWui/0veeS3JbaRb94mggEm4y1PedFdbNs0NgmST8C5hEsDTn5WQ+aX5
jyZC14qJmKGGKrK7upDm23uv/ccR2v2F4wcuHm3HsfhX/t8JWvzCpBzUpYXIix2HX/6TpVPTXv+8
cmrbj+DwqTUBRit8LX89QONgITFLP8zsCVvtObEaRJgpVfE2MDMiGrKjaFgeLAfv4mEcLYoF8nbq
rmakhrtxcpfvFoE0goW5Yz7gsg51bZFhXElx9M1+8hPzZW5AKp0Hlu/+7Jq+86MYF4bJ1ijpcezg
pTjHpoymU1gDH3bQo7utmHu4j4Zcxguu8nncmmDtw11sttEPgUj4FDR2axEQ9IJHKTSTPyFVk2Jp
A58ITZtmbc8aIJ4lee73m7JwehobRGyPJ6r3OGTbwlo2SyHlW8Q9NmVQEQce6DISIH6ZaZE2kdh2
U7DpN+ZPjYPsOWPWkWXJA9qOdlQyG0itfAPk/JQkiH0kfi2yf86sI3e+aNR+HKxebpn/9Bjc61aY
G6yS1Af78QgDV6UoY9RAxEdIZLGxbTztwsS+yirTo7Td+6vdSIL04HQ3dpXL5F1bkuommfadERSP
3WpZsms1/hSR2f381zy82EH+y6Fn83X4nvyXUw8v/vXJJR+8lqjwFGqCx5+ossEveNBtbECchUyk
sz956SyMLoC/dWWLx5FHj25/P/WAXmYOjM2Oe69YR77/5NG19V/y52eX2zXX79A1PcIzjuAK/Ndn
t0hnweKhjoFTtTP5cbP6RMJKfIg7v/gqWtN+xtTnOienGZMzlUvTcgstS0YUI5vDF/TYzr2UecC0
05yJ7J0ZmEnKIZ2J5uoml2Z9mmJgGcdAdvxuaomMthBL2AMfbXqSYSAP9o3RDSL/EiXReIGmRtax
W2w8Htx1wm6bdeG8z6iwjnb+mpJMdGBy0dHJdk1R5mkoN22C9HFUAlrFSVB6tbFal1GgF6XK281B
MEaP4+iEFJCEcB6ObRh78T5yOltumLMK5zD7ofoyyJBmmKVQ/VVUDH8Hbr6cBZiD0hvWtEydJzbd
c+JPiyKtGWHJCenkLl/NofKak+BR9jajr7wRpwc+lE3kUlzVGm1kvkHLp6aqpLny2PbufPQUBmRa
C+L+wRauxMHSZOOlb1rcdQzCmgu31+65aeD5+TKliQqf0CT22BgmCsMbYe1FajovWakyDxZDH3b7
rLecz6HAVbKvojGEtcDB7+pmlvtortJ+rlX+Oc5zsppeSmGWJYaaKSqyHx0kuAPcpOWgix9wxLLT
kvQ1VyvBvNoKIu0wMLTXQGnXQb0aEMLVjFADRXrHdiA/lb+aFbRvoWdNm4eEnCGDZ2wNlnY4IEth
doi072FcLRDAM7BDVNoZMWmPhOH54OFxvfjtrsQ0zXvUjXrIb4HrW5gNpZgkzWDLhplNrJMtNKNR
gaylfYfGddgX4WBipsQveUXcM/AmYrvoD8KSnuBHboOnFBJ7/kTpULT3qPB8YsxefQ3TzhMvbovJ
4WBWcWO+YbSo3+x8jA8J/j7QTpZVPzoUN15y6IHvpWEiPc5VWnxAC5jpX5isJt1jnBX2tlFtdiaZ
ydV44D2CahZH4zPJ6ulx8d2hold0MMq97Y31zevS+VPmkbYith45GyNE0MOMnn4CsNh+ba0wrrdN
7Q7pxlITzskaROVhKtWMd9Ez54AodmC89SW72b4lmg1m1sA3cczDCTi/JFyFTz1gk4NtQn3jBOrL
rpdebUe/CG+YHe0Pvhyjc+311U7ViXfWfbLQowrvNopW0vA2hj8rMHD1zhQ9oawwcbhL81xxPq8B
2qYB5OOtu2TRfaZpHX3guLsgiBuWhFnep3NvvgepSJ+oZFDembwvTiEzS3rrbuhd5kKoq+9RvNTZ
DvZiLPbzrJXnViXNpYvFezKVN0mf0BWymNprS/iLPXs2iYx2UDefOAqdFYSQOeHKpoY4U/tkt2x+
2LinYNZch4oJ9qZsx/iNRRl62Gx35uOUptirSnIRz3TH4fFkhGwYD+6CMWcbg//IXhzlJh/zUNJm
QFeFOPBUqGQbgqZxzy4/+49m2nvx1u768DbKrutOuSAtjJRQHF0YlXCmneVHo6Qrj2Zqmj9l0hjP
i/LoFDJC4rpuQbJ4h9ug+RQtWcxKUHjVtcFoMW7bZPZYTxNlY0nwZ1o04cQwzeuo1jSm5NTwIHlb
A+hnu5N6TEL3Mte3Ok6MH4FcJAzWvpcf8M/CmKMW6ePc8+C/GvwBQIjrFDh+CEdhuAJEGgT4sZhG
ElG63A3iOcSeXPEpxvZv1/uyjCuPScrgpTebYl51UPSN8iw59G5SbejjWw4LjZiuItAFm45wyiWh
n/BDQjbF2Is5UHKTKGiym3/NMcPhMP33s5VbGv+Qf3s/0K/9fcTu0FiL9dViNBD8Oezm/OLqcYve
5tGQHdj2f9wPOJowVKFVFt4XOTl05T9OGYxdMNFY+j+MWBztpvkHjn1h/n83BCxDJlcOoGf8DwW6
fz1ljDPyqYEtBdRIss+B295P0ZAR2RqN8SkOhuwEstV9FzJQZwcs1ileiuEYy2i6VX3ovGZOnV7j
LhwfS2Ym9T7DPLkRs20TaDfGx3FwvKMHP+jizoqDcWHwWZvvw7VbYdY1C0bbpkidrayGwN7mELOx
1cLGzC7krJo7ufYmdpU9f2aQTptiYKEJ414JC/8QZD7X8iD1rPuolPQwyrWTsbDdgf5MPcF3dWlj
WQ7RgawfO4rLqB/oWP55ctC/U7Nrhsd0LubvKNaMFkRoJA+19MsP1toRKbKevkgCo3RHmnCdP7a4
7Q9YTAFUmMiiYkslFfDftX1S4ZX8alPAzgljracUxGBrI+8f+7Hw5Y7ALQNhxuaPo2659CP4L9uk
AlNFuYp4LtdCTGyzlGMGdEs1GPcz+zXIIAVR6gJSkwEszZq99GnZtK2cxk2lyzcNMn2gzXQlJz9k
7w7AMHufHxvReVwrPImABE+ipEcLoPzoHo218jPGl0UBjJq9p2XuKAWVa0Go66A2zkPGCa314+DH
SNnwt6xLk68wmOf7ViElbQHLWe5xij3IaKCb6LEcTXj90qv1+mvr5tK4ybufLYp3hXE/EM8EtRyC
R739hgiiY/rkuj55NRdMVIJSHWUOmOTAPY/rKpD8rNq6a6cqOe3ka8UXe6KKR74ZwvTv42RitkEN
FWEjJn0EjwYiSM4aRsp+DSatIaWs8XlfZ2O+83KQeMzW85lChYijFo1VdkNfQqS8J1ENJfwb4ZVM
7yazrE99Wdi0wElSY1tPK8F7w++o/Ms6o/uijFRNe1819QCqBcrDHbMy+0jGML+nPNGESh0C29wO
lj6DqDaqrdfOSvhG7Sgb9tXoc+KhCfWr3tzvTZrZ9sTQ2UsiU0QHqVrvzkRwv9OJl/gYoQGfiXXb
b4KY24dIuOVDZvPjGNQgg5vC7v2ytC3FgRa4DG8ThhCtNjV1eMnONJOOP6HMy7PKete7JMNMe6tR
Y6zbZP2Ey9UfGTtt556j1dHi/TkGtugoTl2c/qOderjKMTGgbFnszhf2HXJqUV5O/KG1fyAgW32X
YVN+L8yWaPrQqXmXhgFAu7oGKkhcpL91iet8COKCB40xKC3Vrn3zLC85xcgW96Fbpv2WouM033RW
ye5cLJ2T7nw7Q/CmW4beinhZqp+GR0x+29IRQyNCaizxvT8kbfxYKXMqmCN2I3X1jXPxGlc92ONE
1rzzs5Qreth6+7IuxuTAauG+wlSvvk8isZptQPhFnnJeUW5iLMxqZ6Ut0VdLSefTWHCghfjqOssO
eoh1wWdOmURXR9Qy1jlByVOwBN1TWxDfp4Khm1tKJ/qZ5wtrANwlpIoQNV7XZLH2uByNy37Z5hTI
VvrcYT1ig/BD2sLaAfddNJQVqyDc2vvALT3mASpGsbRr17yQVjJ1/W4/LBuPYfh3vxm5x3S1iiEH
DdwhzX3sjJPcNyI3jW3EeYBczcwyiN9MozRqYRwaGxxOyMnixS4SaAR4tH/UzYx+s9R192r3Zftk
B21JA3Pg2+m2RVKLL3z482E7myPmTUDnLREGwoAFQBGAMHDR3ZNlz9XHYIr8LyGifXiQ3PqKLVwZ
+kSsoXlQ2EPzbWm68WkeJOi/UlMA4xUISFeVOjNpAhPowZPZ9ZodGKSZ/MbbJ6+JJguWzpDeKJoE
N8g7ndHfI/N9RlLhkFvmeBeMyjwTT3Q+00iZwb9T05O3ogwDUaQ3AzwB5EtIh2hTcImqCnjhrEmI
I97w5yGBjoils2V+I033zlvxiSb8/W/uVCzXTtMV4XK5d6UmLpIM9T4VmsKoNI/RbIY2PEQrq9F2
NbeRLCkMR8bB8Bytle3I+sNiRShs/G4oTX/sVhKkp6GQMe8zScmleaZWBWZkggjziQkxQ6EZy4j+
tNiqOFrjMB4G6NsD1BmssqRlCRIUK5myIFzqnr2VWDnwPpr7UIMsB1ExzcfjSZHjSrrsLKCX9FjA
v8QMjMw9rlzMcGVkhhqXaa7kTG+FaBJV+UzQDLJmqiGbgUga52SUeIgyDELEwQRAzj5xpp/LSumM
NbDTXtmdqongeGZJnM5bftlw00/tyD+IeLbKaw7AxvnUWl59j62pbyi8G4MML1A+P+cjBU3QySwO
IUYSyVPGEcI4cMEdjllgnv49R1NkuL8/ml7r+O/nX1rb+/1kCoHO1vqcoAbDcrTs9uvkGioLtm9O
pgw3kN1Yyf44mTIaw8YcwMYjZGrCwePQ+pvqR2sGU160Qj3X9i3+tX9yMrW1WfOv86/V/MGXgOTH
yM3XrcV/wjC00aLw/xZMiPrBfVODso9ZQxNoGRNJ2td+Fo0U2M7LfRH2raJJop2vNhevnZnR2FOM
/nRmBG98D9GfSY84mYIHlMXnUov/9mjV31oRuUeocwbLr7YPGB1FLZs2N+vmYHKXTal8yOSjO3v1
HoELc0JjdOUuNaAdiHqh1tOlqBWAE2gnxWPXMZ62wI2jLKS4fHF+vsoFkc4QWCg65Sv3EhZGe5Yt
XPIuAy6+aaQKroHqAZePZW3NO5ExX9x3qWU9p4F0wZy7IiFCnqqCHUQz0XES0k8j7CC/Gd0yxi9Y
qmNx81ewerJC1g1MegDX4yCuj45nFxdzNROHCUD4XWA3cfbVBGJeb6PEMgxqaaeitY6MGbElU2Hn
VIfY0Q0f2rdsANygnGG1MwO8Ry20tMtZV5A+0NWI9RkyJjbouHbylrZQmQSYLrPx5jSLCB6wItoX
xm3escTs/ejom0Gq7whsArKm23UeH3N9h8h85byKcJluxswNoy5996QwsZyD9f7RVtkJoW98shaH
gAqsK/O+z0buLCwMiV4h8nWxwLLBwkHNkXlfrMuJoVcW6tVZZLp1wZF67SnWZSgPjOhzD8RDHrDq
sUYRI2W9qpjWzMBDEQKOflJGwXbwJnGc7NZhDxxpOb4SpjfATOT9ZzCh4I0jTTqeNfN4WvHHwYpC
nlYssoNjXF4NTUtuV3CyiZv0GoEhA6fs5bFGKyfevMkLcGJnuN7gl20HErPSTGY0VNwuzLysJw4n
QJvxN+IijefS/8nzWLw0YQVOeSpcProV5/g9LrzqkNVl4x0GvD3uGX8VzB1hjMHXxCzVZ9LYlEli
nc9eZScMooum/5RaTn5fThP+F607R7Ifj/pO29zLYqbnwGkh3+a9k/7snHx877XK3XFwAJhfeUDL
O2t55hPsXEP2+4PJ3nHyLCPZ2I0jz76mpWzbSMBqaNtslzC/3g2FS28xWKCHtGto7OZTuDdVWUA9
NqcGuHH6Y+IcvrFqk5lQk0GGNGvny9g6RndQdsf50KbDAPXGXNIP1cKWXdWsAjuQYSNFNEboya2r
8uLqJEU7bXNaHC7Mimjxxs7pXaKsGa6cYJrwqS/8ZguqzObnu7jVjRD73lDDdBxbH4NZ6YbhUThT
fMPbmFMYEzBSR0+fjC9ZnpX5wzBOqboVbR4+RpwsGVsRpv4UFH4SHqPQiS5Y0bHbhKMht0VhZf0L
eLbwJdbk99wc2k+L2XkLfYXR1N8FYokOtUqtHz4Nx9d/z67HNvT3u94ljf9rWooX/6b7mJDKbJMn
LdSNgSg9v+97zFbgggH/EfREQVnXjLDfTI+4+dFyXRQZ5jIW2gy/9du+R1qZncpmIIPRX5DB+ifb
Hhmsv257mPn5NHs830yFkG59LQv9advL6nHMB5WdW+jCB54sSm/9Bl5oqIJttk5yvXWqG+kBL81y
zHpzUO3vC0ndehfpYfAy2fLZZJZ7s/SouLYa71zp8TEdo9E50iPlrFfhbTA7nCOuHjnni7XsrDK+
0QXMLFqtc+nAL6tHKjyYVst1cg15WgDM0gPtYp1tz+ucG2RgeQB/xPR7tHPzC/yBD3IdjMt1Rq6n
5azujNDhHDuETvvuOoT4Gx09Yfe5WSKKmFCZN42ewXOrHJ+HXAVcY9chvcW+jSlFj+6NyqpTEsZ6
pL/o6f4wsRttAqcJ3scwME4B695zukoC4GFjGpjRCXKrlag8ozN1h6mfAvEyZ1X9leBSdR2pn7cP
jlYdbBpJq427ihGTwmJ7yMIJkYLTUDFfGRCNSL30NH6L/PnNr5YRx1o1vkk/hTCQrmpHWziRQq92
OLeseghiENqIIZFJQF+jmMxeELQgIZshP4MISt37ZnTEo0vr9T7QGdUwa4oPpc6tRmuEVeg0Kwmp
8OBNWJh2ZUATaaBzry63lEums7CeTsViyscXX0wlYVlnDc7GtMd/5YDnnaY1WJvojC27lnwksjef
ORySwNVZ3CrWqVydz210UhdqkrgOvjOUO473w1uccufbtDrfC39TvLoultiN1Plfj5TApdSZYCJX
Na6dqCAq7OVz9R3b+ngx3J5BQZfw3O2noSFiTEMBceNMJ4/FGkLudR7Z08lkkbW4uAbLemmoo5aM
pOaWLIgshsh+jhPZz3emzgioOCEu0I9V/mZ7Ulrbwu/hYZCC54s3S+L+G1Q/4xkMevKzXoMIsqOg
fNLpBHQHfXwisZDr7EKvUwzDGmhAHyXcYOucQ7JGHkaYrd8bHYaA8D4w58MXa1MAObmUSsZEJwBk
QPjGkTXtzaaI9j5E3/yY66wFn1kduyCAMQx+e0cunFBGVEzVjqji8sjsQscU1gBH4yzx51mnOlKd
72AdIuoR6NTHHHf5KbaG8VqCa99PKmIMiKcEMxw41wI5sImyO8L086dZRcGHlpHxBz6ngtNKFjSR
3oeYGXG+8HdZ6dfEQrCbPg1V7B4ywZbllIH77oZ5eHTjbvqQVUH+0VNW9iGxiwyMedp3X0M/m/pN
mnnDw5y37qn3RflkWKN38JHtHkgMoxNzMr3I2gg2Yx5Hp8CYy8cRttLDVBfZg6IF9pxnKBeh6pqf
E6UHu5yKsC11a9FnPxPjxwEl6SAteGqbsVHR05C7zJLy0TOnK1iYL8w+1DFxONpviFWQBGHbHDcW
+PS7KR0zZs4IYh8bplzfK3zFhwEeIitEO92h0KhhUw4lrr6kzWCwxpWNX3aJ3fdpEhhXaREDEyDc
6iQpvrcObmJ6T0WcUd8W8d5zbgwVmJcoEE9IOHl/sFTQ/KDDyftJj43zdcnnYmciyz2hods3JyXL
vjGonmHIa3kDjcSombTh1eqyDEReTOpVjzWD31seUwa+AdWYH/muGiRw0oT3QTcHGAFjQx55sMk0
VsNCG6DKGDsmA+3fO9pSmQlHbXilHdllKFQSHunHzj52HOt43xZKdh4BgiGbFVpBU6uYRvGR+YhC
TgqsbIL4rV+Ft0prcNYqx82rNBdQZVDvZCp4johhOXLnayXPWkU9zELFiwG+cY9CJh8LEl5P0yoI
Ts5gOPtwFQprrRn2Wj1cViGxX0XFiWZOj8MgL0m06mgmqOn/HsVJnwX+/oDz0P1fVcn4dgl/C/3S
X4837i8muhJIJyITJkBE6w9DmuB3iHwTEwxsyIvgF/843tBVE7rc+P9w8/75Wk8bKQAp1BIC/1qr
+mfnG31tRxmJ62ptdsaShkvL43ZIsARrjU5M/uV8M08F3g657bzJe+qjHIeqyALm60OEfWuJ9nHR
lSeSsP4GQtzCFhzbdzA8MmyRGbvzZN8o+2o3RURgoh3c7smZ/BLOCkGoEHSxHx4AlBgUxbbeZJf4
D6z4K0HHgK6FuEZWn+wXUZpfytaFR09Mm4tPu63GwtkVSS7uCySoDfhuayfAou1o0oQJ36ICgXpb
TiZcpFtVBGQ19A15qSklJ4O3PBtW7T46Q988UBNyaC3jRxmUOrhBdt2ckuYtmqFDR5mg07bHWbI1
/fg16Ny9vSTLOarIg8sMAqRJBxqZC7o/lsUK91Wd7DNFWYg+FUI5MbqTXVjpRWpX6aT9pdr14mxy
7TplHXQ+pKsVtVltqfD//PtBe1Ut7VpV2r/aaier8JqypAKkR1IOw/oLEUXj4nkQRbAwB7savspn
Z3LKGzz7ag/yYyBWinN2wUKLFtQeF8e5jKGcNZwfn23UmUenXijCKOrO3cWcbu6HRsm7nDAMeQhY
kntA8tZGpu742Wyt9FzgS7wsaWWfbX/5goeIjTSKpLrSlEwe2kpQAvyifU2VuG+S8ilSythXcQ1c
N8uJDTojf4/UCRV+wj+YqIS7sJ5MQny29XEoufB6DRl0M1rsO/iF48mXOPgS5ZpX0grFnSfm8dSw
TFJkugwfTVG5uy4JzCP7yKufqng/dsFr7KvyFOfdcxX3BeiWQD7wN1NBVy4x/QwKAW9tDWGzvnUh
itzAqv1FxERMWzlvJEiZScbWEbJeet94KnrzZ8t5KqbYvHOEYe06KFknr2F5X0os4zyJwXEZff+w
DKiySzBJrvIcXcjeYIcysq/DBL1HRkbzTi02xPIZCXlrNXwYVUZI31Be9Cmb2jsIbNNPv+3aS07c
cTvnxKUMFLxHQADuaa6nblvw3lA84If9nlym+bK6qfNAzreYUfmVa0T/IFoSpXhWjQ26kmAQAYxo
45s9OLOmDSjHYyofeK1xCRSzCOJc06snI7mrsVAd26Rwf3jEXZ6zTj2lKpkeJR6yreE3YlNP8Qun
84+xkM4tVvPwDPDQYxDuB5S7soN2YS3ueMxTf+v5KrxH/lK7XtbdwTYGsoFzUR9HhMdt5dPUZrm0
2s7p8rmeqIuDw6aYJIP3NeLS+GBWlnjMZ6pbhhBJSHL/2kmFblSN8lOGz/vIjRGTXcGhfIG+fqA8
9T0P4AaN/NGhH32BW/EzL3QrFInEDZ413EWph/iaJ8Wu4Ty6NXrVvfpzURFH5WMI8SrfgbevThT+
qF0i53RPjKYiYwAAJp+5jmGVTc9TVTm3fpLdLgUcsFk4G2xm3OS7fIrfhaImb3bN06D6/FzZC70c
BWmxwLPuOmPB9kMpeDUhiJs5VYq62wK31k/SHjcCPES7KzuejrGydHMdK+qUG68TP8wdpRDuwa/F
8B65QfRo5e14qjtKLE1HXZc2OgBzq+BjO/GBCtySoq6lxHDG4lWVdA+0i4mLpBpxmlGEfsrq2d6p
pSI5NgwWUjINHvdKV3t5s3ysC/lxYKBW0nIN544X9WFxpdhpvsiKJDOjrb3B4rMr0yXe/mvGHdpa
+vengf/5lv49ukC/9PchP9s9G7uex+vZhct2+7s93RIMOjSZjXGIdq//cRrwftETEFBpWCQ0NfJP
JlcCQTb2E008gA4Dbvkfngb+Y9qB69XnOsPXQHmeJlH+x2kAf1KWhLp8IPb9Mze319TxvQ0j3mrP
nZ1b0OCGj3ZtjNtpzlkovdLfl1aV7rglcgcbyIcbXtsdSTo6rEiLfEqlj4FvpgVjWdDL8GrFNLlV
J3Sr9EB91HxoVXoonb4/tk1yk071KYUns4kxx+wigySdtfjfXd61Uz+kR1Hia0haStCmKLfv5x5A
XNSXz8LI7KfaxLw3t+Js9m5Gw3sACjkjeofL7GRiTVSquBqERTe94RNY5bswl/hLk/sX+JK+nyVX
8OSn2nOsOwJuOwDp7x1cr49ukR06G6BanlINRDnpdXEjk9I+zjlzHy+HwJSH0Ro/LwqRDNIJt1vg
kS0AW4qW36MMTEJYisucx6ambJb7sp9ojynM8nOezMFny47jI8Ox+Mjpo9s4XXpw3LbfQXNN7xOR
Lvw1+cFzFkIspik5ARAST13xNAd2jQMzY9giPwJmUach7J5Cujs3QURBCjOA08C9b88kn4as5bs7
G/ulEbwnuXgP7Pxt4k7/I8WCsnUqBi9GPz85CyeKAmT+xrNZz6xKvJv2lD0x97L3TuWHO5p2sKM4
nct1wp0RxaWkeg7upaHm+d0kLvglQGSBndeqz24T47jrzW5nAojjS/Lr+xZz5rXyrM+tJfptsNT5
jHfYwnZo5969kcbvWZpxOOy4TEHebm8T+Hg8NMV7COrzXf8ijWuSqX41ch2T7XkyuuwupEolZfTD
GzK3c/plMbPqrmk9DVKo4qOXNJqpIWtmWnO1WfLUo9sQcsMuH3rx1tA5/Gmoi+lSCUGNmaCMwEPk
OOHVca/SjMRbSGv3yaIP4wWUnXph3GdEm6JJ4H7Txwe+wpuynznOgH1VBcspXNL0JtIauN1MppW4
8pLTAmtm14mYkSxseSJKbTC4J2QZ6bhlW9MIxXdACNOcgB0aaTM9jkTg9qYOa3prbrMgwWnqKOeg
Q531YH+Lc676Fm/yNyVrulB6e9CF3Xa+D43KPhW+ae5lPTSHVC3GvsNWeW3r1j4N1dzg+oxhMZdF
FN1ZXhNf6tFu+enOD3YTsfnVUgPHsvC+Yo5xNTwZfAYpHb8Ag7KQyaJBck+n0CDxUgS0AO2pyKO9
qKcXZHF5oJnR/tCOhnWN4GvvCjdsPtoz33ncUGGQYcN23KnlKJlHJ1wmPj6JZDwEFs+LHN3yU5B2
XwO7r44+zXiPHBiziw/I9CDHrmEPC5ud8rqCfmOdFa9S3to83tf10B8ig7tFFDAlXCrUupr47ifT
SacLejvOytj35MkVdn0PkMqhHb2fDtWowp2ud947DbUU5tJbz5I/+TIkKj9YhpmdrbiN9uA/1H0Z
m95e5CkPgGl0V4tgwGuZ6icZX89nJyjsNyn7+pMaKcxqp2pMNy3w7N1o9/Rb5PZ8UIFFWK/kv1xr
eg+8aTpSGkXhveiss8FO/2nxjO4uK2Z58WUZfJfUQWwDE/S2ESb7vkLGH+ad1Q2f5qr8Dphr3tDY
+GaO4dXJ4lvMWuhG35P5aYJE0Qwq5/3vX20xfsVB6IPDjoHa2ZtsSLCwUVi9d+3qmSODd2WGfLOm
6scy1OPGV0O6W/oqgFNo0i3cGPK7M9b/Hi1E/NcAG+rotx9/a07Vr/1NCrF+CVA52Ol9wZ2cIMzv
pwNEDZBHCB22D4HhV3rR71II5lSCv3gAmBkEaPN/KCHhL/gU+X8DLvjMCSgf/SejAuLFfx0VICEH
ZujhNdLDCYuKh/8YFTD0ziXLoZ85/j7pWwZh6JxX25qoRhiLst5MJfd8yAPmrnOGd2vKgarafnWL
rNI5+7MjDqM/UqxuR7M8LtPifmwSp79VY1+eHcE/+p0/HnPLsKA1ZkzPK5igRyZW+bXHD3WWNF61
G98em7eFil9ybVaHV8wy+pu+lR1sM1bFhpG3eWzqMdl24DiPS8gru8YlbSbCRG4dJov7fqSQfKb3
7FuYe0MBasanoFfVj0A7vzF4uMxDcScSwKPWeEpcsXybmyp7o4EdD+nQkuQP+SKNZZTXpaZsipIj
f5MrbZOcja+dUQaHyhyGfQt5YJkCbq81C/HGB+4kdVvfPskqGleAtezcKryMInwPMNdtxaKoxlsI
5xWueo3E8jK7lOhG6LpVnCmcqMZMH26YItcGzXYRqr1SlvDGDMrkr04mtI2UptexqJmxJv3W7QNu
hHEbHgdHzafSGbOTgXF3W6JQHYZldDesbwAx4tk42LWgI05kj7MSBm0U2SUz8gcaTPci6S8BF8Id
ISG+eYa4REnqkXliNOVvddg0X1MThcj0LeTWsOmSm5nUVKRShBG8uqFd3gFSHXbDXML8rTSesp4I
Iy62rPY0oAPLJG/yo4i67kp5Xg5zH2gHEN/5O4TycE/3TXtKXdPhnjeAYXCg5D7OXfVdQb3Cftw7
WzObSFN2kDK7YAj3aYeBeG7H8Bxj6Dt28eKS6ZYLjsmZvPpWaMgmPqrihXJEhjyp7SRXQxgFm1ha
mU9xxvW0rhxXl9E9G1JWr44l00ulwZ2TkxnujlhFfBKzst9maHq3CsshM4aV92nYoD+NlQJa0G59
X2o0KFrmy0T/OrOLEopGVdz5Asy66uGCpbHEOrh4BOHHsT8WGfLbko6crgYbHW3JlqDfGm3lfMa9
MdibfvTzD0uorENA1QlqUEXuwQa8eO6LqD9J3vxtW3TRS7EEw80clHjW9+Bj483NqUJ6wIHgJeJ9
kvCCtlbHa3o1DCfis82d7Q/dc90E9cWbk+VYhSQpiyrhgSvjVmH0yCLd/xfeIiiv57SY5+OQEql3
GWEcCqOfti7ZrL0aBaZwTrjbsrTfcS813XFqLGyR3IgpiePcRjMFrSrXUIe/kjUHxqmHdl+vGt6r
0CFQnxNfRZYL71SWdgdHZKQ4MCvXjxj1fdw/dVW9plXWA7NaU2ZU+2JzYXbyVae+z7ljgHOPMX24
mzTEPDgVcfzSRwsHxcIDBFLVTnuOuppWY0yp+zGpaKlcGDUWgxE/9NHkH7mU2BfZJWLnub4xbYZs
rl7NTOZnO/EsuRHTnOw7ERUOxJlyxMAYkf/Acvc00/b9VjEVhRGDcVgfFf+XvDNbimO7tvarOHyf
/NmtbE6ET4Srp4pGdJLQTQYIlH3f59P/3yqEDNqSvOXaF4QPN45tBEVlZa4115xjfKO6YZYy3ENo
R9oCeq1YNBb+47m6d+EZ0pCnQp5l7fOGvFwUe7deJI17Y0UcYt0WxUmWFeEOMVlwZaASvSR+Ctwc
w0TQakRsMOZKxBmNXe2DaZU4mTIxXJYOstB5DRcvXPyfOdNLudzPz/TL+zwbfy7dkz/8tG87RyZx
f5zDMYfYnMFNdsbnUz1afo0oCKRtch9GPfB127aAfHy3OT8rGMQRqWi04lHtaXT6UQT+1r4t3Skv
W/z0FPAZQIaC3IRGUPs+as2iXAZsUy1YgL/A7ujnFS7s94EeqLDw/OB9II9amWMEJ7ZufVby8Maq
rFM6zZuU9AUOfCCaTYIiRfJhNMoipkvXtMQEJdlVh6JhQ4zNcJ5mPCcBKm8laJDgBk6/1MtUnYNh
/QROtV3wpHxg/u0vUhk0Xk3OaU826DIWRXDiMspmrSWmIdJ16aryP5hKmi4gXZibyUi6RaqiqA85
qq0EaaYZY3W3XBcNWgOI3p9JIr0Z1VJdjQPEQOEFMDTwY5zlDCrOkOb58wkQ4kLPyndpTRbFPCID
e2WPkbHUoqBFDg+HFeIi/UNVA/k88pegGO42ZF8Ni9Y26WqXST+H8n3nISZfEH02LPqkCFcdxvSr
pHGcOdYSWqwY4VnNPBT+JhA6zzamNSr6epW3aJa9tuAI3hXRPWNCg9T6xOSQAcPqEznXA0wgRVkQ
DCoI8HFt+Oh9RnaN6C5UgwU4F3SwJyvPLgvExOyhubZGjb5oTP1jGboXsFuBkWQPDd3clZ7G71JH
QdfHwXMG37qcKSE5jGVcqzONnEiL91QHxn1cQT2ZDLNeaMLklyWGsjFI6573VkgLJ+J0YGX0GdWM
NqWTAnBXYK4YIS3VHNHIaTtO98R23AfIsTmB6seeisZlKgfBD5Omi+S5mtOtTGb0Vc6jDDBl1ccD
gQ99PYtK5jWi0Kd1aEfqzKvsLZY/KN3ZmM6rJhSzqFOilVU4j1asvY+S9GqaxCOodY1Wg81+PiB8
cEK4wCy0Jx7+zplhoTF17OO26c+QyXRLno9PNGc+Fnrv7sIe9nAUdM3Ma8gURx/D5KtsN6IqivdD
45/b6HHmnmHc92ZwKxrjlnbNZYpqCaw5ASCxabYbRGfFLNE1bFJ2/1FAZqGBEUBJTuNVk44oOXTx
Mbdr9Zh125v5pJpy1ZxVI5p7RlQ0zF2dyXyXqLuQu3ZXtF34kJuGtjJ6zdtMTFBWnQ7QBTaJQjpR
lePfhkDDnI05lNU67KdpdMGG4l72dlqvSiLquV3G4daKaHboQmjzus4M+M1e0G5pXXnjwul056Si
7bWyeKlRusj7COdEQLaHyb6tk2XyzhMga6CZO7Mk7PWzac9OK4zAvpxI45p7SKTwFzfGJYoXeGsJ
3bRdu6ewaXsiG4AaH9loA6eNB94iYLXwPkRtjwcGZ7R2XO3pbsR/9TPFoP4TEv7WEa9N+KiNqSJi
7InCp62H08ow/GUdifbExES+ySRQDuRadAFgEREgyUzKMWuxywgACJ0butrZmKJ1dCWSqpFwKrw3
cKqERFax/ZI3KhsuDZKmXK+iHU3QMZ5rsjHjh+EANpRmTSrbNqotmqWgk1Ptezrxvr/j73s9o2z7
sEb0V45sBZWyKQQNSeyEbBS1smWUyuZRI9tIuWwoRbK1NEbK5//+XRdygzCkcPzne+75mP/xoPzt
5562W5M4ErgOLnZNQzXwSCL+e9pu9SOG4ozUOQsDWMfW/q+ROiHzQF84v1q01k3rpYfTPlJpmSCT
R3wPS+J3m+iSJPxyv93/TbwS3X3m85zMOZG/HKnnVJCiYmExSzc+nVSlwpevuxW9lzyxLrrK9shJ
qMZgHpeRvbLUJvzilkTIKewsrBE6GG1WM/YT5sx12FeAtmyInZ7mndgtVHJWIr+ZFkNvM67SdQ6U
kJyIqNaGzthMjlNfCyQvX1w5FMvkeMzIqoQMHiPdsNEBZg9dM9pqDShPDPuMyZMsSecm7fp14XjZ
iqg1exnJcZ4hB3t5zdVEH14x+GvkDDCLbfOcgprzVUOazE3VlNB+Fae9jxkrElPie3j6mTdCcmWr
dsYovVJ7pSsXXUBjC3yNVX7xSzXfqYU+nsV2HNmzNA28aRkRmJQtI8/FqWdaUG0W4eTg2i7kaNXN
Jlp+RYl2aFa4en7LWdLcCMjvqHblBDcjZ/oCT433vrNcJtGB045MHDDgrSMiWsJt3WUDIR3RtB0i
0koupyhSUEiPldnP25Jdj6R2SinjONcx2LCLFZ6kuI5xvCzTLtSw8ZgxEsUi3uWA8T6X1ojlcaja
/M5XxsnYpB1YyQ9GZxr6aVVYBWcDt7AykO4FSSbFUNpMQDm4R7TWCaxeksqmu8SARKrKeTo0+ulB
i9qkPVXirkBq2qVgiS1iAi8gPcc7RUkyDngB0RZbs9Ai/4PIDT3ZjClpU9bYNtZCoFFDxxXRRXYH
c6TNWye3uY3/oC+dfGGRAvY4Fn13HPWZtjPa3JsrSnNhOHhWOWAU22ly4o82T92xFuGQm4mq1W9b
mi1iVfq9hXUKjyyDZgJcgSb7sNo7b1jyNPoPBEuHCxzH2rZvRS4JHqR5mL3PMabG3r4YA0wb09iF
aFbb4nhgyWZ8L/LHji5FMCdxUT+N28nduE7ev9NqzpbQI6zjrq3seTti4u/jpluOfmMsHfYDFAme
flwwCEcYNdjObWZ0F32onDJDr6LZVNgqqT/xLkCHt4FAIbbTwNCqh39PnEd+PgY9KARoJFGfKOcJ
w2C/V+7wtp411IZramrtPWqSi1yp82yeWvpNAJcPCT0jGBU08XXc0Y8w6vwLuG9/MSlsuN4YB0uh
hN2wGq3p1lEd3LhZ/WD6g36vNM1m/1cpGbN7xnpwM6NRrHp3sOCcFu/lPwia/iJStNs6ZIoTGgn0
PM4UK68M7GOvMqO17WnWtjeyk94X1WVp1zQh2JdXmjOqC6K5L7ogN1AnQLdHnGecFpozzZIkPiNO
6SzRy2CVh91DZrjNmUfVcYz07Izk3QR7Nudcs0EYKaae2XqJNmLnDEkC7z/sdo7Gw89Eh723j507
UaXabVaVDYWIVj9YqQ4oJCg3jLWYiViN/miV07TsMaxfNoXK3DsKvPMcEdwG+vWVJmpvA5XYWbCO
f6jjKbrQrMGgtFbf6153KtSBMGV+gU9KJJ5kYCt5QFaTOfrG+yorbO5yYt35jwZu1EBUzJZBEDMj
g/DmFLXTxghKUKMKHqJMo6ChJ3CrNK63GHQc0oHtPaAe5cZpk7NG5gmYipfswkkbb8jVotTRXfpD
WY/pz1IvElUmeHaqv4o0+2H0LHVmhKFxnZatcpnWbrLQ2xoFrWHfZrXntGuIiHx8wvDHWemVjH7C
VTzE7ierdFE2KQGzizS2mZf4Z1FnvqNOUtaZJ3Q5WS1h6EJfBYkzia03dGTNwesjd/YT2OiVNuGp
qKZgMGeKCuAwrEVNfTMi0zCVi1FLGAKm/QAfvQ+ujRTiiE7C6TbzaighrJAa7lsGBxFnh7nv1h2l
OB99YlZxNvvvr1HIWeEcT+P95zXKP7O79L76wbj/288+D/txDVBUEAHASR53w7dhv3WE2o86BAcD
akEDuNyLvgC1CBI/VXMsTdgEyXzr58MF1bEmw8GCAk2/4bdQE5oty5AXyj+qJGluoCdBvjNDf/27
MiVCmR60lZinUGyh6uwaeK/dAoF4+ciJD5/6qLo3ZdLEW73tlXdTQDyha0QXJNWyqxbWNYQGOQC3
omBuBk7BAR7hS190MRyXqbrxM2iPZVBWW+CVuTUfHLfeNU3bkYDe9uDX8qoL1tj21LNAoTOad8Di
FDx1mN4COz1XGvFFaGNwz9Ewvs1iV50nGJp3UzHax0aiTBsPrtGSlIV6GSZ9SS6ZnG3KKWfB87kM
7E7fFK4dLymPumLWh/x5Q+ao934QufynuPcxjz2akpFrs+Ndg3HWEcxKhG4iabpNBFeXvBP/WJWs
XTvvasTd8HebPYkXSQ/naei8qHn9K1MSexllojKvJMcXGIK7zLNC2xiS8qtyLPhYSfKvLgAdOZIG
rO7BwM4eEhxKXrCvue15OOnGeQwg8iqTTGGYfaQROGRU9mqCOR5g9dDBIGYGF8zUToKJ7Yo9pEyF
edKGpkDzUPCf/Qjds+dAHqRV+tG3wG20QwmOjDMzZsihOulVwnt7yUa29pjkzIeY7AjYyUT/iG0l
ecqRA1lZl4zlitCzuyBr4W1AN1hboH2w7Te9mGnS4KkHTbAA1zrugtwqeiYd+XRqOF4MtUcRTKMd
kH3LxmXUi+fNRnclvHCdx4W+NmzP3GZBEoynPSfzHaJ262Nl++W9NdBFZhTuK5OnzfuCubrWwfds
oyI+JhkrPe4yzafz0dLSpdcaL1AboqEzgqk5d8qpWBEz7KDWwuMmwlwsB7haN2FY5Ys4r3DJVcyc
aPuEnAr7fIG6Xd1odt6ea6Wtwx4bmp2dJNWDTvjodhJ++wA+sM6Yr5fExNHX3RDzrF3CkFXWORPd
SzVP6L3bOC+rwQW6oShgDVLGEeH/gaX1qzZadkd/vrguH35wAHzxk09LK91TFkfsX/RbLVCaKgvo
0xEQvTVHLwC3moQkm7o8nX1tudpHQi7CLl1aR4UCJE+HLAdN8I+/s7QCyofxbmGfFeTaa7/TcjW1
746A8gRKyaXKEF+Vsakcyr48AjZj4WWQIudJpadbfEHTaSV6v8c2jPdEza38hs5Juiv7zwrtSGhu
pMqWtnQp4+9aNKUen7oJw6uZZ1QIIUsnLFb6WEtR4NTcspp2rGq1uGkBG3S4SlDMzMKOzOmZ64cu
YeFuqq3CLCYTmiDbcV1ZsCKWdEJ7jgUhyTAznM7tjnhdGiu2Xl+1vp6jiTKn6NjrnQDkDXatpZ+3
4yafnPQ2N8S0bkAtIo9wFGtRqRxBZ04cF8C0RvvcYLXflSkS1LQaR8RHBVuJ0feLKBCEleSReuUh
yd5hMq4ZOE7+iaVRFCIZTiw8qD5cI1O4q8AJ2TyaXDv2nJ6mccUs9wNyTnthtlA9TAXYzVC47DiF
NGS60poZ7l2aBkKzaZFI82awt3FKQ2dgiaS5KsecM1ErLZ8Cl+qWwVvEODS1zY/KkztUGkW7vWe0
U9I4Ph+klZSdAldptXeY5kPmn2XSdtqX0oEKU3FYB4G9tKU9VdA15gWkabXd+1dbjlS7BCrhFgcs
xTdCq5qzh2y1WtIAq++9sNPeFxv1Bp51Dn3DvSaNsxix8ND6TMK9RRSPXr2qJ1yHaqS1x5quqTvN
RZTlhQhBCGJHaJubNZp9hstwABuYpkP5PqCdvOxEHuFuLXQpYh8BrI36mddQRocetwXW4k2m0i2O
0ed17ZSCLymsddhifR+SzNmZ5MmcWcJM6McXtnJMn306R7J+Y5fRiZjKdAYnztohE5vmZZNqSzX0
It7qFLZz8lbXYGko2zX3HXoelZvTIS2iaINNziT0nGmDCdkweK8HQbQOavOiJEZ4U3tdMRcC6Hea
Zp+0Ggi9EhAVJPpm4+VqcZf4PbJ0vYWfl3nBfeCAdVWjcgXDlon9VRvV1lVYeFvAsBwbCWhf8D7j
JUU3HobEIzqx6UztslRAZbXtZFyCeu3WIBesywxLzjuj8N0TmtVBgQ84CU6STgTvzS5Dl99aHRbq
oRGngxajRhqjR48QoWah2+F15dY6sGjVBFsU0TioMVMN/STmlQ1jhiwhrPj16C0cC5yh2XfiVHdL
YrGJ1FgKKz3VfXLhON0U86E21WWbBPo7vY/HjaFCWYcF56fFLnQ7cCWM+YxjPWImAokxfFRSFzyA
XRpXZjPqH1OztD8TBuleZ009zoZpNGFmjp+A+xy3ZoE2vCAx2jbr4Qy8IBm6blc6two4sbWPgplz
1tTNHWEu/aDecKz7pNYcaoPh3s7rpe0iZFTJXvhUV8W44llbsB/eNAqMzN57MOARa9wDEJ2oH2fA
yjB55EO8GFvjXQUddTba+Ucy1QhdrZt0SVhFQru+quddNRnvWi37oiGnXE4EVhDQoUjzfbel6tp1
3pifVE3vLFqTyGlqvTxu8u1gqA5DZuMdnLetGQaPRSp0JM2MepMa0GDa1/E71+HYQ2vhrI4bmumx
kWyq0NnBLsiWMB2vxsY7LuJmrdbJ+4Q089BNOfOi2K9dhu+qVpmULtWtCIwCSLljwHLCkkbCuBpN
K/JkL5hwgBUnFk6bxnmvZtk8CKQ43bEvJVRzYZcc4rQEe2tJr8CEajY1FKKKVc9dddBAKrorouSv
7ezGHpqr2K0FzK6xwovgXLWAz9ukXwmznLZWNr2jylkNAuA7duM29m8wdXLa9njUpy4XCzF0rqST
hWtwSf4HPRUzShv7QbEhHrmgKBeZCgcoLkzMyFG+rPzO/qRYFD9DH3zqnGoQIJWGnLmaM9A5sXsf
udzYLONBIw+psz1UGKV56seJTF10AHdpjrliWBfewaImJ73OOFbmVbL0etdcFcJz2A3cbBEpgXNm
92AQGcOh2vW1CcqdDn+yEMEqaUkVHG06X2j5xUkJK2I5OAHPeTRdpV66ijl8z1PyRc68BC6HYVbL
kk6RnhIq1rVOs/ATL1hWnCzWGvQcjBHdNqtGxk5ZP65pITgLGAr6paFArvDoshazqo3dOfY9YrHK
Xr0bw7G/9FtH1LPeVj1lXo/dZDCU69RjUbuhTZ3tufM84GE785EZ3Cqe6wKYtJRPYeICYjWd7Dwy
24WCb3TeVqO5LUs3XI+KVq3/+0/WX4s4KXn/efn3z4c7hBk/OFu/+OmnEhAEAPQlZuuGzmkZAvRz
BShpjUjhmbgbjM8dXVLYn7Vykg0AaAAIvMMZmvH6twrQPjJgW+hI6JDfc2rn3P0bIEfqvO9O18B8
0Nwx/HdMR6VA/Q7kCLWOJTI11sYUxch4g5Hs0LpUt0Y0OFeOZvcbZZomhF+OubObwHusFNs5y1qt
uCjpL8MI46i8zNKh+5iLvtvl7LNnauXh+oqj0FqNnW1CSG+LKxS13bKx6hitmpYgRKk6e+GLMr0m
94XUi6xUPtE37OIFHPmRjA21dUkkNFUeqmzEe1Rq3nnlM5XwmzE5n7SgV9eD04lPYHPUy1YdFHtR
ijAxvnhTkmJHt5OK444WFbOyVoYtxnL9cmp8ZuZpmLPZgiFh9mYOx7Vm1/SYQv8YUVC+ZH1ALgeY
kpM8eT73rlpUjyM4lo+os52bulVAsbE+5emypgpd2FMWn+lC9cMlw2MHOV9YnzgTHYkUUu44ywy7
/2IyXt81zI8BTOPof+RA6D/2iL55wHGgf4ZzdZyrQ/gFUO3wAHiMSToBiZvRpP8ukta4Z9jSz/rA
DzhZD9BzqLS9CNgDhLSV2TnaGUi9Yuv4I46/3NDOzDjFaj7a+gaognalYoTCyE0Z7S2qDLa0mqvj
LaI/HZOiMQRCjvnTM7dVvJumm6JLBlFLnHV9OdfpztDiNkrQwBSeMwdV98y2lDhd9VbJq1tVf8xE
1oQb5/gnes1NsrDNPK44gprDmsztgiFsFxVr+rf++7Iv4jM27OBqTOp+WQEyZyxU5+XSHVJUc61l
Kx/iTFGwak/dbWvX7oNAsnCr47kI50zngZSVJpSmwk70tRkjtp6KSmOUkmWc9CPGwaB9zfbaVKtw
gCsQIyTvXHGhuC37Y5tM1WyocJYsIGxWt66ROEuMiqAD8pjWaMn6v4iVpLt1XE+5YlGFkZGTAfnJ
TSptZk2mewXeGJty7zADngVdds0kL1HZQqr2KhkKAuBHW+luFdXOb7VJhCeJiZ/AJcKrm7V9XgJB
1If3bl1YG0uU/QlGC2gQ1Rjp5L4P/ac+z8p5BwLtxPLNni3V6E/Q0ynLIe9OQt7GriwYEpA6OyUg
gMqaRmnG29GKeG0MevlgRZQfhjXcIZ0noF2zzzLO9+dQB5Hg0xgGS4lr3r9TlLB8GMiuMQCZTzjt
JxjcaErwkxGilrerQcnRhxZSEwed3D6WCU0L4rfKjNSHsCYT3VcZvNlKoF5a4yTyk7CrlE3peuUK
iJ3lfeaUpWhzj/H5TiWoGFd9pQzTad/XYbLVaO5ddZB04vMGZRiZu0AkLzhEgm1X064+VbShuLab
loDhaPSMlVlzLGzMPn0/ldq7pm5Llq1AnFUQ5AwIVHTnF17gTsnxqPXM59oJE+Ncork7xJSjXc30
rjfYUEWzSs1uULZmnvv23AjcknRGKdRNRazdih647Nwo7Ma5GKQCV9h8wJWRo0xDLWoNS1cKeLW9
ljeUsl6PApw5k0il4pf5lFfOdKeJoKXyZvITLcCV0w4TkldKw3o9IeajWPbBK07IQ0F0iPQLg67u
PgRM9UUZ1LbaEqueOWexaSmLHOgQo0cfFdHMDoxuOmG8XPnLguUVjZEm4bJtY1TLFiiusq6Y+R4b
LL/iWskaH+io0UCQ9OglEdoT1UR44SVicbXjyZyVbgTlsAEPxi7Qw3iEXhjZ6rthlMtqpoZcNAj8
Xv658VR/Z3IeWhAb2n0YOAtrZyxCylnKPXxSGkJzFqbPGg6ZM9IuOUIVO9spxWlXJ9EyrMziZGiU
EqcWyOAVM1SbyFL8BN48NtDUzgBMgZQYVXFrhCkRRZ5f4CEgGYjjJyF3H8zK0T5BzfVWSeTkD1oN
QoFbqne8OWN9HMNWCN4yTQpkPard+ndQpcQC/e/wScsNTBE8nVde5HnzVG0KMK428beV58CvMdRq
h4vFWLSOP3z4P1MLScb0z2uh3eP9/c/lh/Jnn5thiPHpPTCVcvHtmd8qIQPTgGVQCOkoHwTdKMqd
50rIOALlpyEuFA7ZiaQ6fquE8BoghtDknFsQoaGav1cJmd/1wpBDYBXgz2KYQVn1BzlEWdhC+Iz5
vDI2m3WDLKiYh6WSfe7qXlwLsui5YTRwtq0kw6oVWOG5sQfGkrswnBfKYGyTBp5s2ku0rLXHzGoD
qe+nlodycI2DChRtIKm0Nhr6EMu5hNUOqNlDsnG16mLqHOOxw+2yHVQFvm0gUbdlGoYb9EQGrnpA
uGrct9ihhXHjS0yuqg0upu3hPZ4/Ol8jSWZm7GLNLkxyeEoXyG4DOeezF3T2qiXua+0zePRnugTz
antGr7Hn9doS3YsrOYoZPggqDQsYMAccIhHwD5TDOQYlkL/taLrH6WTpAHu9bukXkgkc7vnAw54V
7HHYOtb2BGEztRmfsIxNZ94eLxzgYWaAXCqIJCk+qquWqE7njA0vuEN6lJ4bklWMO19/76IaQ5Ym
UcYEA1knmfCtE1eSjvUUdz2JHvCPJZPq1ATZcmcmJnwVyUkmALOGDb3HJ+uZpDwFJi2SuYgbjjd0
82KiC+Aua3sEc9iW4wkTVP06rrVw0+0Zzfw99SdvT25GAFtYMzOOgxu9kljngs8d3lwgJnOh4cFe
j6qGiNo0EadIB4V1QUFdMlap9DHBD55NBgKDPm9O2rSYTkKJlrbtNPg4qmpNdDupzjGCwnK8I0g7
opPWMDPJR409dyB+jUZcafoOWJ/B3yhRVrATh+0H5IFDDiDCF/FVkLo501h/MtP54PYNAGl/ipjz
0maVSpbYXHgGhH/XKfLbvh7teubScbIWYclMbF7bBUJAI9NuxsGuTRmQml7beulIkhMiRNfOKsTn
CUJ8Ju7FTm5QKzNve3haVVrfEFxGSUPq0TQHXeV+Maa6PdUxLZxX04AmvtP0AUB7NIh6qaWj9W4M
+WwQfSjFiqQjY2MWI9jfzFBXhZnrn/zOCJal7423Q24xJFLS8ZgDrdiZduNt6dVy5BCldg7sV+1m
1EvmFzrFSEprkqN0FKjXcHCjGiUHR5DWH5x5x/JyBldkvLcrTCpRMXqfy9LJ7gAoebsc/foHq+hO
EAtkm4ExNuMXO8kfQTMr5yaQG/gVVAjKDAZEfSmxid0celY8buOqjj6auWWuW4A9PgVui3Qj76zj
0TK18pjJoKcvJqNCIWwXoAmREvpLywJANpvGRAlXfkJ+3AxTQxJxRtHaB+qE4bNlJhgA6NNO52aS
Gw+isrStVpjmlRsKOW8PRnNDbSMQN8NXXowASMeZXU/Wkl5ZVLNlBoPEFQAnscsg5vpRpEbw3DQ2
Vy+k/oBzjhl6CsD6kp4DYV8FbX0+xJF1kieYQsBLJ4G1GuAHvE98tzj3Jy/+mGp28lEFbVLPhqQp
P7LVB+txHO11IUKH8FgjOzWwLGyo71T9BMaEwhA18Q0xU5UYymUPOlXmS9jxpi9Va6bXxniaTjaR
7oZea49g2KxLrwu0cgFMLLLmJPwZ+Z3dT+oHKyd4HWFmVF67aq+j+hD6dNP3hsmjgmM5mMkkLIo3
O25xSwOBmU6HSKT4dnvFx1/s2/h6zDKdFmhWp/Azp4Q6pPHqG+ZDOzRtsvXjbozf2UqLTLpqLRbL
rC4BJ3vFCLxDJSvJ3iRk/zAKUCciMpJoykmRTwe129F4C/15rU56uPZLO0oYYIRiuHE66FgUhaLH
VxF0AQGBOn2dC+xLyRZta7kdpAF0DVAtYniqBma2qrXsg6dSUy7zPZg7j4exWuqFYavLmIxwyhts
XeKzChn+PoZEOmf6apyVXQTpu91Tv5ktaFtajDK9eM8FLzOtAm6654W3vjy1JLXvuHOOHdq7aE8X
j9FRscKR8S1AjgEgJ8KYfBDax6BDJqFF51qNiIlP1CHU2OkG1DSdqze7Ohnqixw0i7Op9pzzrJzw
VFGCaVu6fZDQ2z0VXe0BpBeFyPBbsaExdSkkQx3iV/6G5o7/7/PwP/5jvrhr7pZZE+I0bx+r8fKx
btnen5sx8rvv8jBrrvP/7B/9+hf97XH/ytdj8fiPv3/O26yRf4GPi4hqa/8tiU3S7O8Lt/2ftP97
f/UbEojeTfvAr3aBXtKgQs3M/8gvfmGSZ/7Xb9tHlHOoRpznbz/NTF9coZ9dg1+/vaeL+et/8+oN
3D3Q5FmEdVOFn5tXlwD1NqAr43s1708uxHe/518XAvEtflIML7Irt/96dSEkPsvCDQue5emL4paK
+Q1dCGnUYcb7XSH/u5dBkOxrM5oW/KIX94Ej4+1Mm0bn17f/dN+9obf/PJo//ALQcpWCJK7n/otj
xIsLYR3hW8J0zD95+nqzD8T37e3fvRPcIzraT3fUi/ePJ0wQa+rYz48JR7m39hw4wlU5Rr460P7u
u+fwScsexryGZOLF+7dxxhsGvhn16+3x9EJv70HQuW8PugIuKx6tG/r+X+/01xeCjcOBRwwu8K3d
AF9XAokxPOgCEFyAb4LhzR6AKD/uV3eCzOmyJRT6+dtPF/zt3Ql/yEX9D54FtlgGWEyQ9l8sLS8e
CR4VGjtk20nl5ltbCxBZSX7EQTeCpuPZodkvmZQv37dxxFyf4knSsvZfb+3tP++Jhy4F5hGIT2Ip
aMM9fbHov7gQlvz8JUZMlpLy663uifqhxYHEvVvYANxv1cGrC0FAisZTQDn99To9vd7bWxIgsBz2
SACGRcFIOvLzHfF6c2BJsAGyGYb9tVx+Kkbe4IV4Kl/+deD73bUR8B3VIPf/052/v/dfPRqM8U3K
pefvv7kl8nm3PPjRIAEbvLCDxf/p6/ViaR9ZZCu8KKvfXN34fCGePqH//I4AwiCjkKyXFeKLO8I5
QgqMxoxL8fT1VssG/dD6iW1TZZ1k6sN+8OIKWEdon8nnxlb2bTd5W2XD861w6OKAAoiseIckhdel
I6dpgwaxIVPh919vroa2n8xCB+8SDvFh0ib09X2+rhvMIyzTFJWM/74tGW/yRpCTzIMqSJvtEKv4
/mnYv9XXT4Q4ouXg7PVjb/tC/EEz97vbJSg4bgbOCl9vCKmWe7E0sGQYDlI151sF9UZLasmcO/SO
QAHIHsBU/Ad3BMY87BrE/LzZCvLQBgsmGNlaMPcEhf3d8OpOMI9wJaIWIBDg6eutXghpqTnoThAS
2oT+Adzy09frUprrhExNRcT59dtvbq943i0PPWXKh18XOiqN11dArhkqilj9+azxViumP8A3f3d1
3DcdaSzv0y9eLovaET5xPLpSQvy2dshvSJSDngGKYo2NQah8tC/eNy02Cy8YUPG39ra/3vPmoQ8/
PUb54LsMdn/88JsUyrQcnvfLt3rri0N7bCaCeBZ7w3pRC764E2i7m5qugzX8uh28uQshD/h/9Ov/
7gpg8SDg1JXF4rdt78VlsI4kP5dL8danT3/w1v7+hWACx8f9rbf6+uggjvawAM18Hk682RXi0DOk
9IOQ3MQc5od3BMHLTGUdsprf6BL5B2np794JHKLlvFXYxCTsv143lkxEokicv90n7tMFf4OtxkOP
DHIMoTN7RKHwowvBdaKpJNhK3uqdcOiRQRwJRrvSz/7DRwEFB14nxtN//v3/ibvkm+BnHoTJw17q
Ez7WP1IE/ewfPKtc/vj975Q8r/6hVP48vfa/lED/+0q9shefvPjmsxhl/zpff/zrG/zjS796red3
9fx/bsLH6q4Cx7//xvj1zzy7SxEM/Rsw3gvV0qs/dv+ZPDVVf/nbSXz8IXdPLnLPsp8nUdR/8ut3
/d2PeDnful3/upr/+Pt/9PvvHtrsB6ZBXuBJk3DoC8zBEtR/uwy7x+pHl+mrAujQV4E3kv2AfiEV
Rvtp6qG//0+Aiw68jz7dpV9++FF/Ldxlc/vQd3Gb3z8+/5a9GO9JiSa73Yf+6mv+9vsf3EfPfz3j
u0Nf4goSY/ODD/n5Jei3HPoS+9u0/uN9+vwSbFSHvsQ7BHyPd+3PX+MvWDT+fcDmgTfrefYL1owU
Nh56lc5C/0frxdfPQYZrHfwKdzW37C/80rKnc+iLnNz5+c9vJ6n3OfQVdrn/C6PTX/Bg/wkr1YE3
0w68QfijPej50/4LHuzd3Y+2h+cX+Ase623o//Jm+gue6uP054ufNNEfeiv9iaydAz/p1eMDZVry
t/ldETb87/VjVYVNXo3Pf/yLTUki/w59R8us9X++0spW2MGvEIfNz58/OYU7+BV+sdLKnsXBv/9P
RDUc+LEvHpPm56WB+Rc83rPHrP1FTNRf8HzP7sbHpP7Fu/gLHvDZXfs5+MXd9Bc84/+M2fGO7/P0
p/WH7Iseek/9KRTJgTfVv48N/eUL/OiY+c0c8cfD57P740c/9vpkLf/F5+Txrvrf/w8AAP//</cx:binary>
              </cx:geoCache>
            </cx:geography>
          </cx:layoutPr>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Customer Churn Distribution Across States</cx:v>
        </cx:txData>
      </cx:tx>
      <cx:spPr>
        <a:noFill/>
        <a:ln>
          <a:noFill/>
        </a:ln>
      </cx:spPr>
      <cx:txPr>
        <a:bodyPr spcFirstLastPara="1" vertOverflow="ellipsis" horzOverflow="overflow" wrap="square" lIns="0" tIns="0" rIns="0" bIns="0" anchor="ctr" anchorCtr="1"/>
        <a:lstStyle/>
        <a:p>
          <a:pPr algn="ctr" rtl="0">
            <a:defRPr sz="1800"/>
          </a:pPr>
          <a:r>
            <a:rPr lang="en-US" sz="1800" b="0" i="0" u="none" strike="noStrike" baseline="0">
              <a:solidFill>
                <a:sysClr val="window" lastClr="FFFFFF">
                  <a:lumMod val="95000"/>
                </a:sysClr>
              </a:solidFill>
              <a:latin typeface="Aptos Narrow" panose="02110004020202020204"/>
            </a:rPr>
            <a:t>Customer Churn Distribution Across States</a:t>
          </a:r>
        </a:p>
      </cx:txPr>
    </cx:title>
    <cx:plotArea>
      <cx:plotAreaRegion>
        <cx:plotSurface>
          <cx:spPr>
            <a:solidFill>
              <a:schemeClr val="bg2">
                <a:lumMod val="25000"/>
              </a:schemeClr>
            </a:solidFill>
            <a:ln>
              <a:noFill/>
            </a:ln>
          </cx:spPr>
        </cx:plotSurface>
        <cx:series layoutId="regionMap" uniqueId="{9BAB4D54-08C8-49A4-9EE0-3A729A0374E5}">
          <cx:tx>
            <cx:txData>
              <cx:f>_xlchart.v5.6</cx:f>
              <cx:v>Churned Customers</cx:v>
            </cx:txData>
          </cx:tx>
          <cx:dataLabels>
            <cx:txPr>
              <a:bodyPr spcFirstLastPara="1" vertOverflow="ellipsis" horzOverflow="overflow" wrap="square" lIns="0" tIns="0" rIns="0" bIns="0" anchor="ctr" anchorCtr="1"/>
              <a:lstStyle/>
              <a:p>
                <a:pPr algn="ctr" rtl="0">
                  <a:defRPr sz="1400" b="1">
                    <a:solidFill>
                      <a:schemeClr val="bg1"/>
                    </a:solidFill>
                    <a:latin typeface="Gadugi" panose="020B0502040204020203" pitchFamily="34" charset="0"/>
                    <a:ea typeface="Gadugi" panose="020B0502040204020203" pitchFamily="34" charset="0"/>
                    <a:cs typeface="Gadugi" panose="020B0502040204020203" pitchFamily="34" charset="0"/>
                  </a:defRPr>
                </a:pPr>
                <a:endParaRPr lang="en-US" sz="1400" b="1" i="0" u="none" strike="noStrike" baseline="0">
                  <a:solidFill>
                    <a:schemeClr val="bg1"/>
                  </a:solidFill>
                  <a:latin typeface="Gadugi" panose="020B0502040204020203" pitchFamily="34" charset="0"/>
                  <a:ea typeface="Gadugi" panose="020B0502040204020203" pitchFamily="34" charset="0"/>
                </a:endParaRPr>
              </a:p>
            </cx:txPr>
            <cx:visibility seriesName="0" categoryName="0" value="1"/>
          </cx:dataLabels>
          <cx:dataId val="0"/>
          <cx:layoutPr>
            <cx:geography cultureLanguage="en-US" cultureRegion="NG" attribution="Powered by Bing">
              <cx:geoCache provider="{E9337A44-BEBE-4D9F-B70C-5C5E7DAFC167}">
                <cx:binary>5H1pc9y4suVfcfjTTMSwGjvAG7dfxAWrSrvkffvCkCWZO0GQALdf/7K02FXVdr+xribi6U11hG0J
hSqQB8g8eTKT/c+r8R9X5c1l+2Ksyrr7x9X458vUueYff/zRXaU31WW3qLKr1nTmm1tcmeoP8+1b
dnXzx3V7OWR18gdBmP1xlV627mZ8+R//hE9Lbsypubp0malf+5t2enPT+dJ1fzP206EXl9dVVi+z
zrXZlcN/vryor83LFze1y9z0bmpu/ny5846XL/7Y/5y/fOeLEpbl/DXMlQtEUCgUo+H96+WL0tTJ
/TBfIC4kkyFGdy/68NXnlxVM3yzmxVt36W4efv+zJd0u6PL6ur3pOrie27935+5cwu7QlfG129y+
BO7kny/Ps+SmzS5fvsg6E90NRWZzJecHt5f+x+6t/49/7v0Cbsbeb7bQ2b9z/9XQX8CJYId0L95k
/U37dzfk9zDiCyUkDgUXO9ioBSeISUnCe2z4w1feYbO1lsdC9JOP2EPqJ+94VoCdXF77GnbTU50n
jBZUEU4JJjtgyYXilBLC0Y9zdvedd2DdreOxOO3O3oNod/BZoaMv/VWaPSk6ghBFFFN3ZwbvgATg
IaKk5ATA20bnbh2PRWd39h46u4PPCp1X4EZuLv3DrfqZ5f89QxeCt1GUMcXuLdruGQoXQhFBlNhz
QvfreCw8e9P38Nkb/XcB2vVOL7YdMbhYIhDh9wZC7WxNshAMhZgx9nC77+zGw/KWNw1wjwo27cP4
z+D4uSP+2Wf84i5sf83erdA3dVb/1S3r4/8GbvlkuGyf0MirhaJCqhCTe6zkDlZsIYQCE8MfSBNY
mW1rcruax+7Wncl7KO2M7cHz35s3LW9K94QAcaBGkiKB5E8Pk1hgqRgW8Ja7196hul3NYwHambwH
0M7YswJIm7Z+wrADkwVWktNwzwHTBUXgmil7OFm7J+d2FY8FZmfyHjA7Y88KmBOTPCFBkgsZslCA
J/pxMrbCQQEeGP4TEiKRHYsGi3gsLJsLeJi7h8r20LMC5a0pjHvK40IXSGCMw+8Gbcfh8AXFwFkR
feAOe/DcLefhJt8B939PD3Zn70G0O/isQDq9TEz3sI9/djt+j7wK8DkiRBSzHxHe1tGhCy4l8Fr2
MAz8bvsI3a7msRDtTN5DaGfsWQGkL6ebsntCWsAWUpBQKv6AwS5vE5voT4VSgv27fe3Rgvv1PBak
vel7MO2NPiug3gG7/vqEOKkFqKmYQiR4f5R240AI0yWVglJ5T7CBRGwfpbvlPBam3dl7KO0OPiuQ
bkXJJ7R3bLGh0HBi7g8LgtOyZe8EiJaIISUfxvcklbvlPBak3dl7IO0OPiuQzi87OEvDk54lRgEE
sS08bsGkFgT0SsUhVrp77bmlhwU9Fqj9+XtQ7Q8/K7C+XFbfnlRXgKgIAcMD9r1/lhgG7YfiB2YB
fmvb4N0v5LEY7U3fg2hv9FkhdHL5pEErXqiQKRqScMfUQSKGCvBXWN3js6dPblbxWGy25+4Bsz30
zFBxXfakSRey4AKEAyLvjRgQgi0bJxeCILmlBu0dn5PL2/U8HqKd6X9BaWf0WQH1r2K4fHH01VQP
5ubfj5LYIgRSIKjY0kZ3oAJSQYjgW8LdtqX7vqLHgvWXD9iD6y/jzwqwVZG5p1WDqFAb0eH+XO26
Jb4AkVXRHwxwj4ffruaxQO1M3gNpZ+xZAXTReciR3O3of/8wyQXf5MoYYHT/2rF7bMEg2AW7KO5H
92ShzWIeC8/23D10toeeFTj/+rqpK3kqcPiCcUjZATW4Pzy7QSxghzmkKEJ+P7xHGjaLeSw423P3
wNkeelbgHGfJk8ZFwLUp4YQKuotLCLggSkLyoD3sBUR363gsMruz97DZHXxW6ByY6uvfloD9npZ6
W0UDyblwPz+EFwRBHZRQe67m9vsfC8rO5D1MdsaeFSQX0xMmIEAmwBxD9dJuVQKI2oIRFe7DAd/9
WDC2pu5BsTXyrIA4ufn69QlJGcaLTeqaS/7TGia2wEiC53lIoIb7wc5mNY8F5/ZSHibvwbMz9qwA
WtU+ecIqJkgEbZx+SB+i0V0HIwE+Bo4fPyTr9hzM7Woe7vGvycjPS3l2Ju8BtDP2rAD6V31ZfX3K
Ah4B5kxRvAlu7l67lbViAbQNQyT6i/qQ+/U8FqS96Xsw7Y0+K6Bui4yejkKHi5BCSZzaRYcvBMcY
MgsPJet7Fu52EY/FZmfyHjI7Y88Kl39dX1ZPyp43LBkyqfLBhoUQvWzJOBtyrRRW6ntFwsOmuKta
vF/PY0Ham74H097oswJq9ZS9HVCtgyRIad+5AByULZD4IpSESKgp/aGabmttsJbHArQ1dQ+crZFn
BQxUt/onDHDkgnIEyLCfOyC1kNDXoSTb4wa3q3gsKDuT92DZGXtWwHw2Txp4Ql0igT4NaIe6OxS7
mQTg3pAp5UDtdu3Zf7WIn5O1u1l7SNz98llBcFQ9YaQJpbuKh4wDgf4ZNYN+NSGgFWov/oclPPZY
bE3dg2Jr5Fnh8a+vPr988b/W0bv//bBNf6U1P2Er3K9u0XYIs/Oe3+xUhO4POJIU2hHv3RXf8WZy
sdkuEqqK74f3irduydu+vru7np+f0u8Td978/7wR8dfIfG/nXF66y9VtH+hWn+Lfj95eInSm7k39
O9H7Dr+j6z9fYoGhe4ptjN/3HtPNB93Pfmhk20927029uezcny/DBYTIFDpPEYIMBZIbBWm42YxA
tlZyDCkLxqDGC8I0YP+1aV0KC4AuGMQ2nHNTagnsEzDujL8dQpALoUA3JShSMEbk9y7cV6acElN/
vzH3P7+offXKZLXr/nxJBFxTc/e+zXJvewcw9BpBjZmCXCTj4Iibq8s30OoLb8f/pw1IgXpOD0w+
d+OSwjprjdpBflJVbk5iMabtUZbUzSdRypEskySeYy0tvkyDFHUaZwh9c2oW7cE0dydWlqPTxub2
PJfUdYc+puH5nDmRROHYlx/Hrh/5UTbjMY3c0L6fTR6XkeRV9jFJgix/G3Y0n6MiT8W09H1HDgQ2
wUFZCT7r3KLwxDnjDh3tsmLZ58O4msPK93oqg84sWRK0B2E3qSRivI/PpMyaMpqaoDgoE7ggbVA3
nuM0aw4m3+GozMbhmBhYgw7G3r+CBuE+i1iWVL1OZkPPu1zVr1ExlcuUN+wyaXLxLc07e1PUc+nW
NlbsdVeiMdQB9n00diTwusSBeN3FJMDrmvH60PIpLXTpJrIqy5FdUztioZPMwtcCdsV7z1TvNart
eNpPZbkyeTOvoUaGXXFVio+hSwurOenwqSkQXCyXGYpciUSqkfPDQZ9NX8peoPGkL/gwLSUq4tdU
xsGg/czpWuWs/ygCEX8uy5hFOC/wsmlV863MW6tNQeqjwZT5xYxadaGSuHpFiiQ+nMUUautNrm3a
21QHfc8uEtKLddq76vVcWH5oZdFfxDIH1P0su0uo7smdFlVWvC9qVXwUSTe+D/tQHcys49e0cMN5
Xyd8zXgWM933LrmJJ5nIpR8T8r7kZRNrE5aUHTRwZN6LaVTv81qOn1wT56ddQstaC4F9GE1DzNOj
2lbpKhnK/kT4ojhsTF7641BalEalKuwlaYf0jNs4P2wS0VxUvsVGj3FeU024nD66ulBRqib6uhBV
+LUIoah2XTc1+dKnfXFNfBZ8DYdUflMinw5H1ooVn1m5VlWPPzaFwhcDT9lx5c10PnSj+TzwMTmZ
h7mMxp4mZ27McxMhQINFQUbVincTKqMuM8NHCbeMaeswfl3Mthi0qB370rmA6EQkrT8ISF1/EIqL
D9g7u0obRCOVi+LGT2W/UjnPXw1CJEuliuGdxE696ZuOvmeJa/NlkOII0j/iJIzD5pISZy6yIESh
jhPXV5q1XdZpRKj5mNcqXvXBa9ZM7nxKAqqVqMxxP7fsIg1HdUjGYD6yEg9XHvq0jwbRFGddJ8d1
2KCwj0ReyvM8LRKdppR+7rvens8uFkijzqNkVSNWX5pqyg+Lwhf9uiFBjHQ/0ulD6lK2TuO+XsZF
aj5Cq9nwrc278CNBFdUW0DiiXpZzNDaV61Y2EMLpks7ZK1zm6QVBQXtW5Qlbu7ypSl2gpjgS1PmP
uW2ndYoG1B+Y0SfLQRTl2eRV8woKOe3am7B45+as+lyXfZVpk5X120EVWXMSl6OsIhPk8m2vbKBT
BD1yh4mUVPdNMmBdJg5/SKWxJ6SGkwT8LjkytegPBlOUq8CS6bxzGQmORNwjFvV8IpMmcFvPcRxW
XTQ01gwRrnD5IRuDaT7MeFzp7e7CHUt/ZZqpzZL0/pEL33/8j4vmpn7r2psbd3bZ3D4M4MfY7o8/
nhWwcXPfHxyw5zzvHuzwC8/6t4O/53ZBYvm1292p8v+ry94kl2/9LtsEnhB0AoeGfyBwog9+lyyg
RGpDrsDZgXuFdpPvfheEBKDc4HbBZW8EA/XD7wrw4yEU1QNnh5QpxYL9jt8VwOG23S5ISlDzjUB6
hTZfyglDu27XBc0wUpVFlqMmiYTK/Vk9myDTjia+WDV8UEdxMpzSxiYsEqUKL4YusdOKYRQeTmZG
50VoilPuYr/uc5eBK4nDxB9lJkxLbYVA1XIeS+q16ctm0mEb1rFWPCXVmwG1Nn9D4yAb3qN6TLHO
84FEfR+zszJHY6pHKEsfV1U9dy4ScVUfN0XYfXZjOzY6TNrxPMBieBt6xWpdZ577FUEcTbq0trBg
mXu/BFcXuMh3lUk/sDk1NBoKCU69huN0weJ5XAuHzHWf0EBGqW+mflkYlPujOhPlt7C1J77JJ3o6
+bib3nXBENYXNgkMXk1d1sxLZMygoqq1lThPu0bQ87lXo49QIMDdN8Bp2k9lE+bVAU8SMZz/f3O+
CFC8X5+vhx7pnWedbDHbzey7Ewa5a0HhgSkhg1ZuwSiHPX7HbKFOFDpPgJxC52MIwpyAxNADs908
NgK6ISGA4SCc0o3wc89sFZwwSUGjgyruEAnCf+eAYQmnePeEKc6hhS8kFFQMKP0Gdr1NbF0wNLKr
grUccVatiU99qesiSanOWGHrJOKhlSc9FK9s9vhgi9dZnXXNcS2m9jpsjM0uhEupWtZiUFqGNVuN
FvFmDczJfkOTn97LuQurJWfzdOFRXhqtcqCFup2N+uhV7S/6NnmbMledxeDpr+IYzWTVFwh/CXJb
v3KNwycVS+urvIvx68bb7rqtpe/WtUCpihCKPTkffOWjAjPiVzmQq3iFemAvR1OCg+rAFi0yh5SO
jhxYOdhBz1Ne1keEV8AsRJy0/LjpK/9lVNjGS9zSfj5nTZ8exa1j9JBbRN6knSwv2ejYewZH/ZPC
M9iLbEhRrvmkhlZniNlglc3Gv3cNno9NjBMCY7G1Og/kgCJTjzkQHlvVtabFZIe1o0Zl53EqaxGR
qaZmNQW1zY/SKTzmFQfeKdPEFToumGOat4L5E4yK2S2TtCu9nmwaZu+qIos/CpIC93Gufd+ppgt0
wobgRsU4POwSlGVREgeNXdo4m0VkhPlm4qwpdCtMkwL3V+qQ8zIvlnHZpe8TPCd8KcraHdDKNlU0
Ez/V51YFzar0VRW+zscxfTsXlXwf4zn4Im3q3iZ1npqoDCug6dPMi0IHMnWlDkjrD9k8dJEHHnWx
ScVdBLQVbtlUdZLqgfuqjTKOISChGbbRIIg97mwdFBpVdZnr1IbzaxSrLjgfciJX1DNyWseyEcsk
nsQrCFTHIRJTR2GjhUX7tXW4OjRp08enUysCeuqliM/mGOc0iis2dBqCiZotVcOC0wIq7aUGuuac
TkM7JJqbEkM81g+rEqHmtPBZdgEwUL9MszKt9Zg7HGpWKeJ1GyZ5oeWQFp+LSZUr1tO2jipepjdD
2aJ1SFC8kkRkQwRM0V8mPo8vbMuSw3qOk1VhkwlFsqz857KLe7ziqgrwipQkexNDK0d3FAStK05t
AQEfD2NhItidUl38z7fUUBR8lw38tZ3+yfOIfrCh7/MfNAgmGZR6QU0/2GqyyWE9SBDw9Aa1ISOC
sE2fGdT73xtqaGsCow7cFR7wgEAoRjDp3lDDYx9UuMkYQ1MUJFawUL9lqTl80ralpsC1CIeugs0n
bmQSIF3blhoN2RSyuFiOtazzZW5Nc+ENH1s9BthAtEcxG3VXmgJizK6gZ4ynwZc5yASH6HRApeYQ
yJ2xLky+FHlG84hWZOoh2mpnBP3wch41G4oMogOVyOaQBS6F8KcYqjnKY5JnER3ysF1OYnRWp7kc
nHZZauma9sKIlUBZYyKeJpEXImsPWc3KT6EsyDlLGdARl5TJRTu78DLFin8yiVPXTUzCNuom7jOd
tl1f6Ml7LD7FBL72Y4Kt4xqaley0LB1EjtFEwLgcD31R9ro2JIZwmCOmjmjr2+EoyWQWHyg8DK/C
usySJe862yzzTEiwShar9BWrbN3oWCIeXjRz3jYHbaXEpB0ER8OyyMf0QxYOnV3GSdBxDfTSD6uQ
1iE/DgdEqoM4zWawhhMhBGQMhnE0qmBekmTzfapiXRoJ27gEtJrCsWiGeKSMlEzRV0q8OurLuko0
k3iMl66EuGoFDDy+VnHjWi1CGpy2Q8US3ds2z8FtOfYG87l7nTft1OgiKDyO3FiQz7DIeoYQNan1
ZFh8PVgmyxWKyypbNkAWTZTJDauVdTDlB6pouNK5GAQ/6KsaPsp0ZffB1Y35rGwY8BVIZr1dJU2Q
jMskHDaRGAhMdj2kbVBAKDa2iQYZLvMRPMSBvReqogxIuEfzarKBPZMT0AfdzHNSaUMyP2iexrJa
9hUR7yydbbsmtkyDZclqm0YKQtv2gKZlfkZk7PLDWvis15kHQxtZ1jOjvS3DV7IhFmuKTBVGM4do
dEnMMPeRzFR/TCfX4iXxTdlF3Li81e1gGnqA+harYx4C5CtHCXVHeVYCYy4nkyvNy6ppdd2lKoM9
JFqlXZ6Tkx4lea5BOAwMaE7xILRvWvvpf4yRvdp+rN5DmuCW0EogrL82sN/l8B9mFW9m3JNfMIIS
OCzYwRB8FbTdPNhUkG43tehQ0bkJ8UIoH/huUzFdKBBrNvQXAdWFdsQtmwo9PZsCwxAYNUj7MOsh
0N4J9kHSvv95W9YFtfonNhWK4+DxPFDlK4GI79pUWXaE5T7WZZ9nzXgwIeBnmhKDwqO5RJM6b2RS
Z3rssyI98046t6SubLujPBlVEbWNAN42EtG+kx5o8bIphmS4CA2YQR3wzJJMJ94idQwcts6BMYDd
KA3MKBBd4q6ZU20rFGTrgsg2P5QTy3nUoNyIM1Z3wBjvNmSbIc915YIJayNAAI/6MZf5v2n5a1E1
8HkVi4cnsPyBLcT0ZFY/Z8NYnf3K3rOynsxbOudAIedmHsiqkHPYRbKRagbmn8apzrlXH4zpKH7L
TernM563/jQUsQL93gVlU+us8/NxaWPbXXRdjMojknvldCNIcUIERAtgJofxU53Eyq9BZEuBNvZj
HX8wad6z9RAGaXXYxWlLQYi0OV3ZrLNf26k2WM9WyatU1HEaITKxD0PF3WeUObC1uCzcgVe2sVHa
1Oqqi41pl/mQDd1BO4M0HSFcGaZrxSuklUrak5xzUKmx8BNft7mQU1SwrCs1mkQvN+o4ldGIYVkH
vBNjr1vru0NnguA67UG+0OOQZSc47tI3gcu6b1AD8t5lCdD/tMOIRKVTTaPLXGVv/WDqDG5QYddl
iUcaBXPbBlrMhH4kZiywLhiqJi0nzt941udE9zmol1GWlnOj+1KEgY7J0BHtxmr8NNbQqQchj6+v
iAOuESkK1FzPkKh4bUvBYW34NvKEQKjWZd3PRQTJ+PYGFJj4Kh6q+gKiYfw1Q3NerrvEjKDWS1v3
S9HHvIA/s+GLgpNvNfKItAcxhIONBq5EwYeM9XzJAt5c9JT7RFvbjrMueqPcErUxD7VKrZl1SrLc
HBPX0g6iOGIgWOIdHTSKhwlpAnmY+VMJWv9VNWAmD5rKkPqEK580QFiqpntbJ4SlSxmHWaZ7R4pX
OOfkTTw1xSkOQONdpm2Brq3tybxOMjFWuutz9SnniXjthAs/GSlBse8bLLMjU1JnjtKhrC5saVCh
q5JAEsBlMm+i0KnkhoA4DkFKaxWCwWEmUWfVVGlOzZBE8TiW74c0SUMwZens3+emTD77fINPWOYZ
05PDCi3FNIDpG7OSgFgrRlNqiOMtGCmc2LNQ5dV7RODbVpC3mD7M00DTi77qWgH7EJIIb1pQ+eMl
BSEJgkY1J4cMAtDhQBDB3SppxViueD60U+StYcmSBmW1yXmJFoEWxspMh3GVdLrwMiQ6CD1tlqzG
VQX8JU/RGlJvqdeJKTZXF2aBWQbM9Baut8/OuoAA/zCQNiw0nlUTL1VLY7GeZNB/DpA0nytmITYb
hqDpNWjNwO7cmNFZl15NOfyZuFEL2YmLsquHr51y7UkzJiBLJCGvnS6mZmyWHeg5b2DDjqCmxVUZ
QkzN0mGVTVaUy4xDZLds4MBBME9nN0Qx87SOJpAph5WUTZNexClKj1pQ82c9E5m8yWzVO8irzH5d
Ewts3DKAQEFartJVYjuQQGZRmxNXlXml7ZQnfsXAB3ldzDyv1iquXLjaSI1fMmVhU/gsGevI2VC+
6eIgnjVvRCqALoO/g209Zp+zDAFra7saqWUIR+0dY8J1eo6pOY4rgrtVkSieRwlrYqfBmiKkIVrw
LWgLBFijCyqXwCEtA7ssEwPJEJOT6kPWpXG9lA5xrEHvwVOERtR8ICCsBlHrC9h8fYZqSC/VFf8M
+YsiiUqQHJatyOd0ZXGTNhrDI3KuxzBDIHMgnH9WHLIh9RGE53wYPsSiggOtRdri68FV9bmf56zQ
BM/yiHdF1R/EGSm+5SMpz/ko+HsSZPPn0pP2Kg3AFkaTMeIadz6IgSQj9GE0eThp2rXmG0t4ejDO
0pyUeJ6/ZJj4szDG1ug0NjTUjc1bs7S2zIooswa/mdyMPwqeg1xRSVOEeoDZn2JLB6NZSOY3RRbM
34rA9cdYghmI2oy5g6HMZx+lvQwvGKmySecIYa77lkCiENnU9NqlPT7iXsKe8QMk1/QMhybTsR96
CgelF++KJEBFVLSx7DUkJp1dszxp/JKNECzonhfoLC1tetWNQaH0aBvKIl6Wk3qd0BlvkmgQ00Ku
xYGEHiRqmArQL+oqxBDd9Rm9LELkUpg4O+xPBpJU46t5rjho2EQMXp0mIe6LU5EEfQ6eZZzj+p0o
M1csB8iYwh4o5Bgf+iJo0QCqd4Xw0RTwEr1uJ6twJFlbVksoTAzrZSFoc6aMVeVJ7VLRajnn+Eqq
ZBiu8TQl9tSUcRkAyc8qsExl6LPlNBQx3cyc5qicUvo1KYN8iCiaqi4GU8Rit7Q+i2PQ8R2Kjzo/
+fSjmF3AVl3Q1fk7N/W1WZZxjvLDOBsSkWkBVh6DRjPBjQkdmQD2uevjL56xjq7QUIfs0HijpNF9
WPZMgeEqQ1uvW857dAPqPSw+gF5YdDCJPBjmZR9y5iDqgRhQnYaZi6dvLhxRcd6BgWhB56tUe5YV
iWnPYlTk4VEaFnjmqwq4xTgsZ1Sjcp0OjZcnSZFTyMzPiUlOSc/K5KtpgzZcpm5EAFPOKxdlLIaF
ktTHw+EYe0ZHXY0JZdd+dL48Top+Kl6B7IzmqAU6HRzUnXXoOIb8gY3QBHv3sIS4Tawtmosygm0K
mQc6iwx/6EB+zQ4SK4EKw0bm43vVQ+pT15wPGSiZxFoJ8SfGn8Y4GMlBpXz8DXko3DioixxSF2VS
TERXMQJllMywmZeQSPVurWwv3WFdtsV0BPe88NGE+qyLRJtbd5GD4SlP0pz4mwBo9JkaY/lF1hOS
a6ymIlvjtoM6B6r6cFoN8OxREs0Sx3NkuACtcp4hJoSb1pvzBmRCupo8Rg0InZDWOA3gwqB8IqB4
0gqo9qjbRtqvYBMyv+Y96KVgVVDGooQOvbpw0sMxx6oEOZYB7bDA1nxCwb8T61fQjYa+WYoKYPBh
BkqugKw0XQlPLNGmTot4KbAcS+AgvSuhgqJirbZ8hPMWhxysXgN+8z0LsxD+SZl9ZxjoKGs/Scej
dhhYF1UxHsWqkVn+BgL/9FtNRF5EULvgKx2ObDqBLH9ldQdCiluaWoJiYNrOG91ZMYSgSFZCHeM0
gVvcSpR+DHAjG9BlkgIKImibV1HNfQFUxRYofUV9CxmxmptsBHo7eXPChtJCMJzGk4nmIcjrwxAi
axkVdT5DNYL3RX1mxxYKK0ypLDmBHNtUws1rg3TV+01xSG7wECwD0P8xKNii4CtmZpVGBXxYuUTe
pnHkWFt0Om+m2kfJ0E1yOeTpMEE2PByu+mAugUV3qblJmqwMVzYGXfxrUzZsapfbGa5Z4M7MkTWy
Vz6iiRNtAdk850erZy4b3K9BbAp5uZQ8IRwygCMN4tU0UUeioqilvFBg8+PjuQYN4Vy21Zh/lHwY
fRzVLc1xE7VA/tk7oJ45BYLQQo59jn5fGTh7+B8K7GadbwPcHynp55quBs301yrCVmnllo5wX18G
M+/UBGiVAg0UBFeo+5ME9MzvqTTISENQAA1wUCMG7W4E/1Booayd3uqwFKRb6ITbCA33Ci1fQFaO
Q9p7k/m6lW9/R03AfK9IDJRjyKXDo8gIB8FjI17sqgl+RCLLFI/mKiSwdZp0BcVrwzpNe6VJE4Kr
wUlzxoasOzSoxzlEIu14zBBJP9G44VE8zEj7OiZvE4nceioSyGVBKNoNMRzwEAJUCDDssmdDE/UB
A6+SZsVx72v/Ci6vPiiwvwRTXX9CQ8+Ok8r0a0VyuQLvER/mhNoVLcRnYM1O04m0h9V/kncmS3Lj
2NJ+lf8F0EZwArElGVNG5KAcJW1oGlIACBIcAI5P/ztTNUhVt/qaln17VVYmhZTKjADOcf/cGfH2
hTAe5/1I6Dlmxn9qRtnvkykAShOsGZc4ZgLt1dlUDP1xnDWfM6+qMi9RAl9ln3zoQxmdh8Dx67Xp
ZRq0RZv2wXIb1itk4l6KK1MVxaUVstmNkB5J2jedf3SyJec4sV2aEG13hNJyx/pgPZqkZae2iOmZ
TaEHjsfTH2K6yM9iiL51ktW3ol7gxYdENntKm+RhFAncOtvIA0uwMKZRxwesBaFnz60JINAsVvZX
wldLRrr2CeoebrZmagJoKWGLVbSUWTRT4C1dGz+WPp/TIijfeRLGWDBM5K6vnL4qPMOfVFeQ/WqK
9jUqGRlyijHp7PMD1NmPszdae4x8XL03ZROU+wo72S3vevYxwuVw1U5QNVVk5c1SDRX2feogj84F
iDAeXqom0E/1mgSXljXzlzBR/CXGwnjgznyAGlzls8Q1llrptQM2l3LOyFQacAJh/UUkMY5l/P/O
Rst6hZybe1f5YvjiLczsw5a0e+gKbl8w0x0kBruunm6WxJ/3U5Rgp7TlS+Lb4eDxYnl1vsE1CV8x
s726gbsK/SvBNTt1F72K/QjYKi1rYnd9NMorwwQ2RunKLNLRvvTbdpdAvT//+vH4n3rwgVn554Pv
7w9M+QEiCPDS7ycfqig9dH7BZoKNhDMr+AOPBcCDniNgOjGKRn1Ipn+efCjvjVAdxqF+wEXAlPcn
poNHiCQciA5OTIAw6N8JfuXk+9u5hyMiwcEM0BaKLk7nn889YkM9a62zwbnqCjfmfAxEzF4lhZyQ
r/giorSAaaPTH75T/4N8i3ZB/ME/ULnAjDwf/cQIlvkJLNrNfPvREjNRQnsa6IwyWB5gDTv/myfD
WN1UZZnQa3g1K8EgKvp3S9xhkzOi6+EJVLp8t4pQiLQX8UNPvPBl8b0GWqwxy7NvE0ySevLKTwvX
IAbihsopx65mvmrSYdZX5Yj1pLC0uZpJYl0+xJiA8n6ZsBU4GkXDyamxPSfuOdKjB2mq7BbpYKD0
5OJqbmwqZEXFLo4a80JAIH5LpnUp8qmo3oegPA9BALEjFUsI65+OHljiWtS1zCWFw5y2y0odHOc1
7rJk8iw0h7DBeAknKsaB00G/gKuPY2LCN+C5CMh8j01hmXOIQRW8j7IkK+6nFY6aScwE3WnsE9xY
YsgXb6Ef8ApsmitGvXVdkkvTrt2xlRO9bmumz92owibTI1UvmO6Wu3Bo2XtSJfNnLVbQmQGuHH8f
j6JXh2jw6YFhyl5gwHXJjsi5A8xg6hEooMUOzGHA361Fz5rcRc7MqV/aqs28oageLAsGl/PgkbUD
vt+2m0mUTmROaiiemiRHYpUMjhPz5uam46bDQLtQ4u03FGRWtTa7mgdqTTFADg9TUDpzLk0j2iwI
kvJRsbhyu9oLVizRBcyfjdsK0oqt/aWol2VIQXcpjsVR6jJTXgQYJpAt29YuV4wHXHnhZ9XU9EQY
HYssNqsXpmLsGU29x6RhHc/iNcTmLizWeog5RZElnVerTLnRAcINiqTYV6Urp5zROvwAF5pDXomB
eezBRdf83HvDtFzgsCVj5i/BCU8F4nBmddFAKh04tpyVkwQ/Z9q+DjT6RtbOeimnmvqZS2jBsHjI
8Boqrw9Ny0KgzKao+BKXPPw0JUvyRDwqcIeMxZI2EH7vqxDQi51tpW+HGR933LNqTB7mealKfB2M
WJh881Cd/mvO942Y+ufz/ec+7L/NttuLfz/hE99DozfiBSxJPPCTvztlaHAIt2ogAH/AkBF0wNT7
Oyb2z07ZFk0DMoDjGP4bwEn/l054VK79fNTiD0K+AtVfuEa2lpzoL2c8g4jOpfB3nHgTlrlJmyOk
x0trivmlCdbirOKu+WQmSb6QWJkL/rXL5wmXz80Q0yTrJcR2NlXaAjDS9LHH7npVAB84xrKOvsVr
4Y1pGHX0llUUWxxzxVUMhf4smnEBdh9H+4WMywcyBHJXlYH/sWsg6vjFeNOMfpWRpBmLvB4WlS4s
TmCYdMvXIfasyJpVQ3j1ApFciaaQwAI6W9z1fiMw4nmq2U1UVmHKZqx3Gc6S5DzV2EBzG7Wk37XA
DETmvDZp9pwILM0FtB8M3U0fpnRK6IBDcqbQfCYIYx+C2NAyg6cHIrrknn4ZKGvGg3JrvC3ItXcH
b6SYs6Y20G29niqSqyJ2z7ahQ3+1iLm0OYB3mNNlr8fHROPSTXtasYe+RPYnFdCxnipWhXKf2Ip9
hebreGqMpcOe+Kv/bukESCONTTfZoe1olntD5qVPE0yjjy4oGky4kEzOfTGwKJv82njgWotJ3YhQ
M56WgChe48G6RxBSe6L0nCaQMe8rovzq84IBHK4+W73HcSngzZA1dFkDcupRzsIInJm03jV6mu86
aNVXep5Vm0JsDJZd34TQoXS4XubJ8uuRgJ1dw27MHDaA24auhdtJn0Oe00QOrzFXNoBY1ptv4zDb
e8kJ59lMVKEP/5soF7IC2ZCExWHZ7HralfPNClyPXWxtabmf1SzbS+C3UELqSLcr5uY/VbouKPsV
/4YNCitUvcwpFDmOY5KqtsP9Xq1UZFI63Zx/U+/4qvjOn0yz5HKeC3tq+iGyp3EKwmHXLpG/PiXe
5KdmHLvHqBEdBb5bey+WTUHzSTWtjjM+StrlSRdH96Fv6SvMFMQP/N4t12PnxWlYefo4cRuZdCU6
nFK/EkGUznEASq4js+dfytrOx7l25pr2MTstVc8OJRskZGjXvbdsYDbdAM/3ZCn0ey14eztNTj9z
Xcl4byriD6CPy/hiCydvI1gn8B2WzqoMAatZ5WVUqCbVtI1pasDr4D0lNeAbSGOukDO8PR9hiYxU
Lt7NNinB1YhFwhUXLsq5XMLjbBuGdULa8CHsY3oVYO35CnZnvVWqBPVJOHafFu/lr33hwP2FFQWg
YWDoqj0sSCDbDr4FBqdQL3mE727GFpyaGFs6rzsFrI5PgA+jq5HReKP44vCgw0K9Vw1ExyseDNWI
oIFn7zEwNSQNEmfgAdaS3E6sal7/719qDMc7wi3/7kr7+flxf15pf7z0+4WGhyL5QbRN5THgxk2U
+f1CwzIDfiMAwoHZHeQHxT7x+4WGW8vHWAUWGY8VgeaKr+Q3sQYPA8OSg44PCl5ja3eNf2VlCbZd
6sfdYbtPsVJhLwKdh47Rvyb6fCDyZh2WfUepuFs9wT9izcAQbefEFAeJSas5lVREmY7CgdyojUCF
row3pXsDU0U9dFfhRquWb+Dq/AaxAu2FdCzw5nY5Ig30dgCFfxsSz27y6HBcqxVAbLx2FWzdN1AW
8i2gWTM690A2ktbbmFocm/IhMk3D33Vh1e28N/x25bKrM9UP7hCGi4xy0MvyyZVK61zBkzoGlECz
mMgKZ98k60mC8joyQNpZyBZPHXzhBXIfRxWDU1PSeMzolmEsE+T3MFl7/bx9xkFwqSagkI1of/G3
/M38FsWBQ4xYTrAldKa3sA57C+54dgnIaQ3FejNvyZ52y/joogI87bU0V1sCaK5i+jy9xYLklhBy
k07YkbGBYOyc2AN5CxMBqUGwCGqveVgx/qq09b3qw7hlkDAydXvtFf29hyAjrFpklZQ3IbY0Ine4
Z4EbXqot1TS8BZzqDnk+WNP9NVwZeVtvSagFrI5Ll7eAVPgWlurxYTgFW4IqABD4grfq9K3Azf6i
tqRVBQZjj/jJ8ty9BbGs35QIZW35LGT6zCfdDavYBWCQcYGqqrvhUJE/jDXQHyDW8U0kGKZ2t+W/
AGKU10UH3xLLwfSlMMF64kWpnytnIoUkZMFutTHFnSn9sTjUTFmTw+Luk5zVXnilQsFebSHib9FK
+Jgjq+LpXHJE1mD1uvLLxCcEHjmWhrzCbaKzsk2onw4ln6B0uQoxwCTMY9JiEQGYz08gKFt8B9Xg
P47F2NyVibT93sAbSW1QwXut5OwdHPgMc4xM27+PJucdWlaVZ9hPCzCJuJt9HPhR/NTwTY2iDR7i
APaAlTsf8Ux1pFh099g1V+x+fkk+UuHB2xriAJetXmjajrO4xjXJjmo1IF+I6y/CFfNDAWtirxM+
PyiicBFyM2LvE4MwmRiX+aryLCjVCjTAnai4hBiGN3UFXjAHL1OUmfGn+VNFmb6CpThjU9ItTFpa
az/IFBmbbMCcCypgLkeSovxRAH+dOvUcbIi7MDgP8iL02PUc0+55JmOIXAH/1jZafgr5gG0xgIQL
010p6JNBAt5/P1N/TMHFT4dFlRakZkGi9/DNqyZfGuc/Y5YMXyabhPetBPOT8lb08PMWcwsSEp4C
nxV7VSYcDv4EbyvHCB1BL+i1uxmhakSHZV7wl3mjWa9JNMlPXhl6d9pShHVhkqt7UpbdCbd4eOkQ
gGpTMhTEpFFZxO+aQA5hDhaFqx2MNALid+3uVMLdTeRK/m5osLdnZDTkVCJ5BIdp5XOerIvOHQSQ
VxZ0UErg4E0H5HhBMtie+XW2RLNd9pujdepAifQ7vMP0jReW/iPG6qpNS520dV7xFZDHxCxI1iGe
jiROGoqxc1JZgZ/bnRhBOrVNuAWdl/ojgQySgkewd0vJcBrNS7Ev+liMOYxZ8Yn14JuzzhTlbhXJ
jNQgIlEuR8Ym3K9Qjl46D/oAvHkewF9PwDlnOMvMk6txQKQec8CcxrCu7SNVAQH93+kPyDTKvEB2
YD9gm0Hcap2eEkHCGCjAMNx2GpTvhdd9SHYeco3XXoxAaQZhSLO99TzAX7Xzu+nYG3/50CGuC/eJ
JRgvaaPKK0C0+En6K+a0cxEm5QiVe1FBHhUievWIa+5cpaoTvtQRKWLmgdGZzJaPdPMwHWPbdwcH
D5TnM06yBsc8C6HZCwHOugj6JjULZjtkXAGZHKcmjMW+Tswsci+CN7DHs0+lzXTtxm9dRIS8MIAl
9CDrZAQtjLQ4O/w3zDxQTTjmg39e4396HtyPI89vr/w+8tA32hUqLKJZ4I8gq/4+8mzbOAIF28yD
h9mFeMbGnyNP8C88zHkjWtkWskR99h8jD6Jjnu8DF0HOMsKv/tLEA8Dn54kH4nAMdyqGXoxfi3n4
F3uKBkoEvI9PDgigyapI0w8wm2CYAA7qbxDvlyyrO7WSqwlvzP1Q0SBrmE56UCuhgQCF1WGTuUDA
p1zytTqFyYoPKWEjCYC1yehm9pcuI21wN4RT/RwgjogFosBVvLY2yeBqt4+6qew1XawoUulI8K6F
skawQ4OHuMWY0D+ME473q6on83q91i0oLg4z+IyNjqCKYEE+/8sCGXMfDys5qg52ySVBycL9hCxC
gkg2Trs70i29Ocp28vIqKCN2ApFuDxNphp1FTo3umk62PpJfcfwyuIC0maBC3+PEMPitfAUfQMLb
uYgTk8WW+2IXhcodnN93N1GT0JwmPnws0Fl+2B1KmZRnj3e4TwlQVBsXKcI6/r1eR5aNa3iL47DZ
+bhY9htGdFKTxsjh1txiO8tKJXQWUmSPHK7zwVhIgA7zGEnao4R2f4EUXF26ljyFXnWoo22fjui1
RVJiXwlyQjat2MEly30fdnqTLPKI87POZA2OSaEj42RALO0AqAByQBohGM2JJ/OnZCBXVk6oLWiX
vHfTc4lnxpx9leBg6Jpdp83t6HdnOiIIkZDxIJvqNJKkz61d67y2YR4sGCeUVvP7lrDlVsl+PNUs
kS8ReI0iL4Iq+vhGwFFV6a/w/NXnjjqyd+MC5WFYx/PQ9+K+JJF8l1SREtmKhzqQswAjslzg9GOU
khHKKlLDICkRVs9pa0hdZz8ycb0BSbMvTNyfKt849ncmDnidOXjS4HrxRv/It3hBjxQgEi0uOkRu
smWqtvWUlMq99zBOP/mlrs4labH76ql1F/yrqjvYnwRMQh+VbVqzRTfbVJXsl4H7Mk08AVRzRnND
neq4rK/7WmGy6KgHBGKCoiYACTdx2q3Ai9IuiU2+FLRHYQjGkqSX8xFxO/I6DP1wj6TDkBVCtZe2
CKBJI2Y2HnuvQc5BRMgMS4fvBIT/AMFhi/ega/yzmai5x848XLy2RogjbMst/KuPBcIpDwUpK4wV
RJEbLVv7GJgG41Kn5iyJRHJsRN0Hv/F5kdc/rPOqzvO82ju8iaIzLNIJOMtCUr+Do2LtyHbeortd
Ncdy70WBfcXwBPiwmvn7sq7Cr2UYDv2163FJyj21oR2BBs9Ywh+9KR4tGEiyxOeYJ93eqQ44YrAL
jUJSZZ4xto2hAFuv+fsCcnQWVBXLfB+XLq9BXMIRChAIRGkFCJp90Dyq2oXnji7VvtJ+D3u4WfYz
WJG+Wx/U5K76csHm43alGvLatzde3x8djF8Q5uqGaGaOdW8jDBSsz1ZIkjdtyIbrQlVrDinjAT/5
9R6CCuYOv+rBuqxkN0DlfzXS8qs2FOUxKpbHcINzqCw6fPbl8DU2ZrrTEjvi2KvdlJgbMw3hI7pY
5DcPY+zrNFcsj2aYCpZ7qMJYpHgHdaTFecD8S4Hczic8+ppXwDCL7thNroTuaVpwywrkU2eCE47P
/rwazPkJDrU95Eep0qGx/iOmjSgjGEIOyH/K/dKH8YWqJHoS89peg9PnMA6m6AX7QrePwseJo5lD
3EkKygwaF9vxobojle9umVw7/CFSXnzBAR5OHmJSUVC/i6sxupkcI+8af2iPDX40majG4hhjnLzF
nQYEUlcoe9EsCFJIT+IF6xYQgpWMObCu8F24GLARGxrZrMgGAxqn60M5Ur3rjKwOwchRnOMQnnxS
bUuzfl74vsPb7BBOpdhj94L0VAty5ffzfBUYBxtQi1yYBow0kzs5xTUOvRBFLlKTqzBx8S2NSXMg
xnunXDenks5fhxIO2yTV0eryAL3utqzEYy3ma1KM43kd/PqSKLkeFMUS7bYOADFbuW893maFTsAs
hG7YM+LNGN7gfQP3xAedrMBkGQIcR3/hZZbIccm7CDjHIMpnAe48Y6VlT2xpr+D1Yh8xS+6QiGqw
5mxvxcjHemDWuN1P1tYady5BDY8ZS3au+z4uwBh7c3GjJlqzvIlE0ad2WkaS4y1GP0dsrk+lUZqf
lCwi9Uy7cD0MBbjLbOzEuIuGITh0AEczNAPZSyj95OSNy3oZo3lqHmdGEEyTvK9QvwPtzkdSZeEc
43MkEPJFmu9rTQv3LgY6fj844VhunAdlYiohTqdaO+Rh9dCO03FdK2vzuByCT9AYkmsEn6s0dBF7
Bb0vZLaW+CzcIFyDu4XrGEFk33bATgDin4aWo/4k6lpDMZwg2IwzgxRX/Wy7MA0DmBEpLNE1Sluq
I6B0ZY3tG8xQv6/sUmP2bfA+ONKiFJ8aNo+f8a/iNNc4rRswtsoBZk+S8+yjKCJMKAT3QM1Q96my
d7RfvxKtHzoZj3ALl1B+9sYGc/w4AN474P2U3FeekEcgclscV61tvsysh14MDkfveewAGtYlosNz
K6oc6FuYT23MHovZ1tG5caz5VNSQU1PgmlBZq7a6mRE5ALBWidT4AUooPCSKYS6YGmB51ZRHfwqX
oyccecHIqI8EdTvPU8jsi78qczeaXoGeXOedvxbzrZsC9+wtngNf54W5Y1PsDqoGVRghJP21dFaf
libCNYzf8+ShcOZqbg3enIjpf+ZiPhKkKfZt41D+8t22/62g7Dff/nu71h/U2l/+9z+1cyUEdvHP
S8L+9etr/6n6f9mnVjn89/G175Vr+gUe31st2w9ox/YnfV8aQGnAnttmfKiLoNr+XBpitH4il4Zm
Fg/cGwX49sfSwP+1PTUpxOmFdhYPrhz+uN900gTPGWEb1LZFliHy/FI/RLiFin8iLLbFJKQh/i4O
ij/G3/MjYTG2USh4aXY9RL0BMtccJ7dhF/ABdw4dy73osKweQjx+3V2xJiBfE8RGiwzgc7Qel6WI
PrO58RD0Nw5ThpRqeSrgFvIMdN1wGXjUuuPQkcV7F8WV3UfziJBSOg9uFLu58q6Br2IjDuZKPvsi
Xs7DtizTbW2mzRy+mmmVATL5IA6wTYjwqez6+K5BLWC/XylokGS5DNKPEQZIBsB32K3himTTTBfd
pyvYprtijHX5bSSCmjOgam57FLN0K17x65vx/03Ck2F1RTvtv/to3Iq/Plpo+yz88cLvnwRsz3g+
DopWI5SkJAGqUX5fnxEWxbsPzyDHQYw3I/vBAkfPY4QI+LZyRyhFeXuC/G+fBLS6bylRvApvYiT3
vV8Ki9LtL/n5s5B4NMKDyvCQJXwqozca6YcOwHqaR+n3OvNg1CHJgyEmxUIp8yYmyRPbkIoZbEX1
RllUjQJxsSR9eG3fOIxZEDAZIG/AZwAR+jZuyMb6Rm9Eai6CXfRGdWCS5Meh9E/LptFkpg6H5ULe
WJD2jQvxAnxCUoOnQH1A56CecoDNRbFXFSJZR9v3BsmTN9JEAw2o0yVETNWufs+BbUYoTiqjCfE2
v0jgYTZo+Otzh/5FKJI0sV98qpdvtXHDg3XJ0Bxqor0HLl3Md+idE2f0XYBd0m4rjLFIErRXyYq8
UgogVqnjFEzIDjVqAOFdtnHYX1Tpr8ehCBHTjtpgeZClRLJhAieKHgLgNzCbOwTWZVGjdQa9TbLc
NfOC1Bu3+dAtCzTCyO/Kd2LuRofipVK8rCoQ7wIxRR8bxPVY2oTDegfLIYAvs1BMYKEW5Vc0Kbn3
McbvD4nDRGQ9f4QS2xLQ90XNsJUr7hBdWGMY3pIzyMAxNpkr28RLcpin0EdGrTL6CZkQ6+9U5+jH
Iem53pcL4YcIZXn3ol/nB78w9rngVrqj8pG1S7lGVD9D0HhtsliNYYkwuQkgGQ/eBOW0suiCiTCJ
4c+fi6JCLeOAJVdgyj3AQGIPlaUI/4R68NezgNq77L5z+au3mLOuqF9g/P13cP6qesDCgCgwQv8T
oh+JMb6p/ZE+fsf0OxTjIcU1G/o/YfqIB0EkiAZ++7+j+rhCyJq6OJRxFmzlVcCr4ttpQPNE3sgE
GRO8d9B0NaP1ZMhQrDHk6B2qOsR5IvRiMYaIwy5qh83kxrb/IAc639i3Pi34W/YDsq3mqnrr28LT
Nxm6t956uJBeia5JgCTr+tbT5b91do1ej/4uFm1dXvjhYaSa3NzgQ1svEJValGzUoPq2HrAVz2wc
YB1t/WDhVhVWbqVhXdx4NyKwmA+roll20VYv5r81jXF0jjURyscgSqOHDBovPlrRVk/WRm9NZSqI
+iPwRYhCuLfYa8djeaSobbxa/CgYdr9+t/yH4rGbCvnPI1X+WqFP9p9KtrbXfr86MCrFDCXdKG5B
Iy2FlPb71YEHTGKKwqWyzTAJymr/pKfwYBYUCKDWBQPWVquyIVe/XR0RnjiO34rJCl12KLSIfome
om9m8g9jFN55uH8guUawwhMPbTA/j1EB4oo27MBRwLG5CTTn34BHgeFo/MmhQ1W1E8gGbVEUpJFm
RwBTNv5Dv9JizrXlyDN65fg+8l3gpZu/h2wOicavjYlkg6iiVZ9gOwZIrmPRtFdlMa+IpNqKoASq
XNpHp4FvpAWBq5SCHH2/6sSiAgsW3hMsJ7HnrJ4avInjsc4w9ycawmhdfFJolKI7ZQp3ET5hLCta
ik7OuefIy6FISV+aMQRrKnvRGvh3fXFNEBUGgQXiRqIexV+THQYtpAaXKEiGFGQsDuAVU+ZJtyOB
JkkS76opq9jP63pEgYcdoCOgxkRJk00j9rVDEa26PziAt++2+x9JVGuAl/qinPFtQmXfe39qIJlS
BOXofoFHC9TSDBbqLcpmUO1JXPsqFjb2GYpPJnzLiwUdSwSjSE4jHMK7oVMfbADqP7OuUBztovVw
9JC1m9NGIIkPFU3Douti5NR2SI8F6y4RaInJjEbsGXVYFcpswd2/xyGwIkelOWkvckCL34avGHlo
m4W0OVncu34J2ZoOo26/oWRGNfk6lfjaW8m64MYJCMvIkso2s6XxTgz9KdN7fDXTvdX++sWP6+A8
iw59PONgzQdhfXrtd71ds9Xh4s8CIsfHDpxCmY6Cxw+tCJJ+5/st++BJ7k7wXsOznKG/HVB8wb6W
hfe5QWMMCKk4mHJkQ2ibd0hjdii4CRg6bIjrPhvFNzMPptd1xUKN1gT0enxcULvFzhZxVHWDVkH6
TUeDDfZAhbmBa8W24BjnaKvRpi0eqmT1m0OnSOJAAkr8IvJVkP5jViOSrsPm9D2HhcJGaABRZBjS
YetckrSaKATEsFREnxIE3k2mPYfQn9igKrw0CJ455ETIr9AptoaEGoUEopoxSVA538ZlHPwXUD2/
NXWHAG3++az96ZkPf19Y8drvZy1HdmDbB30cuQEsrS1W8HtPFpBTmAQ8hM+0PYb0T5cr+RcORcTx
UaGFV/A33OaPMT0E3wp6CIUuGBQ38vUXOl387XmNfxnTQw9lv1iOvXA7dvGF/7SyloPuw9rb0WJo
dqhZKK9HpVqX1RBiz/Dk0SoQ+tVHdIAYtBK4IWl2RARwsDizDh0iJECUGrpVl1HHa3yU8Vm+d8LY
lxnRB3AhphX2kdmIf/IMLP+McVJSICRzWZymoUpkagJkGvdTTSDbOOQMsDkb5Y1XLWLXAn14kwFj
UI/ROqSmh0r6iDOwCb4F8zSAbm0Gu0PV8nB0BXzB8+I6vWOEo9qqtbU6jn1sToxX4r2sauZdLWGI
QqeyKyb/hA2+WC/hqCSKoSqNsNFe9CE/VUlczQdLsMDsAloKuhMNIAYYIPEyXlfGsi6D2LCWGUSp
WaQNKru9bNQAwT8mjiuGXPhApjtXqzK5MZC+8HEeR3j/dVVVRyE8OCwFLJV5L6SOkIA1CuUc6F60
wQlZBv2ACsitO1BbEWSl7hRqy0qgotDjZPisYGtknW396v1kvKnKO5BO2aI64JNJ1dJ7aKY03vXo
UUZtN1RnbFLNynZVm7Reajt/fEH4uTvV8dbEUrSIHLjodUmCetwVZU1ZWiaRDnYJiXDpluh49FMs
A+rBKU6+BWOP5sRKeiPCC0WM7iqEXfHTD6FK4Nwx4467YA1uEe+Kjv6WseeR7k4UOec7HxWt+xgN
2j0KLhEvzgI6kr1uBL/Uc0iWHPUwpdovRoBddhCW8wFs/b2t6vl5sMS779E08Nn5hfqKZnoOdl82
4TNaFhgQAbxl9gqaKuDEorxC9hAkTb/0ewp06zPvbAWbQK8uEz5FeES2MD0yn2t5QADiHTCt5iiw
XWRaiqeoR+s3pygmQ9CtQnSrFPeyo8U3yrvgmvb0ZercF+111TGivXw2Uy2zxsXtbuqxh6J/pjl5
tg/3EHPoqWzkJw3mJS28hRzX3r/xTFXf8bBccsQKvvAyrh62v5Zr9qUV9Fq3eMOXkJj2fTuoC6nl
16KPvnR19QTKVJ/6uF7zRK2HvqUS0FQF8C2aSqDUpVvFuVrhKx/aeZ0/rtgGDoEt6nrnrZ1/58ak
OCF1Pr0gw4KO7bpE3qNg7jaiorxoEVdHY5NrtKtEfTpuJYx+S498Sf4/eWe2HLmxLdkvggxAYHzs
TGQmk8l5Zr3ASFYR84wIDF/fCyipVNI9dcx037r1JjOJqoHMiNjb3ZerXQkZ4mCZE/gTN2/a5xTw
SQRuolNLbFxuEyfSg9SzxqBuNf4a8/ixqFMtEI3BJ9qfs+yW9by2GTHq7bo5GrZxB34l8mOEo0JE
Fzkot23mjd21jNvnAnYcurI5bRuwCwCHHU97YZAATm3al2Lwp33nDeO2nJvqKXLrfA9SaR/lU1j/
L1ZR/6+NC9wPvNR51v/6AjsNb+1/GBZ+fOUfo4JJugIfqcMFBvx2uR++X18Qr3ns858Dw+V6Y+f6
Y9+KEwPzBCZSg6sL9LXxp0nDw5eKN4PTEYgYsxsVtf/k+nL/tnHl3uT3tVySFr8Sob6/uTTGmgfl
GJdBIqv+i9c2fbiB/fSALhU+YhriHLD79qWMe1JmDtdZteOBzWlP9r5+dPU2v69m0/kMIVx5WzNp
+AwReTJuRx5hyA1YBnfc6uNHnE+8iQE0+mpvh5nTBHC4YwA0EJV4ZSXedKpdbFS34VzpN6YRee1p
iDAAblx01/k0JGbRno8zB6pf59klwOo0gRo49a/LTuNjmjW9OPUqhWfg141v7HR6MsPDYCa5thVm
iAgcsz466Qkf1V2cl+PnaI3VnZgEsAY8ANUz/tFSnOFLyR/zoQTcZXJFv7qhV4BVKrAtAMEIb0NV
Q2kadFi/e6o2WX+AA+mTbW/o4xvbdeyyWRKNW+nNLWOQEwp4xk6j79xMs+HuOG1hHwuRIQ3PWM3d
rVeDypBjbcmN7ZZqzxWg2KYwI8zbwapLfYtE678AhbCJqnHf3MWumVy5aIbvfTmP1UU0ChtSgGrV
RzlpZkRQBZ/hMfGVgAs8Z9V4J2xNJvcgKfzyorByxsI+nopgjD3/qcjc4irtpPNSZlPFisS0L/pM
pxij5duCaX14d/uZKLWmN/aFrEz2SSqeh30a5fUdu+ue1Vaf7q2qheoElZFJQyMDl0XEPFzZ6WIT
pt54a6ou3Rv4CF49QFPHLmnVRdcM6V4AmaSFQ0/JvCheC6HKkqtkztMXy6vbk17rzXtHf8mVU9h6
MIz8dRIajweoVSqCqxja6XGWrRj3CjfiGHzndahKqHrf84jYT01WPLbWJIeAdGF8MxDOoNHD1wAB
g0MavH2XFA12wP8C7ihzPfmcyHKceWB4EB7Zyz6YldKmq/5/EDz0xg3hIiFWFrshEcmDQonWCMSX
4HD4l3F66dTV8IYDiEdH6FIcUSeYuQOjHLW7zvTGPR7xBFW3qL/2hV6coRHIYxuyKKKyZd4QutZ3
7I6svesDrBEEHQJS+eF+SD31BGljvCbZbx3cgvFlIE4f5DKZXl3Vh/sUb/BxZHTDGNKY6UYwwF6S
mOKHbiBUNDRGdQdJTjzOhe5/m7AN7c1ZCwnTyOyqmcwQUlXZfSR2qp9/B4Y43hzgIbD3BsUfXC7W
S+P10iF8BQBD0fqyxCcc52VooyJ6rpUT+ufd7GCv0MbM+la7bXaCqVndevBCBfjqClnWHotSXs4Z
HKavtudk4QOXsTftszrBajSR9q14qHagQ/yw97xdCLqVP4wPJTFoagfsJjgbYV5GoeG8RHE5u9da
OM1EOFtZvTkg9KotuJj8Q8o6O9Wgz044tCLjlIsxzXaqGHy5tch9AcmHFyWOfdOCKucHprWG7cRy
XZwYqO3+LsN/dd4q8qQJmnFyXrmFH/F+LmQJMNpP9w0It2Mp9epjTkvtBVgzxMUiHh7tIiYW1dNW
1JIf0Xg+sYYtrmqTWX5n89EtAjOxrKu4N1nwy8wYTlCO8L7U41AP1OGkerxhup6SIB+y7DIUvT3v
9RjOUYe5JAzWG+7fIKaiTP6Xy/yBu/z9P9zmv4+yyxd/v8+xVuKpxIdJmMvVfcv9Ybr0fzOYK0mg
oBCZIH2XsvLfcyb+bw6lEvyMEJi3AeA73MI/xlHWfuwCaZZyqJxyKZX6B/e5WJaIfxlHybEQ2fdw
Xfq0aFhiue9/Uo066NC1YRicHpATNlya480KYsRVbd9zvnVBP9rsteKVxDhYqv8ca7AYetgbB9XM
xV2Lu+Kc0KS1SyrHYLr0SAqWEDP2ejE7r6Y4OFF6LUilnE+C925LnmUYcY3kTv0h6Re4TTHnwKR6
mdochn98sIz65Lr4ajKCx15+oaXQ9MpadwIDePFd6ksV1L5JOMP0OVLbwjoUEfjSWYX9Ke6FvEty
D0RjKqGRF1Grv/fGuE/c1jwY2WxRWWXIy6w0DfxIcUlERi2WtY0RWeqehEp2KRsZ3leFVlytIEiX
yYLfYEnHTfKeZ5p+Kpu6xpTngUPF+2bABGrSF1lXNETNulG525UR6fkVZ64v+5PdDc297ffIDrzw
zqBeTnGQeH2zYJb7M1tk+UMu53LPxiCwCi+IUz0/S/rGaBluMBRhxOCjLfSmvYT50QV2PNUn+P3V
hc9IcqO8aHyeYbgElC7p55hPug1rqmYJT/f1rbZku3kZJPf15Ic7ztDxCxspOzC4iN7MxnHZqToJ
ID3DmW1mQODTgdkRGdwUqVd9HZ2ciwKA1BeCGcmztKuOKCEj7riziPIvsl06PubCDrHgSXCQW6m5
rMowzHLND73W7BxH1hdDl6e7OiUGmNuVv21oRzv0jIt3tpa7B8jJ+WNLaIu2BmCImMGxatkAGIfL
yE6MTxHHaSBD3Ghx19cfpA/AvG3yHBMTOVjirDetAcUxiBuuadoBDB4XWUbGfVM2UV7srcRkm5mF
7WxvC48/W+s3sQxaM3HtB4Wj9ij1UWkHWppEu0NUw7rftIU8EB9ro50XA7ZnZGMq3EQiytitWo4G
v5uKrKto0vmpTy0pP1XFO6u0i099GCb43j6ZjXvIX8mtcnUABWVXlh+UuhjPI9SddDdg2vHP2T3F
976eQGOYW2lctaYPx5yIGK85aWlvnmXDQyAqG4VB2RBXrQAR4513jbTY9VD6oDLog6fOm7V7opLU
UChnMm6lmIqPDsDvyU204kYuxRU4l0gzEhZxP6Kl2ALC1j2eXnmtEtd9dtf+i9AcM9iBWN+uha88
ViFWPD0aLIY/c6Wseu9aXICJizsrqOuuSq5dVuRfG7hW9XkDBO82jWuDVg5jjt2TM2S8VrZuRhqT
tggyP3BZx5hvyloWYOV+DXPSTQlPDXqdjjddChRH5Rh3gxBB4IskBvFg+Gro95k/2dWGggxanLKe
aPaG25INkT2OtXbeNK51lSWtmNAZ/Ryjldbb1XW0bKzStobA19HPRdeF1ojPYl1v4RVk1RWua6/q
+w7Ms+q8PMvBxe66dUOm1m3Z3PWF3JOXc+MNyl0S0lzWsl1DYejABY6mOpSi8VHak7B9yGNrLoNa
t9vnHr7H3WiUeX3hFX3bbCl9iD/sTO+6bWsMeNDdrGSH5taqginZ6NnB64Taz51JuEXkH1Uapaek
MfUXEXu3uIxxHWd4b4nPvfS5uhCzdhlZOKYiixseUPmlSQpsMxkUnrFKSP1gVrp/8CdyzBtSH9qV
5ZK9UIJalQGsGoTAxuZzm+fDyGdEhPd+q+bA17L5YE9lfueqDhMW5gOeSfRzaF9WPLFJY995JORM
50Xulkdav9rykBMc20UkCg9paozBWM/tpSJvfcqrhfL6E7YYSCKexE1bKP8iq0prS2q83fMDMjtb
QKsEX2VeHOeoMTnJ+djnlyvEOGoFkpHD3PSZ89n2eCJn9iv7iU+3kg4A1cHy+U70OFOx15+lvdVf
rFzjcZjsG92rpqcxbPVTXvuSOPHfAcd8lwvug3DA/84Vnu/LyRzPmGMaEJVDDX8oxAm5VUOD+Xvq
8zwKpJ64dwQr020dVeSqPLJAKO19TMYy6QwQGlwxT4KgwnvTy+bguLKK/kXWtf/qz9m8Td/y7tfP
rbV4+m2p44S0hn5JkIXFOwP7+nL6vj6xfxPgWlmBL4B2siY/kYiWf7U0hjn4wJAH0NZ+PLcsTDrL
F6DWs1XhRfbPTDp4ev7y3EJpBTfPQwupV8dO5/LH/vm55f5BdNf1pvYu3JnLi/RCIbtg4lxydqHv
KTJgPE2SM+K//YOIxIDOhBw7kxG002kf4bp5hSI4PIM0rT/bkNB43mny4EENtbcGc8plYUxGduib
3DY3SQKOC4R8UX9rE0LPkBsUn1cLStDBhOlq39XOzM+iNlq9vktJvT5aqunpl2HntwGcyTQ0jF4D
WFmXc7ubhT5/lOSPL5ocVtvW0LzizG1G+JSJoPhyO2Yi5q0yTfW8Sbjb3iJjEW3FlCDgLqohYm5f
gepq+uZRwxE+0HTQvvirAEzlDp/seNGFXeDD2iZZ5WLWS0N3ztYXGRmfQ/w24MKGV6Y36muxSs7O
Kj8nixKdL5p02QtyguOiVLMtAjcsVwHbEkJxf5c+ln/TCwVs+UXvjrO2uHIXOc5El4tXhQ5FE7XO
X5W7cFXxwkXQi1dtzzNn1i12G0U7ooganUSomeluMlpFo6D0o+6ijG1vj8vfEy9tVRf4lCmjNHc2
W45dJ1pde4PEZ3zw3SDUMllj0p8pS3vNIgIAU46jfTMYOHxYrYzxv2guY4D69ZL1y1vx+R/XrH8M
Znz198HM/Q3Lg00boCAKJzzP+bFotX7zFiAAZwgf1fVA+DGY0f1AdIpGCBrOQMSIn2iN7GBJ1FkM
bJQOurZHC88/GMz4vfz9pMBehFBocvp4HBgr8eanwaxvs84GuLufajYCIFAc0sDYxDy1iZeQ8OB0
mg/7XVr+hkchOeIYq+t5YRIu9qCYSGa5jgxNCP48EQhKdpoYr7w3yCZbhTueq2hJLIetryjgAav1
LUuaiTJAws3RzD91S+CZ7WR3KITunjVLHNpTNsnoeAlJx63vnrzSs258cqNREJtptQ8jHwXQX0LW
sS9Nazt0Rkb2unB0rlA/ObfS3DJ5oAvwFz7Yq1dqBayrZtRzgqFV/1X3vIH2RDwqdPsWBqW1ZWP5
2dbX4+JISS3iKIIZb2pX73ahZiUXILYpGgAope+jzEovCQuGNwBTGS+sOkne2KmoL33Z19nWLjKy
ebTwfo0w5n/2sHA50nLorhg/grof3COmT6QpHi5iS0IQGL+FfhPoXW9fABfuzyycL8WJ1m9xo0id
XIbE2bSDr012c6apEXgIIIAkee7Y0LxL4q7vvO2WnCxL0E0Oi9kMcKB0RIX6xhm3ZGe0JyOd5HEu
2CSifYrowwxt94oq2OToV315z9O22yZk+890yfccCneVEhPu6ZLIDuiDQGdSI+/uCtctPhO3Ri/L
Fz5NsqJq6hVbIxeCjb6wbIaFauMbpn9ZLaQbITTtwN1oTmSlFhQOml5PTSR8nDQZil2yQnPqhZ8j
YigGW7lQdfA56A80Oi6z1qTm/D1pMu8jtnv9osVgDWZ4kGCBQmPA0VO0fmscwcmNtAqsUB+NxV2/
7+JIfE5lGT/4C/qnWilArTcPhOUjBHoMPwspCOXZvE3BDMh9uLKE3AUrlK2EISyp6aMaoLpsSAE6
9+5KI0oWMBHpSyITE0T2LmhXdlG8YoyUQckP0fyh3Gor6SheoEeoePCPZDiVvN/nMnvmL4/1tbXS
ksCeLuSk3pm9i7qoISoxH5HxIC7anocrc0nqC3+pWVlMelOFLTZP6Q0MapXHrsBR6ZZfGIqTF9Oh
ueMxG932cRzeRCNSeEA3LfSncgFB8SPa8saEyvBVAa07I3vVbsOVHhV5hjjzRmCZFIlCWKPmwrlJ
U3IZu1kbJnPbzOPYIXGY6bU5d/Iy8YvwE0IrhhxLZWqDkNA9ikpy/fTMqPtYVPWptSwKOTy3bPdF
VM0IjGbjnUQVFg/jSCx+U7DQeGzdejpOc+1iVOcP4gSqm6D18DmoXvnhSq9kbGVWYMihYKVhsGYM
YD702yGarWIbFX6ltvMY2dk9BOWxOtR89p9nCvCIm48RBYZW5PEVxOu2ljOXksX33OrbOLKZ+G2X
Iy21WITD4O6qLa7/6IXH1WiBOsTUxB+5zodDP4Z8xGutOGZmn1Tb1CLVliWduvn37DS54359d94l
6lvb/dLOSEf9j6tzKQTF7w59AuoaeuAfGiX9ussuceGAwts0cND/uDrt3zDdLE9vdtPcuyCNf3pk
CwhyIG9wyuPYWTpI/8HViZ3y71cn3AAXOADiqYnPdvnt/fzIHgV3Db7zrepL/R5wff9YlIl3KdI0
ecxd2qV5YOujfqS5gvakEsIFkpjS9OcIERz+RjJ5OG/+Y49SRn/muTm6U7f9uUxJTjwTN1gC6w8E
KdPZm8ojhq1Le/yCY3q87y3bChcLuB4HUPaLG5Ip404ZEP0D3YsrG1JCVsMTtmvdpPRkHC7HxpwS
CJ7aTM+SiOYOJX+wgJXgY99K5ZLFnEh9w4bPbOosapg9E9dumryEvGPfNNlSz4Mio7ytO5GQ2Mem
WbAliYEOba0IB/yGnQJXCRZKSlhoa8jZjGpmvXEMoUdHO837bQO8UqOOLCJuBcV1anatKtQF3hL2
Z84YuxAsKj98M9n/FnRJDoLc/JC27SYE03knHSnfichhCTWs0DCvfFpE6jPKz0ssCq7T3yRDCBNo
6XAh4UYp22XfW2V5YOzHujkaNEsOq6EToyxl7JRDYPSMs1kni7iOGfE6cijbjK2tvkwi9TqUtFip
L6ZlUiHaM7U7zjMGmNCqZ+dlWgcbscw4IlbysU3NTt9V6xDECcZAVOV06TGHKNYazcjzK1umpyTj
/MPgif8et+qyotGXWctdx66YKMShWWYx9gr154LgfOZIFK+2nBM6zElKc1Ctw1wCwOS5hLW48EyX
Rq9/z/mE+vDr8+m1escM+T+sfyZf9LvWYmKZXnrZHOzU2Ot+klqwX3uYKlzoFrwN/zyVeNALjwpM
4ElcjD5tUj9OJR70HFNLWfj3UI/1zx70eLL/Nvoz98NgX34nSDi4EP96KqGzllWfeyAIuK42slX5
e5UmdsCUnnMm2AarwSWYCXmlyvbzmtd0R2BZwbzEOHsXu7Af5TFIA/Kdy9a4PWSEXpdWnBJ0QT3B
XZe2fIIB+yW0+u7GWhKjA0MmT2rOyTO5JEpLPArXPDmJmVK/FBpB6ZI+rbspegtTKjDOYt0kIyrX
qGqf6+K1D00CrOUaZrXXYGu3hlynJe+K5rGgIfAMG1cFrxN9U09ad3SGomU85jzFjEAF4lEsDYpX
7hqrtXsStuWStfWX1C1IEPGmr1FcffL74YwCMiK6fDKI6zIGtWwNHI0Yr1PJnBdSI28tejK/Gmvg
11zDv/EaBO5VXLCmIHtd7NzImqqHLPMWw2HoHXnTdheJzjDBkl6waMV8p9bQ8ThrM0p26SVPSqPV
5egsCWV+CfO9kxM9ERWlMlBG1jjzvEabyzXm3EKHOjUIugZb17TMYHmSiXaWdPQQy97GLW/Pj4hk
zkJTk3IvJhpnkrJzDnCUYH10EXlYo1fIOb1HaLhGFFLG8IVgyKah3xqohVve0lOUHE3sjGffy3To
6jtPyN6cD7WZBFHvAD5gg5k95DOZL79qsYp7Tn3MwxFmT8KyWc8nI9DS9lMvZArWABPJnFdGdvm9
gSek+4kid3hdxtnvDTwMZ5p7Irs2treqRnB4M1uqLYkJ/6WAZ+4mRrI8K2z5hYPRrGkmLRL3Xo3I
isgCMyafWnMiljuFWe9MfnAiCPhQ4h+6wsZ7CeWOC0i01iGd/YrSrVIjpqwz8lq7GSXA3euprc6d
PK4+BjpfKCeKsQttcn9w7nF3mOedScl2HvGzQCYnth5aLSwuhknQVYAYpJ5MpauCyhNhnSoLsBzO
buuRYL734XDiX9N6VBDCcaZjaNjNTcQi+nqooiHaL4Ip4AA1vplRQkA6nkx0uJSxmixNlVjPSdWa
HyBOhnN3ghEBMrWl43ls6yCnBWYvQNi9+P5Q9AhFQ30z9l726FY4ffLZKndgtq2bKsPJuGlDMWWH
wQVgyvvVvTIR/OZzyroE9vNkxoMyEdZ/w8wYbTqPLtQbcJQSPgvq/tim7kWeqJymU9z2L1Hl+189
zcXBWiL1xLCj+4nqBi3f8+0d92MEXO5sRsuLwKNFZJIKWJSfeWmJchPHcfQ2TxhQUZ5ceE7aZGGi
afs02tKonb/OFB1pN0YbOTdirB5gezrIYE0SnTAO2pdhNA0dpARp3jZpNIkDVVmVEbCMN58iJ5lm
ZgzPeJQQGxIW6+PwmNPE5e1zn/68QKRdGiQAv5sDSGx46MRRuiMntOq2zVTQbMXowMtMzxT92KGW
Pag5xL4FsrCj6C7SnwpYCP+LTdn/n7nY3zdii43w13fu1VvHOm349ep9+fLvty+mBXwMoKKw3dss
3xc/w/fVu0PHCd3UbN1d7uXVs/Cn04FblxIA/Ae4HdYr+3ejA8Fz/IXEY+k+sU2DcNQ/GgqYIf5y
/XKN24sDQwgiTgsv8W/Xb2JSbunk1o4K3247hZ54l0ZaPg520t7UsvMv4N5iZGCsAbioNKQlCtq6
ETFMnxJzV9tpOR40tlGEQRbjOliFxcVurZZ2SD2TeWwIXdbEOxbbO2iU6EWuXvjVFu91hYMiOURl
fVR+7/onGqIRLfNVwKTlBzFTiDDlymm0/qAWuVNGs/dlVr43Ib7WyKGrMlqsKilMHSKyyzKJQBGn
pgeswnXTK23tZBdLPXtfZaGxG21XGtjUKXDHYDTqBF+saNcuBe/xUvVegvl8YwPJriUk50msnVJ4
uFbRN3ttiqeoLd8pLvhXvx7Fa0vPWyBjr7/if09pUcJvlINjLZ/X4z65LpZGesCIw64XyrgyCN5c
DabNcsurzINi7thwtUYn3I7w3zvwUpeVLysQgAnsjA02fP4LabTelgQRYKs4H66svi5dmDBG2pxc
qvqA2IxGfJWLuX1nFBPsocphwuAcshKpQrd2Akta5sWYmu7OIU0PqdinWAT41VRAT82WOgKtnLwv
kV61D1jrmwL8hAd1zlsJdO1Ko+toavmEQRZ1Wx4ZUbYPExzUwbhy7DDK5vKsnmST7u3EplkxXeF3
qEhdFTBkOX6AcYSzTI6g8qxZEOPtegllJVS8PuC0LlwBp5VmcnJbbVA9xsRmxnNgKPudtscoedSg
lg3NRi9HiV0yxPmyoURIXoUDhlc4XEUK5LWI6Z6zVag7WwMkzzW2m+IrBotJYyVk4t1p3dTtAW7p
ybs1uzqZMApC90UzlQjormyNg2SVyg9z5mHl23aSZq+3mP43np6Zb/evo5m2wBQhWSlmvMi/JehB
0EKtoQt3DWCEfaOMe025frevDT99+dcMNYL1w68P2NMb4d3yv5yvfPUf5yt3LusRcqSC6k6WLH+e
r+xNlpMXUB/nLKCOH1uXZb4hdAqpask26Zyzf843xm9AO5iKlqyUD5/gH0mbTEt/PWCFzkZocbOh
fJCwAnP11/mmdnlaOENy6Kj4iDDOgHF1ZpeQ/0KXqVfKq1qAr6oYTXOTrRxYe/Y0nAcLHTZbQLGw
nzU/qNzYyAJrZckSF3c+Cb2A5FlQs+FKnc1XAm1bR2N40IcpvKmn2ruOUwtabawN2VPij97ZMLfW
NZSB6ryxaJWFw5RcJybdpoyC1bPdAgPfsM9WxcbJ+ZPR5mZV12Ho129mGbknKlqwede8SWTdiUfu
FO+OnfvwEFlaFHhplt2EYwswk23Gt6TWBVYwWJdOWrpPkSjLp9iJWnnoe83ElttbX7ISX8Om7Q3j
1sN6s1TmVsNzHjWUYLbQp3Zdb2rWVo4pRtMeEusloXys5sgIp7Ebq1fTnSY4PLF1TiGreU1izaBJ
0sr3vQY5hwN1OguH2P2U/ai9k7jKvqYI2l90nojWvkO6eu9lKG5BvAI7LOv5eQhT3LNS+UZFmNSp
r3svz84E/IDLsZubt9Bt9JicGWPDOeUw+Z51YBsHaTh3T7PUqkd/iuPXOipgqYdkNUEI0NB6U6Tw
gXvPscct2AF6mcz5oujmktbrxTYv2B1nBHIH/16V5cwXRU3LGiXBuOH2LdXMVpOqhbXAfVYwVVxW
ntYFEUkVhrtMGCjYQ0NjLg5+se3C3HxLR7cEmF/43wyIRMGQRclladps4P3JTYMZxfhzlqV252Wy
qsgF5d5AxCrzQDiEQA22I5zmJ8gecRUYVhedSiwnH2v9p513VU/lQ17ZImjpO9G35aBRaxlj4t98
r/8stcGNA6OaZrqpiRtfz9RM87dR9bp1iCH7TbufO0CLacZ6v2lqQ1QgevU8fHMnstFPDqskY8td
zW7QmftRoRP92f6ZOBiOdrOh6k93kYfMXjErLJLRtKpHo1eTuaAw9uRMVSoDhlTsKKPjJmZgrwqU
vohR/SJLtYtA5a5aVfhdt1o1LJ4a6FlzZkWXxD/ETSShBp/UIn15dEZfiEUOE6sypmkmKhnOV3lb
LdKZZi0iWhnTbVPSpaTlSGws4OqvVHL4H3JV4KpFjCNjHL95Omh7UL+ef0NXbHqZweqmnmvR8rRF
1hOtM3e7BdUhQpc4U7gKgE7E+D6uuuBodg78OMwDAKpRDutVQ0wWOXFs9P41WjXGoS4E4e1FegQn
q4Pohl4er2zonBkLHuWCjDbKQj9YC0a6tqWiTXKlS7cLaBoqs4vPM4Y+zbVd3cQLkvpfc7Ut0Pxf
X227Ukbyl3LC8rV/KPE4pFnOkVHiEOUYwn7z5+BAWzfBKlN3HMfWuVN+t0i7vyE+LJ4dHvYAxdzF
V/375EClInI6HiASQfj1aTP9J5ODufwif7FI8xvj/wcel6YywyYN/NeLrcyanrOKVs84ckFAleZV
GRvzzYII2lhVqB3Rj8XSVuqkt9WYJueDAV3KMxJ1oXU+oChljpelaD0yIGNPuzzpHOfCcf32EQwm
q6iUaHgXF6DoqP0yjsqICAmJTITP0H6A3DWaRV1rY0cPZkHAE7vy6EPXn9L+5E/NYp+zenGn4YY6
1/i4bEFqu3dQDnosttb81ueO2pS9CW06TqMOmb7yWx+Qep3e8cqA929HzTYaXQfFhG2RRLrkQ8V8
EyDEz8cptL5VCAbnqjeSOykb59DkZXheGWNFkzotsOz68GbDcrxn6C8R7wr9I8rFcMxTfbiF+55Q
N1NE4b22pl3NzncfvcHxHmqR6UfOAvtbvORi4eRs6oQk5Fw0nb/hLhA7wFc0NUZ2CxqxENPXZja8
h4Eujb2vfOoDkgR1eQinY+d7ycuQaeKSTJP7BBexupauLideHKl36RHL2jtNK/aJaMS+8YjwVuw+
YAHNCJxNaZ+UiMs9In51QABBps2t5gYHqXfWNn53nug1yCHT1c7CaIiXZnid7Wphx2fl1PaBRx/4
viT1GhiZme5gEXVnSyw4MEayVnNaN7T3UDysNRF/7aFwOJ9HJ5AJ/0MFSPSa1s7ujBJaygp0X14y
PPUBpULm06TF8UdltOLQR4a1F1livxli6h4TGGynBu7CU6Yr+9y12d4WkVRHAnNltlHegE+ExudN
0VXtRUwYi6UW/b8D+Z5dPvn5S53DckqokqYjJ7H3shptqtGUdaGNrb2fFXloNlB1vJlUhzgFy5a8
TEcIN7VpdKzq6wIh/iOty+o+pogdJrlddtduFZNUnUt/ccmKtt8YtpLbJq2roOsb68XEuvJodbFx
1tHHDsrXgbCaJjTcYRoDu5FQ3klLwIh3Xm+2nQ2jUoZ0reGD7S5mexT70Y+iY5c6+gkpaLzwIj1J
NkhV5o71u/Mgqrbca7Kbv/U0mn2dwaZR2mPcAoCVMTGB2OcN6BBbL3Wcxk5Sb2O3xWrTxojMjMdU
6s7ZeB5F8ENLQ6l3K+r1wCMjnp4YfXhrsWzf/3uuAc7e/3INZEmf/Poa4Gu/XwMIxNgymSAgjbvL
XcA5/P0aWAxZAvCCYwsUXWA5f14DgBsMg/0RmVgmam4PpJ0fC6SlwYS5x0VQ9m1WP//kGjAWP9jf
rgFIPFhLF9CgMO2/J1+7QQo0Pn9bdvF0CrO62mJXYK4weo68EO5PudGBrz/q5oR1YXIduXeKujvG
kT68JH0hrkSZG7cYP813L1LfhlSj9yo0CYfmfVh/sr719hUrjgDGaBw4FK5qAPbzDS6MSx+nUOAo
49tk6reKKsoLgOPyzZG2sVNVM71gJdW9oPe9L5kMR2crI7u+jVVtnWXxjEWJbuiLCO17p8MQ20+T
Ecfs8gd18OJ63IZSD19Kq+Ki6HMUbN51BfmIQsJiK/T5ZHFgzHHUXLj1cA3L3z/r5ja7dDx1STT+
q+qMr4T6BxA1o3VGl2Zz1GuA1UQ7G5KHg7erCSds8Xc0eBqb/CnNanE1OYl2wda/pLSpnLVtm2T2
1oIlO24mRwMWob7m6TTuSTc09qZQtXOJCFbuEZGEPKJwJeewG+qA2+utoytkh4JRP7btRerHdzDb
rGNIUOWVnFH3pRw998qiHSXoOdq3uNbdW45anAHSgZZNZPVhNHt32BZLKo4cAX1STcSWiMgKZ7ap
lycyFMlRkUF9NfqRGSTJrF1Gh1u2kVbRIjJp/SUMx9YOEM6NXWnkOj090IWwpAFeyM1zQpf1QZf1
F/4jwG5GK4MoMstdRbXEVdW13WvYdl5A+KjfdHi9zse++MLKu8s2UZeTYKk1KNPK1AGtuhrf7ag2
A6813Esc5z1M4dgn6RmrVDymC21g8OtUbIZGik0z04YX555xm8dEyTcUANdnWRsbQT5m6VMWj/NN
OVcztiKvuhkBOGPCbxtwdH3ncXYW7nWaWS9i7mGtYcvZTVriXjlw6jdt3SaPLCXL01ho882Yttso
qrnzMDgVJLCJFzdOPB3oMb3monDe/jXnpv1fSx3+T8ba/fheFb88O5ev/352emx5OAipY1i2OawY
2X5/PzspJSfCt6xkDJssHWui/0veeS3JbaRb94mggEm4y1PedFdbNs0NgmST8C5hEsDTn5WQ+aX5
jyZC14qJmKGGKrK7upDm23uv/ccR2v2F4wcuHm3HsfhX/t8JWvzCpBzUpYXIix2HX/6TpVPTXv+8
cmrbj+DwqTUBRit8LX89QONgITFLP8zsCVvtObEaRJgpVfE2MDMiGrKjaFgeLAfv4mEcLYoF8nbq
rmakhrtxcpfvFoE0goW5Yz7gsg51bZFhXElx9M1+8hPzZW5AKp0Hlu/+7Jq+86MYF4bJ1ijpcezg
pTjHpoymU1gDH3bQo7utmHu4j4Zcxguu8nncmmDtw11sttEPgUj4FDR2axEQ9IJHKTSTPyFVk2Jp
A58ITZtmbc8aIJ4lee73m7JwehobRGyPJ6r3OGTbwlo2SyHlW8Q9NmVQEQce6DISIH6ZaZE2kdh2
U7DpN+ZPjYPsOWPWkWXJA9qOdlQyG0itfAPk/JQkiH0kfi2yf86sI3e+aNR+HKxebpn/9Bjc61aY
G6yS1Af78QgDV6UoY9RAxEdIZLGxbTztwsS+yirTo7Td+6vdSIL04HQ3dpXL5F1bkuommfadERSP
3WpZsms1/hSR2f381zy82EH+y6Fn83X4nvyXUw8v/vXJJR+8lqjwFGqCx5+ossEveNBtbECchUyk
sz956SyMLoC/dWWLx5FHj25/P/WAXmYOjM2Oe69YR77/5NG19V/y52eX2zXX79A1PcIzjuAK/Ndn
t0hnweKhjoFTtTP5cbP6RMJKfIg7v/gqWtN+xtTnOienGZMzlUvTcgstS0YUI5vDF/TYzr2UecC0
05yJ7J0ZmEnKIZ2J5uoml2Z9mmJgGcdAdvxuaomMthBL2AMfbXqSYSAP9o3RDSL/EiXReIGmRtax
W2w8Htx1wm6bdeG8z6iwjnb+mpJMdGBy0dHJdk1R5mkoN22C9HFUAlrFSVB6tbFal1GgF6XK281B
MEaP4+iEFJCEcB6ObRh78T5yOltumLMK5zD7ofoyyJBmmKVQ/VVUDH8Hbr6cBZiD0hvWtEydJzbd
c+JPiyKtGWHJCenkLl/NofKak+BR9jajr7wRpwc+lE3kUlzVGm1kvkHLp6aqpLny2PbufPQUBmRa
C+L+wRauxMHSZOOlb1rcdQzCmgu31+65aeD5+TKliQqf0CT22BgmCsMbYe1FajovWakyDxZDH3b7
rLecz6HAVbKvojGEtcDB7+pmlvtortJ+rlX+Oc5zsppeSmGWJYaaKSqyHx0kuAPcpOWgix9wxLLT
kvQ1VyvBvNoKIu0wMLTXQGnXQb0aEMLVjFADRXrHdiA/lb+aFbRvoWdNm4eEnCGDZ2wNlnY4IEth
doi072FcLRDAM7BDVNoZMWmPhOH54OFxvfjtrsQ0zXvUjXrIb4HrW5gNpZgkzWDLhplNrJMtNKNR
gaylfYfGddgX4WBipsQveUXcM/AmYrvoD8KSnuBHboOnFBJ7/kTpULT3qPB8YsxefQ3TzhMvbovJ
4WBWcWO+YbSo3+x8jA8J/j7QTpZVPzoUN15y6IHvpWEiPc5VWnxAC5jpX5isJt1jnBX2tlFtdiaZ
ydV44D2CahZH4zPJ6ulx8d2hold0MMq97Y31zevS+VPmkbYith45GyNE0MOMnn4CsNh+ba0wrrdN
7Q7pxlITzskaROVhKtWMd9Ez54AodmC89SW72b4lmg1m1sA3cczDCTi/JFyFTz1gk4NtQn3jBOrL
rpdebUe/CG+YHe0Pvhyjc+311U7ViXfWfbLQowrvNopW0vA2hj8rMHD1zhQ9oawwcbhL81xxPq8B
2qYB5OOtu2TRfaZpHX3guLsgiBuWhFnep3NvvgepSJ+oZFDembwvTiEzS3rrbuhd5kKoq+9RvNTZ
DvZiLPbzrJXnViXNpYvFezKVN0mf0BWymNprS/iLPXs2iYx2UDefOAqdFYSQOeHKpoY4U/tkt2x+
2LinYNZch4oJ9qZsx/iNRRl62Gx35uOUptirSnIRz3TH4fFkhGwYD+6CMWcbg//IXhzlJh/zUNJm
QFeFOPBUqGQbgqZxzy4/+49m2nvx1u768DbKrutOuSAtjJRQHF0YlXCmneVHo6Qrj2Zqmj9l0hjP
i/LoFDJC4rpuQbJ4h9ug+RQtWcxKUHjVtcFoMW7bZPZYTxNlY0nwZ1o04cQwzeuo1jSm5NTwIHlb
A+hnu5N6TEL3Mte3Ok6MH4FcJAzWvpcf8M/CmKMW6ePc8+C/GvwBQIjrFDh+CEdhuAJEGgT4sZhG
ElG63A3iOcSeXPEpxvZv1/uyjCuPScrgpTebYl51UPSN8iw59G5SbejjWw4LjZiuItAFm45wyiWh
n/BDQjbF2Is5UHKTKGiym3/NMcPhMP33s5VbGv+Qf3s/0K/9fcTu0FiL9dViNBD8Oezm/OLqcYve
5tGQHdj2f9wPOJowVKFVFt4XOTl05T9OGYxdMNFY+j+MWBztpvkHjn1h/n83BCxDJlcOoGf8DwW6
fz1ljDPyqYEtBdRIss+B295P0ZAR2RqN8SkOhuwEstV9FzJQZwcs1ileiuEYy2i6VX3ovGZOnV7j
LhwfS2Ym9T7DPLkRs20TaDfGx3FwvKMHP+jizoqDcWHwWZvvw7VbYdY1C0bbpkidrayGwN7mELOx
1cLGzC7krJo7ufYmdpU9f2aQTptiYKEJ414JC/8QZD7X8iD1rPuolPQwyrWTsbDdgf5MPcF3dWlj
WQ7RgawfO4rLqB/oWP55ctC/U7Nrhsd0LubvKNaMFkRoJA+19MsP1toRKbKevkgCo3RHmnCdP7a4
7Q9YTAFUmMiiYkslFfDftX1S4ZX8alPAzgljracUxGBrI+8f+7Hw5Y7ALQNhxuaPo2659CP4L9uk
AlNFuYp4LtdCTGyzlGMGdEs1GPcz+zXIIAVR6gJSkwEszZq99GnZtK2cxk2lyzcNMn2gzXQlJz9k
7w7AMHufHxvReVwrPImABE+ipEcLoPzoHo218jPGl0UBjJq9p2XuKAWVa0Go66A2zkPGCa314+DH
SNnwt6xLk68wmOf7ViElbQHLWe5xij3IaKCb6LEcTXj90qv1+mvr5tK4ybufLYp3hXE/EM8EtRyC
R739hgiiY/rkuj55NRdMVIJSHWUOmOTAPY/rKpD8rNq6a6cqOe3ka8UXe6KKR74ZwvTv42RitkEN
FWEjJn0EjwYiSM4aRsp+DSatIaWs8XlfZ2O+83KQeMzW85lChYijFo1VdkNfQqS8J1ENJfwb4ZVM
7yazrE99Wdi0wElSY1tPK8F7w++o/Ms6o/uijFRNe1819QCqBcrDHbMy+0jGML+nPNGESh0C29wO
lj6DqDaqrdfOSvhG7Sgb9tXoc+KhCfWr3tzvTZrZ9sTQ2UsiU0QHqVrvzkRwv9OJl/gYoQGfiXXb
b4KY24dIuOVDZvPjGNQgg5vC7v2ytC3FgRa4DG8ThhCtNjV1eMnONJOOP6HMy7PKete7JMNMe6tR
Y6zbZP2Ey9UfGTtt556j1dHi/TkGtugoTl2c/qOderjKMTGgbFnszhf2HXJqUV5O/KG1fyAgW32X
YVN+L8yWaPrQqXmXhgFAu7oGKkhcpL91iet8COKCB40xKC3Vrn3zLC85xcgW96Fbpv2WouM033RW
ye5cLJ2T7nw7Q/CmW4beinhZqp+GR0x+29IRQyNCaizxvT8kbfxYKXMqmCN2I3X1jXPxGlc92ONE
1rzzs5Qreth6+7IuxuTAauG+wlSvvk8isZptQPhFnnJeUW5iLMxqZ6Ut0VdLSefTWHCghfjqOssO
eoh1wWdOmURXR9Qy1jlByVOwBN1TWxDfp4Khm1tKJ/qZ5wtrANwlpIoQNV7XZLH2uByNy37Z5hTI
VvrcYT1ig/BD2sLaAfddNJQVqyDc2vvALT3mASpGsbRr17yQVjJ1/W4/LBuPYfh3vxm5x3S1iiEH
DdwhzX3sjJPcNyI3jW3EeYBczcwyiN9MozRqYRwaGxxOyMnixS4SaAR4tH/UzYx+s9R192r3Zftk
B21JA3Pg2+m2RVKLL3z482E7myPmTUDnLREGwoAFQBGAMHDR3ZNlz9XHYIr8LyGifXiQ3PqKLVwZ
+kSsoXlQ2EPzbWm68WkeJOi/UlMA4xUISFeVOjNpAhPowZPZ9ZodGKSZ/MbbJ6+JJguWzpDeKJoE
N8g7ndHfI/N9RlLhkFvmeBeMyjwTT3Q+00iZwb9T05O3ogwDUaQ3AzwB5EtIh2hTcImqCnjhrEmI
I97w5yGBjoils2V+I033zlvxiSb8/W/uVCzXTtMV4XK5d6UmLpIM9T4VmsKoNI/RbIY2PEQrq9F2
NbeRLCkMR8bB8Bytle3I+sNiRShs/G4oTX/sVhKkp6GQMe8zScmleaZWBWZkggjziQkxQ6EZy4j+
tNiqOFrjMB4G6NsD1BmssqRlCRIUK5myIFzqnr2VWDnwPpr7UIMsB1ExzcfjSZHjSrrsLKCX9FjA
v8QMjMw9rlzMcGVkhhqXaa7kTG+FaBJV+UzQDLJmqiGbgUga52SUeIgyDELEwQRAzj5xpp/LSumM
NbDTXtmdqongeGZJnM5bftlw00/tyD+IeLbKaw7AxvnUWl59j62pbyi8G4MML1A+P+cjBU3QySwO
IUYSyVPGEcI4cMEdjllgnv49R1NkuL8/ml7r+O/nX1rb+/1kCoHO1vqcoAbDcrTs9uvkGioLtm9O
pgw3kN1Yyf44mTIaw8YcwMYjZGrCwePQ+pvqR2sGU160Qj3X9i3+tX9yMrW1WfOv86/V/MGXgOTH
yM3XrcV/wjC00aLw/xZMiPrBfVODso9ZQxNoGRNJ2td+Fo0U2M7LfRH2raJJop2vNhevnZnR2FOM
/nRmBG98D9GfSY84mYIHlMXnUov/9mjV31oRuUeocwbLr7YPGB1FLZs2N+vmYHKXTal8yOSjO3v1
HoELc0JjdOUuNaAdiHqh1tOlqBWAE2gnxWPXMZ62wI2jLKS4fHF+vsoFkc4QWCg65Sv3EhZGe5Yt
XPIuAy6+aaQKroHqAZePZW3NO5ExX9x3qWU9p4F0wZy7IiFCnqqCHUQz0XES0k8j7CC/Gd0yxi9Y
qmNx81ewerJC1g1MegDX4yCuj45nFxdzNROHCUD4XWA3cfbVBGJeb6PEMgxqaaeitY6MGbElU2Hn
VIfY0Q0f2rdsANygnGG1MwO8Ry20tMtZV5A+0NWI9RkyJjbouHbylrZQmQSYLrPx5jSLCB6wItoX
xm3escTs/ejom0Gq7whsArKm23UeH3N9h8h85byKcJluxswNoy5996QwsZyD9f7RVtkJoW98shaH
gAqsK/O+z0buLCwMiV4h8nWxwLLBwkHNkXlfrMuJoVcW6tVZZLp1wZF67SnWZSgPjOhzD8RDHrDq
sUYRI2W9qpjWzMBDEQKOflJGwXbwJnGc7NZhDxxpOb4SpjfATOT9ZzCh4I0jTTqeNfN4WvHHwYpC
nlYssoNjXF4NTUtuV3CyiZv0GoEhA6fs5bFGKyfevMkLcGJnuN7gl20HErPSTGY0VNwuzLysJw4n
QJvxN+IijefS/8nzWLw0YQVOeSpcProV5/g9LrzqkNVl4x0GvD3uGX8VzB1hjMHXxCzVZ9LYlEli
nc9eZScMooum/5RaTn5fThP+F607R7Ifj/pO29zLYqbnwGkh3+a9k/7snHx877XK3XFwAJhfeUDL
O2t55hPsXEP2+4PJ3nHyLCPZ2I0jz76mpWzbSMBqaNtslzC/3g2FS28xWKCHtGto7OZTuDdVWUA9
NqcGuHH6Y+IcvrFqk5lQk0GGNGvny9g6RndQdsf50KbDAPXGXNIP1cKWXdWsAjuQYSNFNEboya2r
8uLqJEU7bXNaHC7Mimjxxs7pXaKsGa6cYJrwqS/8ZguqzObnu7jVjRD73lDDdBxbH4NZ6YbhUThT
fMPbmFMYEzBSR0+fjC9ZnpX5wzBOqboVbR4+RpwsGVsRpv4UFH4SHqPQiS5Y0bHbhKMht0VhZf0L
eLbwJdbk99wc2k+L2XkLfYXR1N8FYokOtUqtHz4Nx9d/z67HNvT3u94ljf9rWooX/6b7mJDKbJMn
LdSNgSg9v+97zFbgggH/EfREQVnXjLDfTI+4+dFyXRQZ5jIW2gy/9du+R1qZncpmIIPRX5DB+ifb
Hhmsv257mPn5NHs830yFkG59LQv9advL6nHMB5WdW+jCB54sSm/9Bl5oqIJttk5yvXWqG+kBL81y
zHpzUO3vC0ndehfpYfAy2fLZZJZ7s/SouLYa71zp8TEdo9E50iPlrFfhbTA7nCOuHjnni7XsrDK+
0QXMLFqtc+nAL6tHKjyYVst1cg15WgDM0gPtYp1tz+ucG2RgeQB/xPR7tHPzC/yBD3IdjMt1Rq6n
5azujNDhHDuETvvuOoT4Gx09Yfe5WSKKmFCZN42ewXOrHJ+HXAVcY9chvcW+jSlFj+6NyqpTEsZ6
pL/o6f4wsRttAqcJ3scwME4B695zukoC4GFjGpjRCXKrlag8ozN1h6mfAvEyZ1X9leBSdR2pn7cP
jlYdbBpJq427ihGTwmJ7yMIJkYLTUDFfGRCNSL30NH6L/PnNr5YRx1o1vkk/hTCQrmpHWziRQq92
OLeseghiENqIIZFJQF+jmMxeELQgIZshP4MISt37ZnTEo0vr9T7QGdUwa4oPpc6tRmuEVeg0Kwmp
8OBNWJh2ZUATaaBzry63lEums7CeTsViyscXX0wlYVlnDc7GtMd/5YDnnaY1WJvojC27lnwksjef
ORySwNVZ3CrWqVydz210UhdqkrgOvjOUO473w1uccufbtDrfC39TvLoultiN1Plfj5TApdSZYCJX
Na6dqCAq7OVz9R3b+ngx3J5BQZfw3O2noSFiTEMBceNMJ4/FGkLudR7Z08lkkbW4uAbLemmoo5aM
pOaWLIgshsh+jhPZz3emzgioOCEu0I9V/mZ7Ulrbwu/hYZCC54s3S+L+G1Q/4xkMevKzXoMIsqOg
fNLpBHQHfXwisZDr7EKvUwzDGmhAHyXcYOucQ7JGHkaYrd8bHYaA8D4w58MXa1MAObmUSsZEJwBk
QPjGkTXtzaaI9j5E3/yY66wFn1kduyCAMQx+e0cunFBGVEzVjqji8sjsQscU1gBH4yzx51mnOlKd
72AdIuoR6NTHHHf5KbaG8VqCa99PKmIMiKcEMxw41wI5sImyO8L086dZRcGHlpHxBz6ngtNKFjSR
3oeYGXG+8HdZ6dfEQrCbPg1V7B4ywZbllIH77oZ5eHTjbvqQVUH+0VNW9iGxiwyMedp3X0M/m/pN
mnnDw5y37qn3RflkWKN38JHtHkgMoxNzMr3I2gg2Yx5Hp8CYy8cRttLDVBfZg6IF9pxnKBeh6pqf
E6UHu5yKsC11a9FnPxPjxwEl6SAteGqbsVHR05C7zJLy0TOnK1iYL8w+1DFxONpviFWQBGHbHDcW
+PS7KR0zZs4IYh8bplzfK3zFhwEeIitEO92h0KhhUw4lrr6kzWCwxpWNX3aJ3fdpEhhXaREDEyDc
6iQpvrcObmJ6T0WcUd8W8d5zbgwVmJcoEE9IOHl/sFTQ/KDDyftJj43zdcnnYmciyz2hods3JyXL
vjGonmHIa3kDjcSombTh1eqyDEReTOpVjzWD31seUwa+AdWYH/muGiRw0oT3QTcHGAFjQx55sMk0
VsNCG6DKGDsmA+3fO9pSmQlHbXilHdllKFQSHunHzj52HOt43xZKdh4BgiGbFVpBU6uYRvGR+YhC
TgqsbIL4rV+Ft0prcNYqx82rNBdQZVDvZCp4johhOXLnayXPWkU9zELFiwG+cY9CJh8LEl5P0yoI
Ts5gOPtwFQprrRn2Wj1cViGxX0XFiWZOj8MgL0m06mgmqOn/HsVJnwX+/oDz0P1fVcn4dgl/C/3S
X4837i8muhJIJyITJkBE6w9DmuB3iHwTEwxsyIvgF/843tBVE7rc+P9w8/75Wk8bKQAp1BIC/1qr
+mfnG31tRxmJ62ptdsaShkvL43ZIsARrjU5M/uV8M08F3g657bzJe+qjHIeqyALm60OEfWuJ9nHR
lSeSsP4GQtzCFhzbdzA8MmyRGbvzZN8o+2o3RURgoh3c7smZ/BLOCkGoEHSxHx4AlBgUxbbeZJf4
D6z4K0HHgK6FuEZWn+wXUZpfytaFR09Mm4tPu63GwtkVSS7uCySoDfhuayfAou1o0oQJ36ICgXpb
TiZcpFtVBGQ19A15qSklJ4O3PBtW7T46Q988UBNyaC3jRxmUOrhBdt2ckuYtmqFDR5mg07bHWbI1
/fg16Ny9vSTLOarIg8sMAqRJBxqZC7o/lsUK91Wd7DNFWYg+FUI5MbqTXVjpRWpX6aT9pdr14mxy
7TplHXQ+pKsVtVltqfD//PtBe1Ut7VpV2r/aaier8JqypAKkR1IOw/oLEUXj4nkQRbAwB7savspn
Z3LKGzz7ag/yYyBWinN2wUKLFtQeF8e5jKGcNZwfn23UmUenXijCKOrO3cWcbu6HRsm7nDAMeQhY
kntA8tZGpu742Wyt9FzgS7wsaWWfbX/5goeIjTSKpLrSlEwe2kpQAvyifU2VuG+S8ilSythXcQ1c
N8uJDTojf4/UCRV+wj+YqIS7sJ5MQny29XEoufB6DRl0M1rsO/iF48mXOPgS5ZpX0grFnSfm8dSw
TFJkugwfTVG5uy4JzCP7yKufqng/dsFr7KvyFOfdcxX3BeiWQD7wN1NBVy4x/QwKAW9tDWGzvnUh
itzAqv1FxERMWzlvJEiZScbWEbJeet94KnrzZ8t5KqbYvHOEYe06KFknr2F5X0os4zyJwXEZff+w
DKiySzBJrvIcXcjeYIcysq/DBL1HRkbzTi02xPIZCXlrNXwYVUZI31Be9Cmb2jsIbNNPv+3aS07c
cTvnxKUMFLxHQADuaa6nblvw3lA84If9nlym+bK6qfNAzreYUfmVa0T/IFoSpXhWjQ26kmAQAYxo
45s9OLOmDSjHYyofeK1xCRSzCOJc06snI7mrsVAd26Rwf3jEXZ6zTj2lKpkeJR6yreE3YlNP8Qun
84+xkM4tVvPwDPDQYxDuB5S7soN2YS3ueMxTf+v5KrxH/lK7XtbdwTYGsoFzUR9HhMdt5dPUZrm0
2s7p8rmeqIuDw6aYJIP3NeLS+GBWlnjMZ6pbhhBJSHL/2kmFblSN8lOGz/vIjRGTXcGhfIG+fqA8
9T0P4AaN/NGhH32BW/EzL3QrFInEDZ413EWph/iaJ8Wu4Ty6NXrVvfpzURFH5WMI8SrfgbevThT+
qF0i53RPjKYiYwAAJp+5jmGVTc9TVTm3fpLdLgUcsFk4G2xm3OS7fIrfhaImb3bN06D6/FzZC70c
BWmxwLPuOmPB9kMpeDUhiJs5VYq62wK31k/SHjcCPES7KzuejrGydHMdK+qUG68TP8wdpRDuwa/F
8B65QfRo5e14qjtKLE1HXZc2OgBzq+BjO/GBCtySoq6lxHDG4lWVdA+0i4mLpBpxmlGEfsrq2d6p
pSI5NgwWUjINHvdKV3t5s3ysC/lxYKBW0nIN544X9WFxpdhpvsiKJDOjrb3B4rMr0yXe/mvGHdpa
+vengf/5lv49ukC/9PchP9s9G7uex+vZhct2+7s93RIMOjSZjXGIdq//cRrwftETEFBpWCQ0NfJP
JlcCQTb2E008gA4Dbvkfngb+Y9qB69XnOsPXQHmeJlH+x2kAf1KWhLp8IPb9Mze319TxvQ0j3mrP
nZ1b0OCGj3ZtjNtpzlkovdLfl1aV7rglcgcbyIcbXtsdSTo6rEiLfEqlj4FvpgVjWdDL8GrFNLlV
J3Sr9EB91HxoVXoonb4/tk1yk071KYUns4kxx+wigySdtfjfXd61Uz+kR1Hia0haStCmKLfv5x5A
XNSXz8LI7KfaxLw3t+Js9m5Gw3sACjkjeofL7GRiTVSquBqERTe94RNY5bswl/hLk/sX+JK+nyVX
8OSn2nOsOwJuOwDp7x1cr49ukR06G6BanlINRDnpdXEjk9I+zjlzHy+HwJSH0Ro/LwqRDNIJt1vg
kS0AW4qW36MMTEJYisucx6ambJb7sp9ojynM8nOezMFny47jI8Ox+Mjpo9s4XXpw3LbfQXNN7xOR
Lvw1+cFzFkIspik5ARAST13xNAd2jQMzY9giPwJmUach7J5Cujs3QURBCjOA08C9b88kn4as5bs7
G/ulEbwnuXgP7Pxt4k7/I8WCsnUqBi9GPz85CyeKAmT+xrNZz6xKvJv2lD0x97L3TuWHO5p2sKM4
nct1wp0RxaWkeg7upaHm+d0kLvglQGSBndeqz24T47jrzW5nAojjS/Lr+xZz5rXyrM+tJfptsNT5
jHfYwnZo5969kcbvWZpxOOy4TEHebm8T+Hg8NMV7COrzXf8ijWuSqX41ch2T7XkyuuwupEolZfTD
GzK3c/plMbPqrmk9DVKo4qOXNJqpIWtmWnO1WfLUo9sQcsMuH3rx1tA5/Gmoi+lSCUGNmaCMwEPk
OOHVca/SjMRbSGv3yaIP4wWUnXph3GdEm6JJ4H7Txwe+wpuynznOgH1VBcspXNL0JtIauN1MppW4
8pLTAmtm14mYkSxseSJKbTC4J2QZ6bhlW9MIxXdACNOcgB0aaTM9jkTg9qYOa3prbrMgwWnqKOeg
Q531YH+Lc676Fm/yNyVrulB6e9CF3Xa+D43KPhW+ae5lPTSHVC3GvsNWeW3r1j4N1dzg+oxhMZdF
FN1ZXhNf6tFu+enOD3YTsfnVUgPHsvC+Yo5xNTwZfAYpHb8Ag7KQyaJBck+n0CDxUgS0AO2pyKO9
qKcXZHF5oJnR/tCOhnWN4GvvCjdsPtoz33ncUGGQYcN23KnlKJlHJ1wmPj6JZDwEFs+LHN3yU5B2
XwO7r44+zXiPHBiziw/I9CDHrmEPC5ud8rqCfmOdFa9S3to83tf10B8ig7tFFDAlXCrUupr47ifT
SacLejvOytj35MkVdn0PkMqhHb2fDtWowp2ud947DbUU5tJbz5I/+TIkKj9YhpmdrbiN9uA/1H0Z
m95e5CkPgGl0V4tgwGuZ6icZX89nJyjsNyn7+pMaKcxqp2pMNy3w7N1o9/Rb5PZ8UIFFWK/kv1xr
eg+8aTpSGkXhveiss8FO/2nxjO4uK2Z58WUZfJfUQWwDE/S2ESb7vkLGH+ad1Q2f5qr8Dphr3tDY
+GaO4dXJ4lvMWuhG35P5aYJE0Qwq5/3vX20xfsVB6IPDjoHa2ZtsSLCwUVi9d+3qmSODd2WGfLOm
6scy1OPGV0O6W/oqgFNo0i3cGPK7M9b/Hi1E/NcAG+rotx9/a07Vr/1NCrF+CVA52Ol9wZ2cIMzv
pwNEDZBHCB22D4HhV3rR71II5lSCv3gAmBkEaPN/KCHhL/gU+X8DLvjMCSgf/SejAuLFfx0VICEH
ZujhNdLDCYuKh/8YFTD0ziXLoZ85/j7pWwZh6JxX25qoRhiLst5MJfd8yAPmrnOGd2vKgarafnWL
rNI5+7MjDqM/UqxuR7M8LtPifmwSp79VY1+eHcE/+p0/HnPLsKA1ZkzPK5igRyZW+bXHD3WWNF61
G98em7eFil9ybVaHV8wy+pu+lR1sM1bFhpG3eWzqMdl24DiPS8gru8YlbSbCRG4dJov7fqSQfKb3
7FuYe0MBasanoFfVj0A7vzF4uMxDcScSwKPWeEpcsXybmyp7o4EdD+nQkuQP+SKNZZTXpaZsipIj
f5MrbZOcja+dUQaHyhyGfQt5YJkCbq81C/HGB+4kdVvfPskqGleAtezcKryMInwPMNdtxaKoxlsI
5xWueo3E8jK7lOhG6LpVnCmcqMZMH26YItcGzXYRqr1SlvDGDMrkr04mtI2UptexqJmxJv3W7QNu
hHEbHgdHzafSGbOTgXF3W6JQHYZldDesbwAx4tk42LWgI05kj7MSBm0U2SUz8gcaTPci6S8BF8Id
ISG+eYa4REnqkXliNOVvddg0X1MThcj0LeTWsOmSm5nUVKRShBG8uqFd3gFSHXbDXML8rTSesp4I
Iy62rPY0oAPLJG/yo4i67kp5Xg5zH2gHEN/5O4TycE/3TXtKXdPhnjeAYXCg5D7OXfVdQb3Cftw7
WzObSFN2kDK7YAj3aYeBeG7H8Bxj6Dt28eKS6ZYLjsmZvPpWaMgmPqrihXJEhjyp7SRXQxgFm1ha
mU9xxvW0rhxXl9E9G1JWr44l00ulwZ2TkxnujlhFfBKzst9maHq3CsshM4aV92nYoD+NlQJa0G59
X2o0KFrmy0T/OrOLEopGVdz5Asy66uGCpbHEOrh4BOHHsT8WGfLbko6crgYbHW3JlqDfGm3lfMa9
MdibfvTzD0uorENA1QlqUEXuwQa8eO6LqD9J3vxtW3TRS7EEw80clHjW9+Bj483NqUJ6wIHgJeJ9
kvCCtlbHa3o1DCfis82d7Q/dc90E9cWbk+VYhSQpiyrhgSvjVmH0yCLd/xfeIiiv57SY5+OQEql3
GWEcCqOfti7ZrL0aBaZwTrjbsrTfcS813XFqLGyR3IgpiePcRjMFrSrXUIe/kjUHxqmHdl+vGt6r
0CFQnxNfRZYL71SWdgdHZKQ4MCvXjxj1fdw/dVW9plXWA7NaU2ZU+2JzYXbyVae+z7ljgHOPMX24
mzTEPDgVcfzSRwsHxcIDBFLVTnuOuppWY0yp+zGpaKlcGDUWgxE/9NHkH7mU2BfZJWLnub4xbYZs
rl7NTOZnO/EsuRHTnOw7ERUOxJlyxMAYkf/Acvc00/b9VjEVhRGDcVgfFf+XvDNbimO7tvarOHyf
/NmtbE6ET4Srp4pGdJLQTQYIlH3f59P/3yqEDNqSvOXaF4QPN45tBEVlZa4115xjfKO6YZYy3ENo
R9oCeq1YNBb+47m6d+EZ0pCnQp5l7fOGvFwUe7deJI17Y0UcYt0WxUmWFeEOMVlwZaASvSR+Ctwc
w0TQakRsMOZKxBmNXe2DaZU4mTIxXJYOstB5DRcvXPyfOdNLudzPz/TL+zwbfy7dkz/8tG87RyZx
f5zDMYfYnMFNdsbnUz1afo0oCKRtch9GPfB127aAfHy3OT8rGMQRqWi04lHtaXT6UQT+1r4t3Skv
W/z0FPAZQIaC3IRGUPs+as2iXAZsUy1YgL/A7ujnFS7s94EeqLDw/OB9II9amWMEJ7ZufVby8Maq
rFM6zZuU9AUOfCCaTYIiRfJhNMoipkvXtMQEJdlVh6JhQ4zNcJ5mPCcBKm8laJDgBk6/1MtUnYNh
/QROtV3wpHxg/u0vUhk0Xk3OaU826DIWRXDiMspmrSWmIdJ16aryP5hKmi4gXZibyUi6RaqiqA85
qq0EaaYZY3W3XBcNWgOI3p9JIr0Z1VJdjQPEQOEFMDTwY5zlDCrOkOb58wkQ4kLPyndpTRbFPCID
e2WPkbHUoqBFDg+HFeIi/UNVA/k88pegGO42ZF8Ni9Y26WqXST+H8n3nISZfEH02LPqkCFcdxvSr
pHGcOdYSWqwY4VnNPBT+JhA6zzamNSr6epW3aJa9tuAI3hXRPWNCg9T6xOSQAcPqEznXA0wgRVkQ
DCoI8HFt+Oh9RnaN6C5UgwU4F3SwJyvPLgvExOyhubZGjb5oTP1jGboXsFuBkWQPDd3clZ7G71JH
QdfHwXMG37qcKSE5jGVcqzONnEiL91QHxn1cQT2ZDLNeaMLklyWGsjFI6573VkgLJ+J0YGX0GdWM
NqWTAnBXYK4YIS3VHNHIaTtO98R23AfIsTmB6seeisZlKgfBD5Omi+S5mtOtTGb0Vc6jDDBl1ccD
gQ99PYtK5jWi0Kd1aEfqzKvsLZY/KN3ZmM6rJhSzqFOilVU4j1asvY+S9GqaxCOodY1Wg81+PiB8
cEK4wCy0Jx7+zplhoTF17OO26c+QyXRLno9PNGc+Fnrv7sIe9nAUdM3Ma8gURx/D5KtsN6IqivdD
45/b6HHmnmHc92ZwKxrjlnbNZYpqCaw5ASCxabYbRGfFLNE1bFJ2/1FAZqGBEUBJTuNVk44oOXTx
Mbdr9Zh125v5pJpy1ZxVI5p7RlQ0zF2dyXyXqLuQu3ZXtF34kJuGtjJ6zdtMTFBWnQ7QBTaJQjpR
lePfhkDDnI05lNU67KdpdMGG4l72dlqvSiLquV3G4daKaHboQmjzus4M+M1e0G5pXXnjwul056Si
7bWyeKlRusj7COdEQLaHyb6tk2XyzhMga6CZO7Mk7PWzac9OK4zAvpxI45p7SKTwFzfGJYoXeGsJ
3bRdu6ewaXsiG4AaH9loA6eNB94iYLXwPkRtjwcGZ7R2XO3pbsR/9TPFoP4TEv7WEa9N+KiNqSJi
7InCp62H08ow/GUdifbExES+ySRQDuRadAFgEREgyUzKMWuxywgACJ0butrZmKJ1dCWSqpFwKrw3
cKqERFax/ZI3KhsuDZKmXK+iHU3QMZ5rsjHjh+EANpRmTSrbNqotmqWgk1Ptezrxvr/j73s9o2z7
sEb0V45sBZWyKQQNSeyEbBS1smWUyuZRI9tIuWwoRbK1NEbK5//+XRdygzCkcPzne+75mP/xoPzt
5562W5M4ErgOLnZNQzXwSCL+e9pu9SOG4ozUOQsDWMfW/q+ROiHzQF84v1q01k3rpYfTPlJpmSCT
R3wPS+J3m+iSJPxyv93/TbwS3X3m85zMOZG/HKnnVJCiYmExSzc+nVSlwpevuxW9lzyxLrrK9shJ
qMZgHpeRvbLUJvzilkTIKewsrBE6GG1WM/YT5sx12FeAtmyInZ7mndgtVHJWIr+ZFkNvM67SdQ6U
kJyIqNaGzthMjlNfCyQvX1w5FMvkeMzIqoQMHiPdsNEBZg9dM9pqDShPDPuMyZMsSecm7fp14XjZ
iqg1exnJcZ4hB3t5zdVEH14x+GvkDDCLbfOcgprzVUOazE3VlNB+Fae9jxkrElPie3j6mTdCcmWr
dsYovVJ7pSsXXUBjC3yNVX7xSzXfqYU+nsV2HNmzNA28aRkRmJQtI8/FqWdaUG0W4eTg2i7kaNXN
Jlp+RYl2aFa4en7LWdLcCMjvqHblBDcjZ/oCT433vrNcJtGB045MHDDgrSMiWsJt3WUDIR3RtB0i
0koupyhSUEiPldnP25Jdj6R2SinjONcx2LCLFZ6kuI5xvCzTLtSw8ZgxEsUi3uWA8T6X1ojlcaja
/M5XxsnYpB1YyQ9GZxr6aVVYBWcDt7AykO4FSSbFUNpMQDm4R7TWCaxeksqmu8SARKrKeTo0+ulB
i9qkPVXirkBq2qVgiS1iAi8gPcc7RUkyDngB0RZbs9Ai/4PIDT3ZjClpU9bYNtZCoFFDxxXRRXYH
c6TNWye3uY3/oC+dfGGRAvY4Fn13HPWZtjPa3JsrSnNhOHhWOWAU22ly4o82T92xFuGQm4mq1W9b
mi1iVfq9hXUKjyyDZgJcgSb7sNo7b1jyNPoPBEuHCxzH2rZvRS4JHqR5mL3PMabG3r4YA0wb09iF
aFbb4nhgyWZ8L/LHji5FMCdxUT+N28nduE7ev9NqzpbQI6zjrq3seTti4u/jpluOfmMsHfYDFAme
flwwCEcYNdjObWZ0F32onDJDr6LZVNgqqT/xLkCHt4FAIbbTwNCqh39PnEd+PgY9KARoJFGfKOcJ
w2C/V+7wtp411IZramrtPWqSi1yp82yeWvpNAJcPCT0jGBU08XXc0Y8w6vwLuG9/MSlsuN4YB0uh
hN2wGq3p1lEd3LhZ/WD6g36vNM1m/1cpGbN7xnpwM6NRrHp3sOCcFu/lPwia/iJStNs6ZIoTGgn0
PM4UK68M7GOvMqO17WnWtjeyk94X1WVp1zQh2JdXmjOqC6K5L7ogN1AnQLdHnGecFpozzZIkPiNO
6SzRy2CVh91DZrjNmUfVcYz07Izk3QR7Nudcs0EYKaae2XqJNmLnDEkC7z/sdo7Gw89Eh723j507
UaXabVaVDYWIVj9YqQ4oJCg3jLWYiViN/miV07TsMaxfNoXK3DsKvPMcEdwG+vWVJmpvA5XYWbCO
f6jjKbrQrMGgtFbf6153KtSBMGV+gU9KJJ5kYCt5QFaTOfrG+yorbO5yYt35jwZu1EBUzJZBEDMj
g/DmFLXTxghKUKMKHqJMo6ChJ3CrNK63GHQc0oHtPaAe5cZpk7NG5gmYipfswkkbb8jVotTRXfpD
WY/pz1IvElUmeHaqv4o0+2H0LHVmhKFxnZatcpnWbrLQ2xoFrWHfZrXntGuIiHx8wvDHWemVjH7C
VTzE7ierdFE2KQGzizS2mZf4Z1FnvqNOUtaZJ3Q5WS1h6EJfBYkzia03dGTNwesjd/YT2OiVNuGp
qKZgMGeKCuAwrEVNfTMi0zCVi1FLGAKm/QAfvQ+ujRTiiE7C6TbzaighrJAa7lsGBxFnh7nv1h2l
OB99YlZxNvvvr1HIWeEcT+P95zXKP7O79L76wbj/288+D/txDVBUEAHASR53w7dhv3WE2o86BAcD
akEDuNyLvgC1CBI/VXMsTdgEyXzr58MF1bEmw8GCAk2/4bdQE5oty5AXyj+qJGluoCdBvjNDf/27
MiVCmR60lZinUGyh6uwaeK/dAoF4+ciJD5/6qLo3ZdLEW73tlXdTQDyha0QXJNWyqxbWNYQGOQC3
omBuBk7BAR7hS190MRyXqbrxM2iPZVBWW+CVuTUfHLfeNU3bkYDe9uDX8qoL1tj21LNAoTOad8Di
FDx1mN4COz1XGvFFaGNwz9Ewvs1iV50nGJp3UzHax0aiTBsPrtGSlIV6GSZ9SS6ZnG3KKWfB87kM
7E7fFK4dLymPumLWh/x5Q+ao934QufynuPcxjz2akpFrs+Ndg3HWEcxKhG4iabpNBFeXvBP/WJWs
XTvvasTd8HebPYkXSQ/naei8qHn9K1MSexllojKvJMcXGIK7zLNC2xiS8qtyLPhYSfKvLgAdOZIG
rO7BwM4eEhxKXrCvue15OOnGeQwg8iqTTGGYfaQROGRU9mqCOR5g9dDBIGYGF8zUToKJ7Yo9pEyF
edKGpkDzUPCf/Qjds+dAHqRV+tG3wG20QwmOjDMzZsihOulVwnt7yUa29pjkzIeY7AjYyUT/iG0l
ecqRA1lZl4zlitCzuyBr4W1AN1hboH2w7Te9mGnS4KkHTbAA1zrugtwqeiYd+XRqOF4MtUcRTKMd
kH3LxmXUi+fNRnclvHCdx4W+NmzP3GZBEoynPSfzHaJ262Nl++W9NdBFZhTuK5OnzfuCubrWwfds
oyI+JhkrPe4yzafz0dLSpdcaL1AboqEzgqk5d8qpWBEz7KDWwuMmwlwsB7haN2FY5Ys4r3DJVcyc
aPuEnAr7fIG6Xd1odt6ea6Wtwx4bmp2dJNWDTvjodhJ++wA+sM6Yr5fExNHX3RDzrF3CkFXWORPd
SzVP6L3bOC+rwQW6oShgDVLGEeH/gaX1qzZadkd/vrguH35wAHzxk09LK91TFkfsX/RbLVCaKgvo
0xEQvTVHLwC3moQkm7o8nX1tudpHQi7CLl1aR4UCJE+HLAdN8I+/s7QCyofxbmGfFeTaa7/TcjW1
746A8gRKyaXKEF+Vsakcyr48AjZj4WWQIudJpadbfEHTaSV6v8c2jPdEza38hs5Juiv7zwrtSGhu
pMqWtnQp4+9aNKUen7oJw6uZZ1QIIUsnLFb6WEtR4NTcspp2rGq1uGkBG3S4SlDMzMKOzOmZ64cu
YeFuqq3CLCYTmiDbcV1ZsCKWdEJ7jgUhyTAznM7tjnhdGiu2Xl+1vp6jiTKn6NjrnQDkDXatpZ+3
4yafnPQ2N8S0bkAtIo9wFGtRqRxBZ04cF8C0RvvcYLXflSkS1LQaR8RHBVuJ0feLKBCEleSReuUh
yd5hMq4ZOE7+iaVRFCIZTiw8qD5cI1O4q8AJ2TyaXDv2nJ6mccUs9wNyTnthtlA9TAXYzVC47DiF
NGS60poZ7l2aBkKzaZFI82awt3FKQ2dgiaS5KsecM1ErLZ8Cl+qWwVvEODS1zY/KkztUGkW7vWe0
U9I4Ph+klZSdAldptXeY5kPmn2XSdtqX0oEKU3FYB4G9tKU9VdA15gWkabXd+1dbjlS7BCrhFgcs
xTdCq5qzh2y1WtIAq++9sNPeFxv1Bp51Dn3DvSaNsxix8ND6TMK9RRSPXr2qJ1yHaqS1x5quqTvN
RZTlhQhBCGJHaJubNZp9hstwABuYpkP5PqCdvOxEHuFuLXQpYh8BrI36mddQRocetwXW4k2m0i2O
0ed17ZSCLymsddhifR+SzNmZ5MmcWcJM6McXtnJMn306R7J+Y5fRiZjKdAYnztohE5vmZZNqSzX0
It7qFLZz8lbXYGko2zX3HXoelZvTIS2iaINNziT0nGmDCdkweK8HQbQOavOiJEZ4U3tdMRcC6Hea
Zp+0Ggi9EhAVJPpm4+VqcZf4PbJ0vYWfl3nBfeCAdVWjcgXDlon9VRvV1lVYeFvAsBwbCWhf8D7j
JUU3HobEIzqx6UztslRAZbXtZFyCeu3WIBesywxLzjuj8N0TmtVBgQ84CU6STgTvzS5Dl99aHRbq
oRGngxajRhqjR48QoWah2+F15dY6sGjVBFsU0TioMVMN/STmlQ1jhiwhrPj16C0cC5yh2XfiVHdL
YrGJ1FgKKz3VfXLhON0U86E21WWbBPo7vY/HjaFCWYcF56fFLnQ7cCWM+YxjPWImAokxfFRSFzyA
XRpXZjPqH1OztD8TBuleZ009zoZpNGFmjp+A+xy3ZoE2vCAx2jbr4Qy8IBm6blc6two4sbWPgplz
1tTNHWEu/aDecKz7pNYcaoPh3s7rpe0iZFTJXvhUV8W44llbsB/eNAqMzN57MOARa9wDEJ2oH2fA
yjB55EO8GFvjXQUddTba+Ucy1QhdrZt0SVhFQru+quddNRnvWi37oiGnXE4EVhDQoUjzfbel6tp1
3pifVE3vLFqTyGlqvTxu8u1gqA5DZuMdnLetGQaPRSp0JM2MepMa0GDa1/E71+HYQ2vhrI4bmumx
kWyq0NnBLsiWMB2vxsY7LuJmrdbJ+4Q089BNOfOi2K9dhu+qVpmULtWtCIwCSLljwHLCkkbCuBpN
K/JkL5hwgBUnFk6bxnmvZtk8CKQ43bEvJVRzYZcc4rQEe2tJr8CEajY1FKKKVc9dddBAKrorouSv
7ezGHpqr2K0FzK6xwovgXLWAz9ukXwmznLZWNr2jylkNAuA7duM29m8wdXLa9njUpy4XCzF0rqST
hWtwSf4HPRUzShv7QbEhHrmgKBeZCgcoLkzMyFG+rPzO/qRYFD9DH3zqnGoQIJWGnLmaM9A5sXsf
udzYLONBIw+psz1UGKV56seJTF10AHdpjrliWBfewaImJ73OOFbmVbL0etdcFcJz2A3cbBEpgXNm
92AQGcOh2vW1CcqdDn+yEMEqaUkVHG06X2j5xUkJK2I5OAHPeTRdpV66ijl8z1PyRc68BC6HYVbL
kk6RnhIq1rVOs/ATL1hWnCzWGvQcjBHdNqtGxk5ZP65pITgLGAr6paFArvDoshazqo3dOfY9YrHK
Xr0bw7G/9FtH1LPeVj1lXo/dZDCU69RjUbuhTZ3tufM84GE785EZ3Cqe6wKYtJRPYeICYjWd7Dwy
24WCb3TeVqO5LUs3XI+KVq3/+0/WX4s4KXn/efn3z4c7hBk/OFu/+OmnEhAEAPQlZuuGzmkZAvRz
BShpjUjhmbgbjM8dXVLYn7Vykg0AaAAIvMMZmvH6twrQPjJgW+hI6JDfc2rn3P0bIEfqvO9O18B8
0Nwx/HdMR6VA/Q7kCLWOJTI11sYUxch4g5Hs0LpUt0Y0OFeOZvcbZZomhF+OubObwHusFNs5y1qt
uCjpL8MI46i8zNKh+5iLvtvl7LNnauXh+oqj0FqNnW1CSG+LKxS13bKx6hitmpYgRKk6e+GLMr0m
94XUi6xUPtE37OIFHPmRjA21dUkkNFUeqmzEe1Rq3nnlM5XwmzE5n7SgV9eD04lPYHPUy1YdFHtR
ijAxvnhTkmJHt5OK444WFbOyVoYtxnL9cmp8ZuZpmLPZgiFh9mYOx7Vm1/SYQv8YUVC+ZH1ALgeY
kpM8eT73rlpUjyM4lo+os52bulVAsbE+5emypgpd2FMWn+lC9cMlw2MHOV9YnzgTHYkUUu44ywy7
/2IyXt81zI8BTOPof+RA6D/2iL55wHGgf4ZzdZyrQ/gFUO3wAHiMSToBiZvRpP8ukta4Z9jSz/rA
DzhZD9BzqLS9CNgDhLSV2TnaGUi9Yuv4I46/3NDOzDjFaj7a+gaognalYoTCyE0Z7S2qDLa0mqvj
LaI/HZOiMQRCjvnTM7dVvJumm6JLBlFLnHV9OdfpztDiNkrQwBSeMwdV98y2lDhd9VbJq1tVf8xE
1oQb5/gnes1NsrDNPK44gprDmsztgiFsFxVr+rf++7Iv4jM27OBqTOp+WQEyZyxU5+XSHVJUc61l
Kx/iTFGwak/dbWvX7oNAsnCr47kI50zngZSVJpSmwk70tRkjtp6KSmOUkmWc9CPGwaB9zfbaVKtw
gCsQIyTvXHGhuC37Y5tM1WyocJYsIGxWt66ROEuMiqAD8pjWaMn6v4iVpLt1XE+5YlGFkZGTAfnJ
TSptZk2mewXeGJty7zADngVdds0kL1HZQqr2KhkKAuBHW+luFdXOb7VJhCeJiZ/AJcKrm7V9XgJB
1If3bl1YG0uU/QlGC2gQ1Rjp5L4P/ac+z8p5BwLtxPLNni3V6E/Q0ynLIe9OQt7GriwYEpA6OyUg
gMqaRmnG29GKeG0MevlgRZQfhjXcIZ0noF2zzzLO9+dQB5Hg0xgGS4lr3r9TlLB8GMiuMQCZTzjt
JxjcaErwkxGilrerQcnRhxZSEwed3D6WCU0L4rfKjNSHsCYT3VcZvNlKoF5a4yTyk7CrlE3peuUK
iJ3lfeaUpWhzj/H5TiWoGFd9pQzTad/XYbLVaO5ddZB04vMGZRiZu0AkLzhEgm1X064+VbShuLab
loDhaPSMlVlzLGzMPn0/ldq7pm5Llq1AnFUQ5AwIVHTnF17gTsnxqPXM59oJE+Ncork7xJSjXc30
rjfYUEWzSs1uULZmnvv23AjcknRGKdRNRazdih647Nwo7Ma5GKQCV9h8wJWRo0xDLWoNS1cKeLW9
ljeUsl6PApw5k0il4pf5lFfOdKeJoKXyZvITLcCV0w4TkldKw3o9IeajWPbBK07IQ0F0iPQLg67u
PgRM9UUZ1LbaEqueOWexaSmLHOgQo0cfFdHMDoxuOmG8XPnLguUVjZEm4bJtY1TLFiiusq6Y+R4b
LL/iWskaH+io0UCQ9OglEdoT1UR44SVicbXjyZyVbgTlsAEPxi7Qw3iEXhjZ6rthlMtqpoZcNAj8
Xv658VR/Z3IeWhAb2n0YOAtrZyxCylnKPXxSGkJzFqbPGg6ZM9IuOUIVO9spxWlXJ9EyrMziZGiU
EqcWyOAVM1SbyFL8BN48NtDUzgBMgZQYVXFrhCkRRZ5f4CEgGYjjJyF3H8zK0T5BzfVWSeTkD1oN
QoFbqne8OWN9HMNWCN4yTQpkPard+ndQpcQC/e/wScsNTBE8nVde5HnzVG0KMK428beV58CvMdRq
h4vFWLSOP3z4P1MLScb0z2uh3eP9/c/lh/Jnn5thiPHpPTCVcvHtmd8qIQPTgGVQCOkoHwTdKMqd
50rIOALlpyEuFA7ZiaQ6fquE8BoghtDknFsQoaGav1cJmd/1wpBDYBXgz2KYQVn1BzlEWdhC+Iz5
vDI2m3WDLKiYh6WSfe7qXlwLsui5YTRwtq0kw6oVWOG5sQfGkrswnBfKYGyTBp5s2ku0rLXHzGoD
qe+nlodycI2DChRtIKm0Nhr6EMu5hNUOqNlDsnG16mLqHOOxw+2yHVQFvm0gUbdlGoYb9EQGrnpA
uGrct9ihhXHjS0yuqg0upu3hPZ4/Ol8jSWZm7GLNLkxyeEoXyG4DOeezF3T2qiXua+0zePRnugTz
antGr7Hn9doS3YsrOYoZPggqDQsYMAccIhHwD5TDOQYlkL/taLrH6WTpAHu9bukXkgkc7vnAw54V
7HHYOtb2BGEztRmfsIxNZ94eLxzgYWaAXCqIJCk+qquWqE7njA0vuEN6lJ4bklWMO19/76IaQ5Ym
UcYEA1knmfCtE1eSjvUUdz2JHvCPJZPq1ATZcmcmJnwVyUkmALOGDb3HJ+uZpDwFJi2SuYgbjjd0
82KiC+Aua3sEc9iW4wkTVP06rrVw0+0Zzfw99SdvT25GAFtYMzOOgxu9kljngs8d3lwgJnOh4cFe
j6qGiNo0EadIB4V1QUFdMlap9DHBD55NBgKDPm9O2rSYTkKJlrbtNPg4qmpNdDupzjGCwnK8I0g7
opPWMDPJR409dyB+jUZcafoOWJ/B3yhRVrATh+0H5IFDDiDCF/FVkLo501h/MtP54PYNAGl/ipjz
0maVSpbYXHgGhH/XKfLbvh7teubScbIWYclMbF7bBUJAI9NuxsGuTRmQml7beulIkhMiRNfOKsTn
CUJ8Ju7FTm5QKzNve3haVVrfEFxGSUPq0TQHXeV+Maa6PdUxLZxX04AmvtP0AUB7NIh6qaWj9W4M
+WwQfSjFiqQjY2MWI9jfzFBXhZnrn/zOCJal7423Q24xJFLS8ZgDrdiZduNt6dVy5BCldg7sV+1m
1EvmFzrFSEprkqN0FKjXcHCjGiUHR5DWH5x5x/JyBldkvLcrTCpRMXqfy9LJ7gAoebsc/foHq+hO
EAtkm4ExNuMXO8kfQTMr5yaQG/gVVAjKDAZEfSmxid0celY8buOqjj6auWWuW4A9PgVui3Qj76zj
0TK18pjJoKcvJqNCIWwXoAmREvpLywJANpvGRAlXfkJ+3AxTQxJxRtHaB+qE4bNlJhgA6NNO52aS
Gw+isrStVpjmlRsKOW8PRnNDbSMQN8NXXowASMeZXU/Wkl5ZVLNlBoPEFQAnscsg5vpRpEbw3DQ2
Vy+k/oBzjhl6CsD6kp4DYV8FbX0+xJF1kieYQsBLJ4G1GuAHvE98tzj3Jy/+mGp28lEFbVLPhqQp
P7LVB+txHO11IUKH8FgjOzWwLGyo71T9BMaEwhA18Q0xU5UYymUPOlXmS9jxpi9Va6bXxniaTjaR
7oZea49g2KxLrwu0cgFMLLLmJPwZ+Z3dT+oHKyd4HWFmVF67aq+j+hD6dNP3hsmjgmM5mMkkLIo3
O25xSwOBmU6HSKT4dnvFx1/s2/h6zDKdFmhWp/Azp4Q6pPHqG+ZDOzRtsvXjbozf2UqLTLpqLRbL
rC4BJ3vFCLxDJSvJ3iRk/zAKUCciMpJoykmRTwe129F4C/15rU56uPZLO0oYYIRiuHE66FgUhaLH
VxF0AQGBOn2dC+xLyRZta7kdpAF0DVAtYniqBma2qrXsg6dSUy7zPZg7j4exWuqFYavLmIxwyhts
XeKzChn+PoZEOmf6apyVXQTpu91Tv5ktaFtajDK9eM8FLzOtAm6654W3vjy1JLXvuHOOHdq7aE8X
j9FRscKR8S1AjgEgJ8KYfBDax6BDJqFF51qNiIlP1CHU2OkG1DSdqze7Ohnqixw0i7Op9pzzrJzw
VFGCaVu6fZDQ2z0VXe0BpBeFyPBbsaExdSkkQx3iV/6G5o7/7/PwP/5jvrhr7pZZE+I0bx+r8fKx
btnen5sx8rvv8jBrrvP/7B/9+hf97XH/ytdj8fiPv3/O26yRf4GPi4hqa/8tiU3S7O8Lt/2ftP97
f/UbEojeTfvAr3aBXtKgQs3M/8gvfmGSZ/7Xb9tHlHOoRpznbz/NTF9coZ9dg1+/vaeL+et/8+oN
3D3Q5FmEdVOFn5tXlwD1NqAr43s1708uxHe/518XAvEtflIML7Irt/96dSEkPsvCDQue5emL4paK
+Q1dCGnUYcb7XSH/u5dBkOxrM5oW/KIX94Ej4+1Mm0bn17f/dN+9obf/PJo//ALQcpWCJK7n/otj
xIsLYR3hW8J0zD95+nqzD8T37e3fvRPcIzraT3fUi/ePJ0wQa+rYz48JR7m39hw4wlU5Rr460P7u
u+fwScsexryGZOLF+7dxxhsGvhn16+3x9EJv70HQuW8PugIuKx6tG/r+X+/01xeCjcOBRwwu8K3d
AF9XAokxPOgCEFyAb4LhzR6AKD/uV3eCzOmyJRT6+dtPF/zt3Ql/yEX9D54FtlgGWEyQ9l8sLS8e
CR4VGjtk20nl5ltbCxBZSX7EQTeCpuPZodkvmZQv37dxxFyf4knSsvZfb+3tP++Jhy4F5hGIT2Ip
aMM9fbHov7gQlvz8JUZMlpLy663uifqhxYHEvVvYANxv1cGrC0FAisZTQDn99To9vd7bWxIgsBz2
SACGRcFIOvLzHfF6c2BJsAGyGYb9tVx+Kkbe4IV4Kl/+deD73bUR8B3VIPf/052/v/dfPRqM8U3K
pefvv7kl8nm3PPjRIAEbvLCDxf/p6/ViaR9ZZCu8KKvfXN34fCGePqH//I4AwiCjkKyXFeKLO8I5
QgqMxoxL8fT1VssG/dD6iW1TZZ1k6sN+8OIKWEdon8nnxlb2bTd5W2XD861w6OKAAoiseIckhdel
I6dpgwaxIVPh919vroa2n8xCB+8SDvFh0ib09X2+rhvMIyzTFJWM/74tGW/yRpCTzIMqSJvtEKv4
/mnYv9XXT4Q4ouXg7PVjb/tC/EEz97vbJSg4bgbOCl9vCKmWe7E0sGQYDlI151sF9UZLasmcO/SO
QAHIHsBU/Ad3BMY87BrE/LzZCvLQBgsmGNlaMPcEhf3d8OpOMI9wJaIWIBDg6eutXghpqTnoThAS
2oT+Adzy09frUprrhExNRcT59dtvbq943i0PPWXKh18XOiqN11dArhkqilj9+azxViumP8A3f3d1
3DcdaSzv0y9eLovaET5xPLpSQvy2dshvSJSDngGKYo2NQah8tC/eNy02Cy8YUPG39ra/3vPmoQ8/
PUb54LsMdn/88JsUyrQcnvfLt3rri0N7bCaCeBZ7w3pRC764E2i7m5qugzX8uh28uQshD/h/9Ov/
7gpg8SDg1JXF4rdt78VlsI4kP5dL8danT3/w1v7+hWACx8f9rbf6+uggjvawAM18Hk682RXi0DOk
9IOQ3MQc5od3BMHLTGUdsprf6BL5B2np794JHKLlvFXYxCTsv143lkxEokicv90n7tMFf4OtxkOP
DHIMoTN7RKHwowvBdaKpJNhK3uqdcOiRQRwJRrvSz/7DRwEFB14nxtN//v3/ibvkm+BnHoTJw17q
Ez7WP1IE/ewfPKtc/vj975Q8r/6hVP48vfa/lED/+0q9shefvPjmsxhl/zpff/zrG/zjS796red3
9fx/bsLH6q4Cx7//xvj1zzy7SxEM/Rsw3gvV0qs/dv+ZPDVVf/nbSXz8IXdPLnLPsp8nUdR/8ut3
/d2PeDnful3/upr/+Pt/9PvvHtrsB6ZBXuBJk3DoC8zBEtR/uwy7x+pHl+mrAujQV4E3kv2AfiEV
Rvtp6qG//0+Aiw68jz7dpV9++FF/Ldxlc/vQd3Gb3z8+/5a9GO9JiSa73Yf+6mv+9vsf3EfPfz3j
u0Nf4goSY/ODD/n5Jei3HPoS+9u0/uN9+vwSbFSHvsQ7BHyPd+3PX+MvWDT+fcDmgTfrefYL1owU
Nh56lc5C/0frxdfPQYZrHfwKdzW37C/80rKnc+iLnNz5+c9vJ6n3OfQVdrn/C6PTX/Bg/wkr1YE3
0w68QfijPej50/4LHuzd3Y+2h+cX+Ase623o//Jm+gue6uP054ufNNEfeiv9iaydAz/p1eMDZVry
t/ldETb87/VjVYVNXo3Pf/yLTUki/w59R8us9X++0spW2MGvEIfNz58/OYU7+BV+sdLKnsXBv/9P
RDUc+LEvHpPm56WB+Rc83rPHrP1FTNRf8HzP7sbHpP7Fu/gLHvDZXfs5+MXd9Bc84/+M2fGO7/P0
p/WH7Iseek/9KRTJgTfVv48N/eUL/OiY+c0c8cfD57P740c/9vpkLf/F5+Txrvrf/w8AAP//</cx:binary>
              </cx:geoCache>
            </cx:geography>
          </cx:layoutPr>
        </cx:series>
      </cx:plotAreaRegion>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Customer Churn Distribution Across States</cx:v>
        </cx:txData>
      </cx:tx>
      <cx:spPr>
        <a:noFill/>
        <a:ln>
          <a:noFill/>
        </a:ln>
      </cx:spPr>
      <cx:txPr>
        <a:bodyPr spcFirstLastPara="1" vertOverflow="ellipsis" horzOverflow="overflow" wrap="square" lIns="0" tIns="0" rIns="0" bIns="0" anchor="ctr" anchorCtr="1"/>
        <a:lstStyle/>
        <a:p>
          <a:pPr algn="ctr" rtl="0">
            <a:defRPr sz="1800"/>
          </a:pPr>
          <a:r>
            <a:rPr lang="en-US" sz="1800" b="0" i="0" u="none" strike="noStrike" baseline="0">
              <a:solidFill>
                <a:sysClr val="window" lastClr="FFFFFF">
                  <a:lumMod val="95000"/>
                </a:sysClr>
              </a:solidFill>
              <a:latin typeface="Aptos Narrow" panose="02110004020202020204"/>
            </a:rPr>
            <a:t>Customer Churn Distribution Across States</a:t>
          </a:r>
        </a:p>
      </cx:txPr>
    </cx:title>
    <cx:plotArea>
      <cx:plotAreaRegion>
        <cx:plotSurface>
          <cx:spPr>
            <a:solidFill>
              <a:schemeClr val="bg2">
                <a:lumMod val="25000"/>
              </a:schemeClr>
            </a:solidFill>
            <a:ln>
              <a:noFill/>
            </a:ln>
          </cx:spPr>
        </cx:plotSurface>
        <cx:series layoutId="regionMap" uniqueId="{9BAB4D54-08C8-49A4-9EE0-3A729A0374E5}">
          <cx:tx>
            <cx:txData>
              <cx:f>_xlchart.v5.10</cx:f>
              <cx:v>Churned Customers</cx:v>
            </cx:txData>
          </cx:tx>
          <cx:dataLabels>
            <cx:txPr>
              <a:bodyPr spcFirstLastPara="1" vertOverflow="ellipsis" horzOverflow="overflow" wrap="square" lIns="0" tIns="0" rIns="0" bIns="0" anchor="ctr" anchorCtr="1"/>
              <a:lstStyle/>
              <a:p>
                <a:pPr algn="ctr" rtl="0">
                  <a:defRPr sz="1400" b="1">
                    <a:solidFill>
                      <a:schemeClr val="bg1"/>
                    </a:solidFill>
                    <a:latin typeface="Gadugi" panose="020B0502040204020203" pitchFamily="34" charset="0"/>
                    <a:ea typeface="Gadugi" panose="020B0502040204020203" pitchFamily="34" charset="0"/>
                    <a:cs typeface="Gadugi" panose="020B0502040204020203" pitchFamily="34" charset="0"/>
                  </a:defRPr>
                </a:pPr>
                <a:endParaRPr lang="en-US" sz="1400" b="1" i="0" u="none" strike="noStrike" baseline="0">
                  <a:solidFill>
                    <a:schemeClr val="bg1"/>
                  </a:solidFill>
                  <a:latin typeface="Gadugi" panose="020B0502040204020203" pitchFamily="34" charset="0"/>
                  <a:ea typeface="Gadugi" panose="020B0502040204020203" pitchFamily="34" charset="0"/>
                </a:endParaRPr>
              </a:p>
            </cx:txPr>
            <cx:visibility seriesName="0" categoryName="0" value="1"/>
          </cx:dataLabels>
          <cx:dataId val="0"/>
          <cx:layoutPr>
            <cx:geography cultureLanguage="en-US" cultureRegion="NG" attribution="Powered by Bing">
              <cx:geoCache provider="{E9337A44-BEBE-4D9F-B70C-5C5E7DAFC167}">
                <cx:binary>5H1pc9y4suVfcfjTTMSwGjvAG7dfxAWrSrvkffvCkCWZO0GQALdf/7K02FXVdr+xribi6U11hG0J
hSqQB8g8eTKT/c+r8R9X5c1l+2Ksyrr7x9X458vUueYff/zRXaU31WW3qLKr1nTmm1tcmeoP8+1b
dnXzx3V7OWR18gdBmP1xlV627mZ8+R//hE9Lbsypubp0malf+5t2enPT+dJ1fzP206EXl9dVVi+z
zrXZlcN/vryor83LFze1y9z0bmpu/ny5846XL/7Y/5y/fOeLEpbl/DXMlQtEUCgUo+H96+WL0tTJ
/TBfIC4kkyFGdy/68NXnlxVM3yzmxVt36W4efv+zJd0u6PL6ur3pOrie27935+5cwu7QlfG129y+
BO7kny/Ps+SmzS5fvsg6E90NRWZzJecHt5f+x+6t/49/7v0Cbsbeb7bQ2b9z/9XQX8CJYId0L95k
/U37dzfk9zDiCyUkDgUXO9ioBSeISUnCe2z4w1feYbO1lsdC9JOP2EPqJ+94VoCdXF77GnbTU50n
jBZUEU4JJjtgyYXilBLC0Y9zdvedd2DdreOxOO3O3oNod/BZoaMv/VWaPSk6ghBFFFN3ZwbvgATg
IaKk5ATA20bnbh2PRWd39h46u4PPCp1X4EZuLv3DrfqZ5f89QxeCt1GUMcXuLdruGQoXQhFBlNhz
QvfreCw8e9P38Nkb/XcB2vVOL7YdMbhYIhDh9wZC7WxNshAMhZgx9nC77+zGw/KWNw1wjwo27cP4
z+D4uSP+2Wf84i5sf83erdA3dVb/1S3r4/8GbvlkuGyf0MirhaJCqhCTe6zkDlZsIYQCE8MfSBNY
mW1rcruax+7Wncl7KO2M7cHz35s3LW9K94QAcaBGkiKB5E8Pk1hgqRgW8Ja7196hul3NYwHambwH
0M7YswJIm7Z+wrADkwVWktNwzwHTBUXgmil7OFm7J+d2FY8FZmfyHjA7Y88KmBOTPCFBkgsZslCA
J/pxMrbCQQEeGP4TEiKRHYsGi3gsLJsLeJi7h8r20LMC5a0pjHvK40IXSGCMw+8Gbcfh8AXFwFkR
feAOe/DcLefhJt8B939PD3Zn70G0O/isQDq9TEz3sI9/djt+j7wK8DkiRBSzHxHe1tGhCy4l8Fr2
MAz8bvsI3a7msRDtTN5DaGfsWQGkL6ebsntCWsAWUpBQKv6AwS5vE5voT4VSgv27fe3Rgvv1PBak
vel7MO2NPiug3gG7/vqEOKkFqKmYQiR4f5R240AI0yWVglJ5T7CBRGwfpbvlPBam3dl7KO0OPiuQ
bkXJJ7R3bLGh0HBi7g8LgtOyZe8EiJaIISUfxvcklbvlPBak3dl7IO0OPiuQzi87OEvDk54lRgEE
sS08bsGkFgT0SsUhVrp77bmlhwU9Fqj9+XtQ7Q8/K7C+XFbfnlRXgKgIAcMD9r1/lhgG7YfiB2YB
fmvb4N0v5LEY7U3fg2hv9FkhdHL5pEErXqiQKRqScMfUQSKGCvBXWN3js6dPblbxWGy25+4Bsz30
zFBxXfakSRey4AKEAyLvjRgQgi0bJxeCILmlBu0dn5PL2/U8HqKd6X9BaWf0WQH1r2K4fHH01VQP
5ubfj5LYIgRSIKjY0kZ3oAJSQYjgW8LdtqX7vqLHgvWXD9iD6y/jzwqwVZG5p1WDqFAb0eH+XO26
Jb4AkVXRHwxwj4ffruaxQO1M3gNpZ+xZAXTReciR3O3of/8wyQXf5MoYYHT/2rF7bMEg2AW7KO5H
92ShzWIeC8/23D10toeeFTj/+rqpK3kqcPiCcUjZATW4Pzy7QSxghzmkKEJ+P7xHGjaLeSw423P3
wNkeelbgHGfJk8ZFwLUp4YQKuotLCLggSkLyoD3sBUR363gsMruz97DZHXxW6ByY6uvfloD9npZ6
W0UDyblwPz+EFwRBHZRQe67m9vsfC8rO5D1MdsaeFSQX0xMmIEAmwBxD9dJuVQKI2oIRFe7DAd/9
WDC2pu5BsTXyrIA4ufn69QlJGcaLTeqaS/7TGia2wEiC53lIoIb7wc5mNY8F5/ZSHibvwbMz9qwA
WtU+ecIqJkgEbZx+SB+i0V0HIwE+Bo4fPyTr9hzM7Woe7vGvycjPS3l2Ju8BtDP2rAD6V31ZfX3K
Ah4B5kxRvAlu7l67lbViAbQNQyT6i/qQ+/U8FqS96Xsw7Y0+K6Bui4yejkKHi5BCSZzaRYcvBMcY
MgsPJet7Fu52EY/FZmfyHjI7Y88Kl39dX1ZPyp43LBkyqfLBhoUQvWzJOBtyrRRW6ntFwsOmuKta
vF/PY0Ham74H097oswJq9ZS9HVCtgyRIad+5AByULZD4IpSESKgp/aGabmttsJbHArQ1dQ+crZFn
BQxUt/onDHDkgnIEyLCfOyC1kNDXoSTb4wa3q3gsKDuT92DZGXtWwHw2Txp4Ql0igT4NaIe6OxS7
mQTg3pAp5UDtdu3Zf7WIn5O1u1l7SNz98llBcFQ9YaQJpbuKh4wDgf4ZNYN+NSGgFWov/oclPPZY
bE3dg2Jr5Fnh8a+vPr988b/W0bv//bBNf6U1P2Er3K9u0XYIs/Oe3+xUhO4POJIU2hHv3RXf8WZy
sdkuEqqK74f3irduydu+vru7np+f0u8Td978/7wR8dfIfG/nXF66y9VtH+hWn+Lfj95eInSm7k39
O9H7Dr+j6z9fYoGhe4ptjN/3HtPNB93Pfmhk20927029uezcny/DBYTIFDpPEYIMBZIbBWm42YxA
tlZyDCkLxqDGC8I0YP+1aV0KC4AuGMQ2nHNTagnsEzDujL8dQpALoUA3JShSMEbk9y7cV6acElN/
vzH3P7+offXKZLXr/nxJBFxTc/e+zXJvewcw9BpBjZmCXCTj4Iibq8s30OoLb8f/pw1IgXpOD0w+
d+OSwjprjdpBflJVbk5iMabtUZbUzSdRypEskySeYy0tvkyDFHUaZwh9c2oW7cE0dydWlqPTxub2
PJfUdYc+puH5nDmRROHYlx/Hrh/5UTbjMY3c0L6fTR6XkeRV9jFJgix/G3Y0n6MiT8W09H1HDgQ2
wUFZCT7r3KLwxDnjDh3tsmLZ58O4msPK93oqg84sWRK0B2E3qSRivI/PpMyaMpqaoDgoE7ggbVA3
nuM0aw4m3+GozMbhmBhYgw7G3r+CBuE+i1iWVL1OZkPPu1zVr1ExlcuUN+wyaXLxLc07e1PUc+nW
NlbsdVeiMdQB9n00diTwusSBeN3FJMDrmvH60PIpLXTpJrIqy5FdUztioZPMwtcCdsV7z1TvNart
eNpPZbkyeTOvoUaGXXFVio+hSwurOenwqSkQXCyXGYpciUSqkfPDQZ9NX8peoPGkL/gwLSUq4tdU
xsGg/czpWuWs/ygCEX8uy5hFOC/wsmlV863MW6tNQeqjwZT5xYxadaGSuHpFiiQ+nMUUautNrm3a
21QHfc8uEtKLddq76vVcWH5oZdFfxDIH1P0su0uo7smdFlVWvC9qVXwUSTe+D/tQHcys49e0cMN5
Xyd8zXgWM933LrmJJ5nIpR8T8r7kZRNrE5aUHTRwZN6LaVTv81qOn1wT56ddQstaC4F9GE1DzNOj
2lbpKhnK/kT4ojhsTF7641BalEalKuwlaYf0jNs4P2wS0VxUvsVGj3FeU024nD66ulBRqib6uhBV
+LUIoah2XTc1+dKnfXFNfBZ8DYdUflMinw5H1ooVn1m5VlWPPzaFwhcDT9lx5c10PnSj+TzwMTmZ
h7mMxp4mZ27McxMhQINFQUbVincTKqMuM8NHCbeMaeswfl3Mthi0qB370rmA6EQkrT8ISF1/EIqL
D9g7u0obRCOVi+LGT2W/UjnPXw1CJEuliuGdxE696ZuOvmeJa/NlkOII0j/iJIzD5pISZy6yIESh
jhPXV5q1XdZpRKj5mNcqXvXBa9ZM7nxKAqqVqMxxP7fsIg1HdUjGYD6yEg9XHvq0jwbRFGddJ8d1
2KCwj0ReyvM8LRKdppR+7rvens8uFkijzqNkVSNWX5pqyg+Lwhf9uiFBjHQ/0ulD6lK2TuO+XsZF
aj5Cq9nwrc278CNBFdUW0DiiXpZzNDaV61Y2EMLpks7ZK1zm6QVBQXtW5Qlbu7ypSl2gpjgS1PmP
uW2ndYoG1B+Y0SfLQRTl2eRV8woKOe3am7B45+as+lyXfZVpk5X120EVWXMSl6OsIhPk8m2vbKBT
BD1yh4mUVPdNMmBdJg5/SKWxJ6SGkwT8LjkytegPBlOUq8CS6bxzGQmORNwjFvV8IpMmcFvPcRxW
XTQ01gwRrnD5IRuDaT7MeFzp7e7CHUt/ZZqpzZL0/pEL33/8j4vmpn7r2psbd3bZ3D4M4MfY7o8/
nhWwcXPfHxyw5zzvHuzwC8/6t4O/53ZBYvm1292p8v+ry94kl2/9LtsEnhB0AoeGfyBwog9+lyyg
RGpDrsDZgXuFdpPvfheEBKDc4HbBZW8EA/XD7wrw4yEU1QNnh5QpxYL9jt8VwOG23S5ISlDzjUB6
hTZfyglDu27XBc0wUpVFlqMmiYTK/Vk9myDTjia+WDV8UEdxMpzSxiYsEqUKL4YusdOKYRQeTmZG
50VoilPuYr/uc5eBK4nDxB9lJkxLbYVA1XIeS+q16ctm0mEb1rFWPCXVmwG1Nn9D4yAb3qN6TLHO
84FEfR+zszJHY6pHKEsfV1U9dy4ScVUfN0XYfXZjOzY6TNrxPMBieBt6xWpdZ577FUEcTbq0trBg
mXu/BFcXuMh3lUk/sDk1NBoKCU69huN0weJ5XAuHzHWf0EBGqW+mflkYlPujOhPlt7C1J77JJ3o6
+bib3nXBENYXNgkMXk1d1sxLZMygoqq1lThPu0bQ87lXo49QIMDdN8Bp2k9lE+bVAU8SMZz/f3O+
CFC8X5+vhx7pnWedbDHbzey7Ewa5a0HhgSkhg1ZuwSiHPX7HbKFOFDpPgJxC52MIwpyAxNADs908
NgK6ISGA4SCc0o3wc89sFZwwSUGjgyruEAnCf+eAYQmnePeEKc6hhS8kFFQMKP0Gdr1NbF0wNLKr
grUccVatiU99qesiSanOWGHrJOKhlSc9FK9s9vhgi9dZnXXNcS2m9jpsjM0uhEupWtZiUFqGNVuN
FvFmDczJfkOTn97LuQurJWfzdOFRXhqtcqCFup2N+uhV7S/6NnmbMledxeDpr+IYzWTVFwh/CXJb
v3KNwycVS+urvIvx68bb7rqtpe/WtUCpihCKPTkffOWjAjPiVzmQq3iFemAvR1OCg+rAFi0yh5SO
jhxYOdhBz1Ne1keEV8AsRJy0/LjpK/9lVNjGS9zSfj5nTZ8exa1j9JBbRN6knSwv2ejYewZH/ZPC
M9iLbEhRrvmkhlZniNlglc3Gv3cNno9NjBMCY7G1Og/kgCJTjzkQHlvVtabFZIe1o0Zl53EqaxGR
qaZmNQW1zY/SKTzmFQfeKdPEFToumGOat4L5E4yK2S2TtCu9nmwaZu+qIos/CpIC93Gufd+ppgt0
wobgRsU4POwSlGVREgeNXdo4m0VkhPlm4qwpdCtMkwL3V+qQ8zIvlnHZpe8TPCd8KcraHdDKNlU0
Ez/V51YFzar0VRW+zscxfTsXlXwf4zn4Im3q3iZ1npqoDCug6dPMi0IHMnWlDkjrD9k8dJEHHnWx
ScVdBLQVbtlUdZLqgfuqjTKOISChGbbRIIg97mwdFBpVdZnr1IbzaxSrLjgfciJX1DNyWseyEcsk
nsQrCFTHIRJTR2GjhUX7tXW4OjRp08enUysCeuqliM/mGOc0iis2dBqCiZotVcOC0wIq7aUGuuac
TkM7JJqbEkM81g+rEqHmtPBZdgEwUL9MszKt9Zg7HGpWKeJ1GyZ5oeWQFp+LSZUr1tO2jipepjdD
2aJ1SFC8kkRkQwRM0V8mPo8vbMuSw3qOk1VhkwlFsqz857KLe7ziqgrwipQkexNDK0d3FAStK05t
AQEfD2NhItidUl38z7fUUBR8lw38tZ3+yfOIfrCh7/MfNAgmGZR6QU0/2GqyyWE9SBDw9Aa1ISOC
sE2fGdT73xtqaGsCow7cFR7wgEAoRjDp3lDDYx9UuMkYQ1MUJFawUL9lqTl80ralpsC1CIeugs0n
bmQSIF3blhoN2RSyuFiOtazzZW5Nc+ENH1s9BthAtEcxG3VXmgJizK6gZ4ynwZc5yASH6HRApeYQ
yJ2xLky+FHlG84hWZOoh2mpnBP3wch41G4oMogOVyOaQBS6F8KcYqjnKY5JnER3ysF1OYnRWp7kc
nHZZauma9sKIlUBZYyKeJpEXImsPWc3KT6EsyDlLGdARl5TJRTu78DLFin8yiVPXTUzCNuom7jOd
tl1f6Ml7LD7FBL72Y4Kt4xqaley0LB1EjtFEwLgcD31R9ro2JIZwmCOmjmjr2+EoyWQWHyg8DK/C
usySJe862yzzTEiwShar9BWrbN3oWCIeXjRz3jYHbaXEpB0ER8OyyMf0QxYOnV3GSdBxDfTSD6uQ
1iE/DgdEqoM4zWawhhMhBGQMhnE0qmBekmTzfapiXRoJ27gEtJrCsWiGeKSMlEzRV0q8OurLuko0
k3iMl66EuGoFDDy+VnHjWi1CGpy2Q8US3ds2z8FtOfYG87l7nTft1OgiKDyO3FiQz7DIeoYQNan1
ZFh8PVgmyxWKyypbNkAWTZTJDauVdTDlB6pouNK5GAQ/6KsaPsp0ZffB1Y35rGwY8BVIZr1dJU2Q
jMskHDaRGAhMdj2kbVBAKDa2iQYZLvMRPMSBvReqogxIuEfzarKBPZMT0AfdzHNSaUMyP2iexrJa
9hUR7yydbbsmtkyDZclqm0YKQtv2gKZlfkZk7PLDWvis15kHQxtZ1jOjvS3DV7IhFmuKTBVGM4do
dEnMMPeRzFR/TCfX4iXxTdlF3Li81e1gGnqA+harYx4C5CtHCXVHeVYCYy4nkyvNy6ppdd2lKoM9
JFqlXZ6Tkx4lea5BOAwMaE7xILRvWvvpf4yRvdp+rN5DmuCW0EogrL82sN/l8B9mFW9m3JNfMIIS
OCzYwRB8FbTdPNhUkG43tehQ0bkJ8UIoH/huUzFdKBBrNvQXAdWFdsQtmwo9PZsCwxAYNUj7MOsh
0N4J9kHSvv95W9YFtfonNhWK4+DxPFDlK4GI79pUWXaE5T7WZZ9nzXgwIeBnmhKDwqO5RJM6b2RS
Z3rssyI98046t6SubLujPBlVEbWNAN42EtG+kx5o8bIphmS4CA2YQR3wzJJMJ94idQwcts6BMYDd
KA3MKBBd4q6ZU20rFGTrgsg2P5QTy3nUoNyIM1Z3wBjvNmSbIc915YIJayNAAI/6MZf5v2n5a1E1
8HkVi4cnsPyBLcT0ZFY/Z8NYnf3K3rOynsxbOudAIedmHsiqkHPYRbKRagbmn8apzrlXH4zpKH7L
TernM563/jQUsQL93gVlU+us8/NxaWPbXXRdjMojknvldCNIcUIERAtgJofxU53Eyq9BZEuBNvZj
HX8wad6z9RAGaXXYxWlLQYi0OV3ZrLNf26k2WM9WyatU1HEaITKxD0PF3WeUObC1uCzcgVe2sVHa
1Oqqi41pl/mQDd1BO4M0HSFcGaZrxSuklUrak5xzUKmx8BNft7mQU1SwrCs1mkQvN+o4ldGIYVkH
vBNjr1vru0NnguA67UG+0OOQZSc47tI3gcu6b1AD8t5lCdD/tMOIRKVTTaPLXGVv/WDqDG5QYddl
iUcaBXPbBlrMhH4kZiywLhiqJi0nzt941udE9zmol1GWlnOj+1KEgY7J0BHtxmr8NNbQqQchj6+v
iAOuESkK1FzPkKh4bUvBYW34NvKEQKjWZd3PRQTJ+PYGFJj4Kh6q+gKiYfw1Q3NerrvEjKDWS1v3
S9HHvIA/s+GLgpNvNfKItAcxhIONBq5EwYeM9XzJAt5c9JT7RFvbjrMueqPcErUxD7VKrZl1SrLc
HBPX0g6iOGIgWOIdHTSKhwlpAnmY+VMJWv9VNWAmD5rKkPqEK580QFiqpntbJ4SlSxmHWaZ7R4pX
OOfkTTw1xSkOQONdpm2Brq3tybxOMjFWuutz9SnniXjthAs/GSlBse8bLLMjU1JnjtKhrC5saVCh
q5JAEsBlMm+i0KnkhoA4DkFKaxWCwWEmUWfVVGlOzZBE8TiW74c0SUMwZens3+emTD77fINPWOYZ
05PDCi3FNIDpG7OSgFgrRlNqiOMtGCmc2LNQ5dV7RODbVpC3mD7M00DTi77qWgH7EJIIb1pQ+eMl
BSEJgkY1J4cMAtDhQBDB3SppxViueD60U+StYcmSBmW1yXmJFoEWxspMh3GVdLrwMiQ6CD1tlqzG
VQX8JU/RGlJvqdeJKTZXF2aBWQbM9Baut8/OuoAA/zCQNiw0nlUTL1VLY7GeZNB/DpA0nytmITYb
hqDpNWjNwO7cmNFZl15NOfyZuFEL2YmLsquHr51y7UkzJiBLJCGvnS6mZmyWHeg5b2DDjqCmxVUZ
QkzN0mGVTVaUy4xDZLds4MBBME9nN0Qx87SOJpAph5WUTZNexClKj1pQ82c9E5m8yWzVO8irzH5d
Ewts3DKAQEFartJVYjuQQGZRmxNXlXml7ZQnfsXAB3ldzDyv1iquXLjaSI1fMmVhU/gsGevI2VC+
6eIgnjVvRCqALoO/g209Zp+zDAFra7saqWUIR+0dY8J1eo6pOY4rgrtVkSieRwlrYqfBmiKkIVrw
LWgLBFijCyqXwCEtA7ssEwPJEJOT6kPWpXG9lA5xrEHvwVOERtR8ICCsBlHrC9h8fYZqSC/VFf8M
+YsiiUqQHJatyOd0ZXGTNhrDI3KuxzBDIHMgnH9WHLIh9RGE53wYPsSiggOtRdri68FV9bmf56zQ
BM/yiHdF1R/EGSm+5SMpz/ko+HsSZPPn0pP2Kg3AFkaTMeIadz6IgSQj9GE0eThp2rXmG0t4ejDO
0pyUeJ6/ZJj4szDG1ug0NjTUjc1bs7S2zIooswa/mdyMPwqeg1xRSVOEeoDZn2JLB6NZSOY3RRbM
34rA9cdYghmI2oy5g6HMZx+lvQwvGKmySecIYa77lkCiENnU9NqlPT7iXsKe8QMk1/QMhybTsR96
CgelF++KJEBFVLSx7DUkJp1dszxp/JKNECzonhfoLC1tetWNQaH0aBvKIl6Wk3qd0BlvkmgQ00Ku
xYGEHiRqmArQL+oqxBDd9Rm9LELkUpg4O+xPBpJU46t5rjho2EQMXp0mIe6LU5EEfQ6eZZzj+p0o
M1csB8iYwh4o5Bgf+iJo0QCqd4Xw0RTwEr1uJ6twJFlbVksoTAzrZSFoc6aMVeVJ7VLRajnn+Eqq
ZBiu8TQl9tSUcRkAyc8qsExl6LPlNBQx3cyc5qicUvo1KYN8iCiaqi4GU8Rit7Q+i2PQ8R2Kjzo/
+fSjmF3AVl3Q1fk7N/W1WZZxjvLDOBsSkWkBVh6DRjPBjQkdmQD2uevjL56xjq7QUIfs0HijpNF9
WPZMgeEqQ1uvW857dAPqPSw+gF5YdDCJPBjmZR9y5iDqgRhQnYaZi6dvLhxRcd6BgWhB56tUe5YV
iWnPYlTk4VEaFnjmqwq4xTgsZ1Sjcp0OjZcnSZFTyMzPiUlOSc/K5KtpgzZcpm5EAFPOKxdlLIaF
ktTHw+EYe0ZHXY0JZdd+dL48Top+Kl6B7IzmqAU6HRzUnXXoOIb8gY3QBHv3sIS4Tawtmosygm0K
mQc6iwx/6EB+zQ4SK4EKw0bm43vVQ+pT15wPGSiZxFoJ8SfGn8Y4GMlBpXz8DXko3DioixxSF2VS
TERXMQJllMywmZeQSPVurWwv3WFdtsV0BPe88NGE+qyLRJtbd5GD4SlP0pz4mwBo9JkaY/lF1hOS
a6ymIlvjtoM6B6r6cFoN8OxREs0Sx3NkuACtcp4hJoSb1pvzBmRCupo8Rg0InZDWOA3gwqB8IqB4
0gqo9qjbRtqvYBMyv+Y96KVgVVDGooQOvbpw0sMxx6oEOZYB7bDA1nxCwb8T61fQjYa+WYoKYPBh
BkqugKw0XQlPLNGmTot4KbAcS+AgvSuhgqJirbZ8hPMWhxysXgN+8z0LsxD+SZl9ZxjoKGs/Scej
dhhYF1UxHsWqkVn+BgL/9FtNRF5EULvgKx2ObDqBLH9ldQdCiluaWoJiYNrOG91ZMYSgSFZCHeM0
gVvcSpR+DHAjG9BlkgIKImibV1HNfQFUxRYofUV9CxmxmptsBHo7eXPChtJCMJzGk4nmIcjrwxAi
axkVdT5DNYL3RX1mxxYKK0ypLDmBHNtUws1rg3TV+01xSG7wECwD0P8xKNii4CtmZpVGBXxYuUTe
pnHkWFt0Om+m2kfJ0E1yOeTpMEE2PByu+mAugUV3qblJmqwMVzYGXfxrUzZsapfbGa5Z4M7MkTWy
Vz6iiRNtAdk850erZy4b3K9BbAp5uZQ8IRwygCMN4tU0UUeioqilvFBg8+PjuQYN4Vy21Zh/lHwY
fRzVLc1xE7VA/tk7oJ45BYLQQo59jn5fGTh7+B8K7GadbwPcHynp55quBs301yrCVmnllo5wX18G
M+/UBGiVAg0UBFeo+5ME9MzvqTTISENQAA1wUCMG7W4E/1Booayd3uqwFKRb6ITbCA33Ci1fQFaO
Q9p7k/m6lW9/R03AfK9IDJRjyKXDo8gIB8FjI17sqgl+RCLLFI/mKiSwdZp0BcVrwzpNe6VJE4Kr
wUlzxoasOzSoxzlEIu14zBBJP9G44VE8zEj7OiZvE4nceioSyGVBKNoNMRzwEAJUCDDssmdDE/UB
A6+SZsVx72v/Ci6vPiiwvwRTXX9CQ8+Ok8r0a0VyuQLvER/mhNoVLcRnYM1O04m0h9V/kncmS3Lj
2NJ+lf8F0EZwArElGVNG5KAcJW1oGlIACBIcAI5P/ztTNUhVt/qaln17VVYmhZTKjADOcf/cGfH2
hTAe5/1I6Dlmxn9qRtnvkykAShOsGZc4ZgLt1dlUDP1xnDWfM6+qMi9RAl9ln3zoQxmdh8Dx67Xp
ZRq0RZv2wXIb1itk4l6KK1MVxaUVstmNkB5J2jedf3SyJec4sV2aEG13hNJyx/pgPZqkZae2iOmZ
TaEHjsfTH2K6yM9iiL51ktW3ol7gxYdENntKm+RhFAncOtvIA0uwMKZRxwesBaFnz60JINAsVvZX
wldLRrr2CeoebrZmagJoKWGLVbSUWTRT4C1dGz+WPp/TIijfeRLGWDBM5K6vnL4qPMOfVFeQ/WqK
9jUqGRlyijHp7PMD1NmPszdae4x8XL03ZROU+wo72S3vevYxwuVw1U5QNVVk5c1SDRX2feogj84F
iDAeXqom0E/1mgSXljXzlzBR/CXGwnjgznyAGlzls8Q1llrptQM2l3LOyFQacAJh/UUkMY5l/P/O
Rst6hZybe1f5YvjiLczsw5a0e+gKbl8w0x0kBruunm6WxJ/3U5Rgp7TlS+Lb4eDxYnl1vsE1CV8x
s726gbsK/SvBNTt1F72K/QjYKi1rYnd9NMorwwQ2RunKLNLRvvTbdpdAvT//+vH4n3rwgVn554Pv
7w9M+QEiCPDS7ycfqig9dH7BZoKNhDMr+AOPBcCDniNgOjGKRn1Ipn+efCjvjVAdxqF+wEXAlPcn
poNHiCQciA5OTIAw6N8JfuXk+9u5hyMiwcEM0BaKLk7nn889YkM9a62zwbnqCjfmfAxEzF4lhZyQ
r/giorSAaaPTH75T/4N8i3ZB/ME/ULnAjDwf/cQIlvkJLNrNfPvREjNRQnsa6IwyWB5gDTv/myfD
WN1UZZnQa3g1K8EgKvp3S9xhkzOi6+EJVLp8t4pQiLQX8UNPvPBl8b0GWqwxy7NvE0ySevLKTwvX
IAbihsopx65mvmrSYdZX5Yj1pLC0uZpJYl0+xJiA8n6ZsBU4GkXDyamxPSfuOdKjB2mq7BbpYKD0
5OJqbmwqZEXFLo4a80JAIH5LpnUp8qmo3oegPA9BALEjFUsI65+OHljiWtS1zCWFw5y2y0odHOc1
7rJk8iw0h7DBeAknKsaB00G/gKuPY2LCN+C5CMh8j01hmXOIQRW8j7IkK+6nFY6aScwE3WnsE9xY
YsgXb6Ef8ApsmitGvXVdkkvTrt2xlRO9bmumz92owibTI1UvmO6Wu3Bo2XtSJfNnLVbQmQGuHH8f
j6JXh2jw6YFhyl5gwHXJjsi5A8xg6hEooMUOzGHA361Fz5rcRc7MqV/aqs28oageLAsGl/PgkbUD
vt+2m0mUTmROaiiemiRHYpUMjhPz5uam46bDQLtQ4u03FGRWtTa7mgdqTTFADg9TUDpzLk0j2iwI
kvJRsbhyu9oLVizRBcyfjdsK0oqt/aWol2VIQXcpjsVR6jJTXgQYJpAt29YuV4wHXHnhZ9XU9EQY
HYssNqsXpmLsGU29x6RhHc/iNcTmLizWeog5RZElnVerTLnRAcINiqTYV6Urp5zROvwAF5pDXomB
eezBRdf83HvDtFzgsCVj5i/BCU8F4nBmddFAKh04tpyVkwQ/Z9q+DjT6RtbOeimnmvqZS2jBsHjI
8Boqrw9Ny0KgzKao+BKXPPw0JUvyRDwqcIeMxZI2EH7vqxDQi51tpW+HGR933LNqTB7mealKfB2M
WJh881Cd/mvO942Y+ufz/ec+7L/NttuLfz/hE99DozfiBSxJPPCTvztlaHAIt2ogAH/AkBF0wNT7
Oyb2z07ZFk0DMoDjGP4bwEn/l054VK79fNTiD0K+AtVfuEa2lpzoL2c8g4jOpfB3nHgTlrlJmyOk
x0trivmlCdbirOKu+WQmSb6QWJkL/rXL5wmXz80Q0yTrJcR2NlXaAjDS9LHH7npVAB84xrKOvsVr
4Y1pGHX0llUUWxxzxVUMhf4smnEBdh9H+4WMywcyBHJXlYH/sWsg6vjFeNOMfpWRpBmLvB4WlS4s
TmCYdMvXIfasyJpVQ3j1ApFciaaQwAI6W9z1fiMw4nmq2U1UVmHKZqx3Gc6S5DzV2EBzG7Wk37XA
DETmvDZp9pwILM0FtB8M3U0fpnRK6IBDcqbQfCYIYx+C2NAyg6cHIrrknn4ZKGvGg3JrvC3ItXcH
b6SYs6Y20G29niqSqyJ2z7ahQ3+1iLm0OYB3mNNlr8fHROPSTXtasYe+RPYnFdCxnipWhXKf2Ip9
hebreGqMpcOe+Kv/bukESCONTTfZoe1olntD5qVPE0yjjy4oGky4kEzOfTGwKJv82njgWotJ3YhQ
M56WgChe48G6RxBSe6L0nCaQMe8rovzq84IBHK4+W73HcSngzZA1dFkDcupRzsIInJm03jV6mu86
aNVXep5Vm0JsDJZd34TQoXS4XubJ8uuRgJ1dw27MHDaA24auhdtJn0Oe00QOrzFXNoBY1ptv4zDb
e8kJ59lMVKEP/5soF7IC2ZCExWHZ7HralfPNClyPXWxtabmf1SzbS+C3UELqSLcr5uY/VbouKPsV
/4YNCitUvcwpFDmOY5KqtsP9Xq1UZFI63Zx/U+/4qvjOn0yz5HKeC3tq+iGyp3EKwmHXLpG/PiXe
5KdmHLvHqBEdBb5bey+WTUHzSTWtjjM+StrlSRdH96Fv6SvMFMQP/N4t12PnxWlYefo4cRuZdCU6
nFK/EkGUznEASq4js+dfytrOx7l25pr2MTstVc8OJRskZGjXvbdsYDbdAM/3ZCn0ey14eztNTj9z
Xcl4byriD6CPy/hiCydvI1gn8B2WzqoMAatZ5WVUqCbVtI1pasDr4D0lNeAbSGOukDO8PR9hiYxU
Lt7NNinB1YhFwhUXLsq5XMLjbBuGdULa8CHsY3oVYO35CnZnvVWqBPVJOHafFu/lr33hwP2FFQWg
YWDoqj0sSCDbDr4FBqdQL3mE727GFpyaGFs6rzsFrI5PgA+jq5HReKP44vCgw0K9Vw1ExyseDNWI
oIFn7zEwNSQNEmfgAdaS3E6sal7/719qDMc7wi3/7kr7+flxf15pf7z0+4WGhyL5QbRN5THgxk2U
+f1CwzIDfiMAwoHZHeQHxT7x+4WGW8vHWAUWGY8VgeaKr+Q3sQYPA8OSg44PCl5ja3eNf2VlCbZd
6sfdYbtPsVJhLwKdh47Rvyb6fCDyZh2WfUepuFs9wT9izcAQbefEFAeJSas5lVREmY7CgdyojUCF
row3pXsDU0U9dFfhRquWb+Dq/AaxAu2FdCzw5nY5Ig30dgCFfxsSz27y6HBcqxVAbLx2FWzdN1AW
8i2gWTM690A2ktbbmFocm/IhMk3D33Vh1e28N/x25bKrM9UP7hCGi4xy0MvyyZVK61zBkzoGlECz
mMgKZ98k60mC8joyQNpZyBZPHXzhBXIfRxWDU1PSeMzolmEsE+T3MFl7/bx9xkFwqSagkI1of/G3
/M38FsWBQ4xYTrAldKa3sA57C+54dgnIaQ3FejNvyZ52y/joogI87bU0V1sCaK5i+jy9xYLklhBy
k07YkbGBYOyc2AN5CxMBqUGwCGqveVgx/qq09b3qw7hlkDAydXvtFf29hyAjrFpklZQ3IbY0Ine4
Z4EbXqot1TS8BZzqDnk+WNP9NVwZeVtvSagFrI5Ll7eAVPgWlurxYTgFW4IqABD4grfq9K3Azf6i
tqRVBQZjj/jJ8ty9BbGs35QIZW35LGT6zCfdDavYBWCQcYGqqrvhUJE/jDXQHyDW8U0kGKZ2t+W/
AGKU10UH3xLLwfSlMMF64kWpnytnIoUkZMFutTHFnSn9sTjUTFmTw+Luk5zVXnilQsFebSHib9FK
+Jgjq+LpXHJE1mD1uvLLxCcEHjmWhrzCbaKzsk2onw4ln6B0uQoxwCTMY9JiEQGYz08gKFt8B9Xg
P47F2NyVibT93sAbSW1QwXut5OwdHPgMc4xM27+PJucdWlaVZ9hPCzCJuJt9HPhR/NTwTY2iDR7i
APaAlTsf8Ux1pFh099g1V+x+fkk+UuHB2xriAJetXmjajrO4xjXJjmo1IF+I6y/CFfNDAWtirxM+
PyiicBFyM2LvE4MwmRiX+aryLCjVCjTAnai4hBiGN3UFXjAHL1OUmfGn+VNFmb6CpThjU9ItTFpa
az/IFBmbbMCcCypgLkeSovxRAH+dOvUcbIi7MDgP8iL02PUc0+55JmOIXAH/1jZafgr5gG0xgIQL
010p6JNBAt5/P1N/TMHFT4dFlRakZkGi9/DNqyZfGuc/Y5YMXyabhPetBPOT8lb08PMWcwsSEp4C
nxV7VSYcDv4EbyvHCB1BL+i1uxmhakSHZV7wl3mjWa9JNMlPXhl6d9pShHVhkqt7UpbdCbd4eOkQ
gGpTMhTEpFFZxO+aQA5hDhaFqx2MNALid+3uVMLdTeRK/m5osLdnZDTkVCJ5BIdp5XOerIvOHQSQ
VxZ0UErg4E0H5HhBMtie+XW2RLNd9pujdepAifQ7vMP0jReW/iPG6qpNS520dV7xFZDHxCxI1iGe
jiROGoqxc1JZgZ/bnRhBOrVNuAWdl/ojgQySgkewd0vJcBrNS7Ev+liMOYxZ8Yn14JuzzhTlbhXJ
jNQgIlEuR8Ym3K9Qjl46D/oAvHkewF9PwDlnOMvMk6txQKQec8CcxrCu7SNVAQH93+kPyDTKvEB2
YD9gm0Hcap2eEkHCGCjAMNx2GpTvhdd9SHYeco3XXoxAaQZhSLO99TzAX7Xzu+nYG3/50CGuC/eJ
JRgvaaPKK0C0+En6K+a0cxEm5QiVe1FBHhUievWIa+5cpaoTvtQRKWLmgdGZzJaPdPMwHWPbdwcH
D5TnM06yBsc8C6HZCwHOugj6JjULZjtkXAGZHKcmjMW+Tswsci+CN7DHs0+lzXTtxm9dRIS8MIAl
9CDrZAQtjLQ4O/w3zDxQTTjmg39e4396HtyPI89vr/w+8tA32hUqLKJZ4I8gq/4+8mzbOAIF28yD
h9mFeMbGnyNP8C88zHkjWtkWskR99h8jD6Jjnu8DF0HOMsKv/tLEA8Dn54kH4nAMdyqGXoxfi3n4
F3uKBkoEvI9PDgigyapI0w8wm2CYAA7qbxDvlyyrO7WSqwlvzP1Q0SBrmE56UCuhgQCF1WGTuUDA
p1zytTqFyYoPKWEjCYC1yehm9pcuI21wN4RT/RwgjogFosBVvLY2yeBqt4+6qew1XawoUulI8K6F
skawQ4OHuMWY0D+ME473q6on83q91i0oLg4z+IyNjqCKYEE+/8sCGXMfDys5qg52ySVBycL9hCxC
gkg2Trs70i29Ocp28vIqKCN2ApFuDxNphp1FTo3umk62PpJfcfwyuIC0maBC3+PEMPitfAUfQMLb
uYgTk8WW+2IXhcodnN93N1GT0JwmPnws0Fl+2B1KmZRnj3e4TwlQVBsXKcI6/r1eR5aNa3iL47DZ
+bhY9htGdFKTxsjh1txiO8tKJXQWUmSPHK7zwVhIgA7zGEnao4R2f4EUXF26ljyFXnWoo22fjui1
RVJiXwlyQjat2MEly30fdnqTLPKI87POZA2OSaEj42RALO0AqAByQBohGM2JJ/OnZCBXVk6oLWiX
vHfTc4lnxpx9leBg6Jpdp83t6HdnOiIIkZDxIJvqNJKkz61d67y2YR4sGCeUVvP7lrDlVsl+PNUs
kS8ReI0iL4Iq+vhGwFFV6a/w/NXnjjqyd+MC5WFYx/PQ9+K+JJF8l1SREtmKhzqQswAjslzg9GOU
khHKKlLDICkRVs9pa0hdZz8ycb0BSbMvTNyfKt849ncmDnidOXjS4HrxRv/It3hBjxQgEi0uOkRu
smWqtvWUlMq99zBOP/mlrs4labH76ql1F/yrqjvYnwRMQh+VbVqzRTfbVJXsl4H7Mk08AVRzRnND
neq4rK/7WmGy6KgHBGKCoiYACTdx2q3Ai9IuiU2+FLRHYQjGkqSX8xFxO/I6DP1wj6TDkBVCtZe2
CKBJI2Y2HnuvQc5BRMgMS4fvBIT/AMFhi/ega/yzmai5x848XLy2RogjbMst/KuPBcIpDwUpK4wV
RJEbLVv7GJgG41Kn5iyJRHJsRN0Hv/F5kdc/rPOqzvO82ju8iaIzLNIJOMtCUr+Do2LtyHbeortd
Ncdy70WBfcXwBPiwmvn7sq7Cr2UYDv2163FJyj21oR2BBs9Ywh+9KR4tGEiyxOeYJ93eqQ44YrAL
jUJSZZ4xto2hAFuv+fsCcnQWVBXLfB+XLq9BXMIRChAIRGkFCJp90Dyq2oXnji7VvtJ+D3u4WfYz
WJG+Wx/U5K76csHm43alGvLatzde3x8djF8Q5uqGaGaOdW8jDBSsz1ZIkjdtyIbrQlVrDinjAT/5
9R6CCuYOv+rBuqxkN0DlfzXS8qs2FOUxKpbHcINzqCw6fPbl8DU2ZrrTEjvi2KvdlJgbMw3hI7pY
5DcPY+zrNFcsj2aYCpZ7qMJYpHgHdaTFecD8S4Hczic8+ppXwDCL7thNroTuaVpwywrkU2eCE47P
/rwazPkJDrU95Eep0qGx/iOmjSgjGEIOyH/K/dKH8YWqJHoS89peg9PnMA6m6AX7QrePwseJo5lD
3EkKygwaF9vxobojle9umVw7/CFSXnzBAR5OHmJSUVC/i6sxupkcI+8af2iPDX40majG4hhjnLzF
nQYEUlcoe9EsCFJIT+IF6xYQgpWMObCu8F24GLARGxrZrMgGAxqn60M5Ur3rjKwOwchRnOMQnnxS
bUuzfl74vsPb7BBOpdhj94L0VAty5ffzfBUYBxtQi1yYBow0kzs5xTUOvRBFLlKTqzBx8S2NSXMg
xnunXDenks5fhxIO2yTV0eryAL3utqzEYy3ma1KM43kd/PqSKLkeFMUS7bYOADFbuW893maFTsAs
hG7YM+LNGN7gfQP3xAedrMBkGQIcR3/hZZbIccm7CDjHIMpnAe48Y6VlT2xpr+D1Yh8xS+6QiGqw
5mxvxcjHemDWuN1P1tYady5BDY8ZS3au+z4uwBh7c3GjJlqzvIlE0ad2WkaS4y1GP0dsrk+lUZqf
lCwi9Uy7cD0MBbjLbOzEuIuGITh0AEczNAPZSyj95OSNy3oZo3lqHmdGEEyTvK9QvwPtzkdSZeEc
43MkEPJFmu9rTQv3LgY6fj844VhunAdlYiohTqdaO+Rh9dCO03FdK2vzuByCT9AYkmsEn6s0dBF7
Bb0vZLaW+CzcIFyDu4XrGEFk33bATgDin4aWo/4k6lpDMZwg2IwzgxRX/Wy7MA0DmBEpLNE1Sluq
I6B0ZY3tG8xQv6/sUmP2bfA+ONKiFJ8aNo+f8a/iNNc4rRswtsoBZk+S8+yjKCJMKAT3QM1Q96my
d7RfvxKtHzoZj3ALl1B+9sYGc/w4AN474P2U3FeekEcgclscV61tvsysh14MDkfveewAGtYlosNz
K6oc6FuYT23MHovZ1tG5caz5VNSQU1PgmlBZq7a6mRE5ALBWidT4AUooPCSKYS6YGmB51ZRHfwqX
oyccecHIqI8EdTvPU8jsi78qczeaXoGeXOedvxbzrZsC9+wtngNf54W5Y1PsDqoGVRghJP21dFaf
libCNYzf8+ShcOZqbg3enIjpf+ZiPhKkKfZt41D+8t22/62g7Dff/nu71h/U2l/+9z+1cyUEdvHP
S8L+9etr/6n6f9mnVjn89/G175Vr+gUe31st2w9ox/YnfV8aQGnAnttmfKiLoNr+XBpitH4il4Zm
Fg/cGwX49sfSwP+1PTUpxOmFdhYPrhz+uN900gTPGWEb1LZFliHy/FI/RLiFin8iLLbFJKQh/i4O
ij/G3/MjYTG2USh4aXY9RL0BMtccJ7dhF/ABdw4dy73osKweQjx+3V2xJiBfE8RGiwzgc7Qel6WI
PrO58RD0Nw5ThpRqeSrgFvIMdN1wGXjUuuPQkcV7F8WV3UfziJBSOg9uFLu58q6Br2IjDuZKPvsi
Xs7DtizTbW2mzRy+mmmVATL5IA6wTYjwqez6+K5BLWC/XylokGS5DNKPEQZIBsB32K3himTTTBfd
pyvYprtijHX5bSSCmjOgam57FLN0K17x65vx/03Ck2F1RTvtv/to3Iq/Plpo+yz88cLvnwRsz3g+
DopWI5SkJAGqUX5fnxEWxbsPzyDHQYw3I/vBAkfPY4QI+LZyRyhFeXuC/G+fBLS6bylRvApvYiT3
vV8Ki9LtL/n5s5B4NMKDyvCQJXwqozca6YcOwHqaR+n3OvNg1CHJgyEmxUIp8yYmyRPbkIoZbEX1
RllUjQJxsSR9eG3fOIxZEDAZIG/AZwAR+jZuyMb6Rm9Eai6CXfRGdWCS5Meh9E/LptFkpg6H5ULe
WJD2jQvxAnxCUoOnQH1A56CecoDNRbFXFSJZR9v3BsmTN9JEAw2o0yVETNWufs+BbUYoTiqjCfE2
v0jgYTZo+Otzh/5FKJI0sV98qpdvtXHDg3XJ0Bxqor0HLl3Md+idE2f0XYBd0m4rjLFIErRXyYq8
UgogVqnjFEzIDjVqAOFdtnHYX1Tpr8ehCBHTjtpgeZClRLJhAieKHgLgNzCbOwTWZVGjdQa9TbLc
NfOC1Bu3+dAtCzTCyO/Kd2LuRofipVK8rCoQ7wIxRR8bxPVY2oTDegfLIYAvs1BMYKEW5Vc0Kbn3
McbvD4nDRGQ9f4QS2xLQ90XNsJUr7hBdWGMY3pIzyMAxNpkr28RLcpin0EdGrTL6CZkQ6+9U5+jH
Iem53pcL4YcIZXn3ol/nB78w9rngVrqj8pG1S7lGVD9D0HhtsliNYYkwuQkgGQ/eBOW0suiCiTCJ
4c+fi6JCLeOAJVdgyj3AQGIPlaUI/4R68NezgNq77L5z+au3mLOuqF9g/P13cP6qesDCgCgwQv8T
oh+JMb6p/ZE+fsf0OxTjIcU1G/o/YfqIB0EkiAZ++7+j+rhCyJq6OJRxFmzlVcCr4ttpQPNE3sgE
GRO8d9B0NaP1ZMhQrDHk6B2qOsR5IvRiMYaIwy5qh83kxrb/IAc639i3Pi34W/YDsq3mqnrr28LT
Nxm6t956uJBeia5JgCTr+tbT5b91do1ej/4uFm1dXvjhYaSa3NzgQ1svEJValGzUoPq2HrAVz2wc
YB1t/WDhVhVWbqVhXdx4NyKwmA+roll20VYv5r81jXF0jjURyscgSqOHDBovPlrRVk/WRm9NZSqI
+iPwRYhCuLfYa8djeaSobbxa/CgYdr9+t/yH4rGbCvnPI1X+WqFP9p9KtrbXfr86MCrFDCXdKG5B
Iy2FlPb71YEHTGKKwqWyzTAJymr/pKfwYBYUCKDWBQPWVquyIVe/XR0RnjiO34rJCl12KLSIfome
om9m8g9jFN55uH8guUawwhMPbTA/j1EB4oo27MBRwLG5CTTn34BHgeFo/MmhQ1W1E8gGbVEUpJFm
RwBTNv5Dv9JizrXlyDN65fg+8l3gpZu/h2wOicavjYlkg6iiVZ9gOwZIrmPRtFdlMa+IpNqKoASq
XNpHp4FvpAWBq5SCHH2/6sSiAgsW3hMsJ7HnrJ4avInjsc4w9ycawmhdfFJolKI7ZQp3ET5hLCta
ik7OuefIy6FISV+aMQRrKnvRGvh3fXFNEBUGgQXiRqIexV+THQYtpAaXKEiGFGQsDuAVU+ZJtyOB
JkkS76opq9jP63pEgYcdoCOgxkRJk00j9rVDEa26PziAt++2+x9JVGuAl/qinPFtQmXfe39qIJlS
BOXofoFHC9TSDBbqLcpmUO1JXPsqFjb2GYpPJnzLiwUdSwSjSE4jHMK7oVMfbADqP7OuUBztovVw
9JC1m9NGIIkPFU3Douti5NR2SI8F6y4RaInJjEbsGXVYFcpswd2/xyGwIkelOWkvckCL34avGHlo
m4W0OVncu34J2ZoOo26/oWRGNfk6lfjaW8m64MYJCMvIkso2s6XxTgz9KdN7fDXTvdX++sWP6+A8
iw59PONgzQdhfXrtd71ds9Xh4s8CIsfHDpxCmY6Cxw+tCJJ+5/st++BJ7k7wXsOznKG/HVB8wb6W
hfe5QWMMCKk4mHJkQ2ibd0hjdii4CRg6bIjrPhvFNzMPptd1xUKN1gT0enxcULvFzhZxVHWDVkH6
TUeDDfZAhbmBa8W24BjnaKvRpi0eqmT1m0OnSOJAAkr8IvJVkP5jViOSrsPm9D2HhcJGaABRZBjS
YetckrSaKATEsFREnxIE3k2mPYfQn9igKrw0CJ455ETIr9AptoaEGoUEopoxSVA538ZlHPwXUD2/
NXWHAG3++az96ZkPf19Y8drvZy1HdmDbB30cuQEsrS1W8HtPFpBTmAQ8hM+0PYb0T5cr+RcORcTx
UaGFV/A33OaPMT0E3wp6CIUuGBQ38vUXOl387XmNfxnTQw9lv1iOvXA7dvGF/7SyloPuw9rb0WJo
dqhZKK9HpVqX1RBiz/Dk0SoQ+tVHdIAYtBK4IWl2RARwsDizDh0iJECUGrpVl1HHa3yU8Vm+d8LY
lxnRB3AhphX2kdmIf/IMLP+McVJSICRzWZymoUpkagJkGvdTTSDbOOQMsDkb5Y1XLWLXAn14kwFj
UI/ROqSmh0r6iDOwCb4F8zSAbm0Gu0PV8nB0BXzB8+I6vWOEo9qqtbU6jn1sToxX4r2sauZdLWGI
QqeyKyb/hA2+WC/hqCSKoSqNsNFe9CE/VUlczQdLsMDsAloKuhMNIAYYIPEyXlfGsi6D2LCWGUSp
WaQNKru9bNQAwT8mjiuGXPhApjtXqzK5MZC+8HEeR3j/dVVVRyE8OCwFLJV5L6SOkIA1CuUc6F60
wQlZBv2ACsitO1BbEWSl7hRqy0qgotDjZPisYGtknW396v1kvKnKO5BO2aI64JNJ1dJ7aKY03vXo
UUZtN1RnbFLNynZVm7Reajt/fEH4uTvV8dbEUrSIHLjodUmCetwVZU1ZWiaRDnYJiXDpluh49FMs
A+rBKU6+BWOP5sRKeiPCC0WM7iqEXfHTD6FK4Nwx4467YA1uEe+Kjv6WseeR7k4UOec7HxWt+xgN
2j0KLhEvzgI6kr1uBL/Uc0iWHPUwpdovRoBddhCW8wFs/b2t6vl5sMS779E08Nn5hfqKZnoOdl82
4TNaFhgQAbxl9gqaKuDEorxC9hAkTb/0ewp06zPvbAWbQK8uEz5FeES2MD0yn2t5QADiHTCt5iiw
XWRaiqeoR+s3pygmQ9CtQnSrFPeyo8U3yrvgmvb0ZercF+111TGivXw2Uy2zxsXtbuqxh6J/pjl5
tg/3EHPoqWzkJw3mJS28hRzX3r/xTFXf8bBccsQKvvAyrh62v5Zr9qUV9Fq3eMOXkJj2fTuoC6nl
16KPvnR19QTKVJ/6uF7zRK2HvqUS0FQF8C2aSqDUpVvFuVrhKx/aeZ0/rtgGDoEt6nrnrZ1/58ak
OCF1Pr0gw4KO7bpE3qNg7jaiorxoEVdHY5NrtKtEfTpuJYx+S498Sf4/eWe2HLmxLdkvggxAYHzs
TGQmk8l5Zr3ASFYR84wIDF/fCyipVNI9dcx037r1JjOJqoHMiNjb3ZerXQkZ4mCZE/gTN2/a5xTw
SQRuolNLbFxuEyfSg9SzxqBuNf4a8/ixqFMtEI3BJ9qfs+yW9by2GTHq7bo5GrZxB34l8mOEo0JE
Fzkot23mjd21jNvnAnYcurI5bRuwCwCHHU97YZAATm3al2Lwp33nDeO2nJvqKXLrfA9SaR/lU1j/
L1ZR/6+NC9wPvNR51v/6AjsNb+1/GBZ+fOUfo4JJugIfqcMFBvx2uR++X18Qr3ns858Dw+V6Y+f6
Y9+KEwPzBCZSg6sL9LXxp0nDw5eKN4PTEYgYsxsVtf/k+nL/tnHl3uT3tVySFr8Sob6/uTTGmgfl
GJdBIqv+i9c2fbiB/fSALhU+YhriHLD79qWMe1JmDtdZteOBzWlP9r5+dPU2v69m0/kMIVx5WzNp
+AwReTJuRx5hyA1YBnfc6uNHnE+8iQE0+mpvh5nTBHC4YwA0EJV4ZSXedKpdbFS34VzpN6YRee1p
iDAAblx01/k0JGbRno8zB6pf59klwOo0gRo49a/LTuNjmjW9OPUqhWfg141v7HR6MsPDYCa5thVm
iAgcsz466Qkf1V2cl+PnaI3VnZgEsAY8ANUz/tFSnOFLyR/zoQTcZXJFv7qhV4BVKrAtAMEIb0NV
Q2kadFi/e6o2WX+AA+mTbW/o4xvbdeyyWRKNW+nNLWOQEwp4xk6j79xMs+HuOG1hHwuRIQ3PWM3d
rVeDypBjbcmN7ZZqzxWg2KYwI8zbwapLfYtE678AhbCJqnHf3MWumVy5aIbvfTmP1UU0ChtSgGrV
RzlpZkRQBZ/hMfGVgAs8Z9V4J2xNJvcgKfzyorByxsI+nopgjD3/qcjc4irtpPNSZlPFisS0L/pM
pxij5duCaX14d/uZKLWmN/aFrEz2SSqeh30a5fUdu+ue1Vaf7q2qheoElZFJQyMDl0XEPFzZ6WIT
pt54a6ou3Rv4CF49QFPHLmnVRdcM6V4AmaSFQ0/JvCheC6HKkqtkztMXy6vbk17rzXtHf8mVU9h6
MIz8dRIajweoVSqCqxja6XGWrRj3CjfiGHzndahKqHrf84jYT01WPLbWJIeAdGF8MxDOoNHD1wAB
g0MavH2XFA12wP8C7ihzPfmcyHKceWB4EB7Zyz6YldKmq/5/EDz0xg3hIiFWFrshEcmDQonWCMSX
4HD4l3F66dTV8IYDiEdH6FIcUSeYuQOjHLW7zvTGPR7xBFW3qL/2hV6coRHIYxuyKKKyZd4QutZ3
7I6svesDrBEEHQJS+eF+SD31BGljvCbZbx3cgvFlIE4f5DKZXl3Vh/sUb/BxZHTDGNKY6UYwwF6S
mOKHbiBUNDRGdQdJTjzOhe5/m7AN7c1ZCwnTyOyqmcwQUlXZfSR2qp9/B4Y43hzgIbD3BsUfXC7W
S+P10iF8BQBD0fqyxCcc52VooyJ6rpUT+ufd7GCv0MbM+la7bXaCqVndevBCBfjqClnWHotSXs4Z
HKavtudk4QOXsTftszrBajSR9q14qHagQ/yw97xdCLqVP4wPJTFoagfsJjgbYV5GoeG8RHE5u9da
OM1EOFtZvTkg9KotuJj8Q8o6O9Wgz044tCLjlIsxzXaqGHy5tch9AcmHFyWOfdOCKucHprWG7cRy
XZwYqO3+LsN/dd4q8qQJmnFyXrmFH/F+LmQJMNpP9w0It2Mp9epjTkvtBVgzxMUiHh7tIiYW1dNW
1JIf0Xg+sYYtrmqTWX5n89EtAjOxrKu4N1nwy8wYTlCO8L7U41AP1OGkerxhup6SIB+y7DIUvT3v
9RjOUYe5JAzWG+7fIKaiTP6Xy/yBu/z9P9zmv4+yyxd/v8+xVuKpxIdJmMvVfcv9Ybr0fzOYK0mg
oBCZIH2XsvLfcyb+bw6lEvyMEJi3AeA73MI/xlHWfuwCaZZyqJxyKZX6B/e5WJaIfxlHybEQ2fdw
Xfq0aFhiue9/Uo066NC1YRicHpATNlya480KYsRVbd9zvnVBP9rsteKVxDhYqv8ca7AYetgbB9XM
xV2Lu+Kc0KS1SyrHYLr0SAqWEDP2ejE7r6Y4OFF6LUilnE+C925LnmUYcY3kTv0h6Re4TTHnwKR6
mdochn98sIz65Lr4ajKCx15+oaXQ9MpadwIDePFd6ksV1L5JOMP0OVLbwjoUEfjSWYX9Ke6FvEty
D0RjKqGRF1Grv/fGuE/c1jwY2WxRWWXIy6w0DfxIcUlERi2WtY0RWeqehEp2KRsZ3leFVlytIEiX
yYLfYEnHTfKeZ5p+Kpu6xpTngUPF+2bABGrSF1lXNETNulG525UR6fkVZ64v+5PdDc297ffIDrzw
zqBeTnGQeH2zYJb7M1tk+UMu53LPxiCwCi+IUz0/S/rGaBluMBRhxOCjLfSmvYT50QV2PNUn+P3V
hc9IcqO8aHyeYbgElC7p55hPug1rqmYJT/f1rbZku3kZJPf15Ic7ztDxCxspOzC4iN7MxnHZqToJ
ID3DmW1mQODTgdkRGdwUqVd9HZ2ciwKA1BeCGcmztKuOKCEj7riziPIvsl06PubCDrHgSXCQW6m5
rMowzHLND73W7BxH1hdDl6e7OiUGmNuVv21oRzv0jIt3tpa7B8jJ+WNLaIu2BmCImMGxatkAGIfL
yE6MTxHHaSBD3Ghx19cfpA/AvG3yHBMTOVjirDetAcUxiBuuadoBDB4XWUbGfVM2UV7srcRkm5mF
7WxvC48/W+s3sQxaM3HtB4Wj9ij1UWkHWppEu0NUw7rftIU8EB9ro50XA7ZnZGMq3EQiytitWo4G
v5uKrKto0vmpTy0pP1XFO6u0i099GCb43j6ZjXvIX8mtcnUABWVXlh+UuhjPI9SddDdg2vHP2T3F
976eQGOYW2lctaYPx5yIGK85aWlvnmXDQyAqG4VB2RBXrQAR4513jbTY9VD6oDLog6fOm7V7opLU
UChnMm6lmIqPDsDvyU204kYuxRU4l0gzEhZxP6Kl2ALC1j2eXnmtEtd9dtf+i9AcM9iBWN+uha88
ViFWPD0aLIY/c6Wseu9aXICJizsrqOuuSq5dVuRfG7hW9XkDBO82jWuDVg5jjt2TM2S8VrZuRhqT
tggyP3BZx5hvyloWYOV+DXPSTQlPDXqdjjddChRH5Rh3gxBB4IskBvFg+Gro95k/2dWGggxanLKe
aPaG25INkT2OtXbeNK51lSWtmNAZ/Ryjldbb1XW0bKzStobA19HPRdeF1ojPYl1v4RVk1RWua6/q
+w7Ms+q8PMvBxe66dUOm1m3Z3PWF3JOXc+MNyl0S0lzWsl1DYejABY6mOpSi8VHak7B9yGNrLoNa
t9vnHr7H3WiUeX3hFX3bbCl9iD/sTO+6bWsMeNDdrGSH5taqginZ6NnB64Taz51JuEXkH1Uapaek
MfUXEXu3uIxxHWd4b4nPvfS5uhCzdhlZOKYiixseUPmlSQpsMxkUnrFKSP1gVrp/8CdyzBtSH9qV
5ZK9UIJalQGsGoTAxuZzm+fDyGdEhPd+q+bA17L5YE9lfueqDhMW5gOeSfRzaF9WPLFJY995JORM
50Xulkdav9rykBMc20UkCg9paozBWM/tpSJvfcqrhfL6E7YYSCKexE1bKP8iq0prS2q83fMDMjtb
QKsEX2VeHOeoMTnJ+djnlyvEOGoFkpHD3PSZ89n2eCJn9iv7iU+3kg4A1cHy+U70OFOx15+lvdVf
rFzjcZjsG92rpqcxbPVTXvuSOPHfAcd8lwvug3DA/84Vnu/LyRzPmGMaEJVDDX8oxAm5VUOD+Xvq
8zwKpJ64dwQr020dVeSqPLJAKO19TMYy6QwQGlwxT4KgwnvTy+bguLKK/kXWtf/qz9m8Td/y7tfP
rbV4+m2p44S0hn5JkIXFOwP7+nL6vj6xfxPgWlmBL4B2siY/kYiWf7U0hjn4wJAH0NZ+PLcsTDrL
F6DWs1XhRfbPTDp4ev7y3EJpBTfPQwupV8dO5/LH/vm55f5BdNf1pvYu3JnLi/RCIbtg4lxydqHv
KTJgPE2SM+K//YOIxIDOhBw7kxG002kf4bp5hSI4PIM0rT/bkNB43mny4EENtbcGc8plYUxGduib
3DY3SQKOC4R8UX9rE0LPkBsUn1cLStDBhOlq39XOzM+iNlq9vktJvT5aqunpl2HntwGcyTQ0jF4D
WFmXc7ubhT5/lOSPL5ocVtvW0LzizG1G+JSJoPhyO2Yi5q0yTfW8Sbjb3iJjEW3FlCDgLqohYm5f
gepq+uZRwxE+0HTQvvirAEzlDp/seNGFXeDD2iZZ5WLWS0N3ztYXGRmfQ/w24MKGV6Y36muxSs7O
Kj8nixKdL5p02QtyguOiVLMtAjcsVwHbEkJxf5c+ln/TCwVs+UXvjrO2uHIXOc5El4tXhQ5FE7XO
X5W7cFXxwkXQi1dtzzNn1i12G0U7ooganUSomeluMlpFo6D0o+6ijG1vj8vfEy9tVRf4lCmjNHc2
W45dJ1pde4PEZ3zw3SDUMllj0p8pS3vNIgIAU46jfTMYOHxYrYzxv2guY4D69ZL1y1vx+R/XrH8M
Znz198HM/Q3Lg00boCAKJzzP+bFotX7zFiAAZwgf1fVA+DGY0f1AdIpGCBrOQMSIn2iN7GBJ1FkM
bJQOurZHC88/GMz4vfz9pMBehFBocvp4HBgr8eanwaxvs84GuLufajYCIFAc0sDYxDy1iZeQ8OB0
mg/7XVr+hkchOeIYq+t5YRIu9qCYSGa5jgxNCP48EQhKdpoYr7w3yCZbhTueq2hJLIetryjgAav1
LUuaiTJAws3RzD91S+CZ7WR3KITunjVLHNpTNsnoeAlJx63vnrzSs258cqNREJtptQ8jHwXQX0LW
sS9Nazt0Rkb2unB0rlA/ObfS3DJ5oAvwFz7Yq1dqBayrZtRzgqFV/1X3vIH2RDwqdPsWBqW1ZWP5
2dbX4+JISS3iKIIZb2pX73ahZiUXILYpGgAope+jzEovCQuGNwBTGS+sOkne2KmoL33Z19nWLjKy
ebTwfo0w5n/2sHA50nLorhg/grof3COmT6QpHi5iS0IQGL+FfhPoXW9fABfuzyycL8WJ1m9xo0id
XIbE2bSDr012c6apEXgIIIAkee7Y0LxL4q7vvO2WnCxL0E0Oi9kMcKB0RIX6xhm3ZGe0JyOd5HEu
2CSifYrowwxt94oq2OToV315z9O22yZk+890yfccCneVEhPu6ZLIDuiDQGdSI+/uCtctPhO3Ri/L
Fz5NsqJq6hVbIxeCjb6wbIaFauMbpn9ZLaQbITTtwN1oTmSlFhQOml5PTSR8nDQZil2yQnPqhZ8j
YigGW7lQdfA56A80Oi6z1qTm/D1pMu8jtnv9osVgDWZ4kGCBQmPA0VO0fmscwcmNtAqsUB+NxV2/
7+JIfE5lGT/4C/qnWilArTcPhOUjBHoMPwspCOXZvE3BDMh9uLKE3AUrlK2EISyp6aMaoLpsSAE6
9+5KI0oWMBHpSyITE0T2LmhXdlG8YoyUQckP0fyh3Gor6SheoEeoePCPZDiVvN/nMnvmL4/1tbXS
ksCeLuSk3pm9i7qoISoxH5HxIC7anocrc0nqC3+pWVlMelOFLTZP6Q0MapXHrsBR6ZZfGIqTF9Oh
ueMxG932cRzeRCNSeEA3LfSncgFB8SPa8saEyvBVAa07I3vVbsOVHhV5hjjzRmCZFIlCWKPmwrlJ
U3IZu1kbJnPbzOPYIXGY6bU5d/Iy8YvwE0IrhhxLZWqDkNA9ikpy/fTMqPtYVPWptSwKOTy3bPdF
VM0IjGbjnUQVFg/jSCx+U7DQeGzdejpOc+1iVOcP4gSqm6D18DmoXvnhSq9kbGVWYMihYKVhsGYM
YD702yGarWIbFX6ltvMY2dk9BOWxOtR89p9nCvCIm48RBYZW5PEVxOu2ljOXksX33OrbOLKZ+G2X
Iy21WITD4O6qLa7/6IXH1WiBOsTUxB+5zodDP4Z8xGutOGZmn1Tb1CLVliWduvn37DS54359d94l
6lvb/dLOSEf9j6tzKQTF7w59AuoaeuAfGiX9ussuceGAwts0cND/uDrt3zDdLE9vdtPcuyCNf3pk
CwhyIG9wyuPYWTpI/8HViZ3y71cn3AAXOADiqYnPdvnt/fzIHgV3Db7zrepL/R5wff9YlIl3KdI0
ecxd2qV5YOujfqS5gvakEsIFkpjS9OcIERz+RjJ5OG/+Y49SRn/muTm6U7f9uUxJTjwTN1gC6w8E
KdPZm8ojhq1Le/yCY3q87y3bChcLuB4HUPaLG5Ip404ZEP0D3YsrG1JCVsMTtmvdpPRkHC7HxpwS
CJ7aTM+SiOYOJX+wgJXgY99K5ZLFnEh9w4bPbOosapg9E9dumryEvGPfNNlSz4Mio7ytO5GQ2Mem
WbAliYEOba0IB/yGnQJXCRZKSlhoa8jZjGpmvXEMoUdHO837bQO8UqOOLCJuBcV1anatKtQF3hL2
Z84YuxAsKj98M9n/FnRJDoLc/JC27SYE03knHSnfichhCTWs0DCvfFpE6jPKz0ssCq7T3yRDCBNo
6XAh4UYp22XfW2V5YOzHujkaNEsOq6EToyxl7JRDYPSMs1kni7iOGfE6cijbjK2tvkwi9TqUtFip
L6ZlUiHaM7U7zjMGmNCqZ+dlWgcbscw4IlbysU3NTt9V6xDECcZAVOV06TGHKNYazcjzK1umpyTj
/MPgif8et+qyotGXWctdx66YKMShWWYx9gr154LgfOZIFK+2nBM6zElKc1Ctw1wCwOS5hLW48EyX
Rq9/z/mE+vDr8+m1escM+T+sfyZf9LvWYmKZXnrZHOzU2Ot+klqwX3uYKlzoFrwN/zyVeNALjwpM
4ElcjD5tUj9OJR70HFNLWfj3UI/1zx70eLL/Nvoz98NgX34nSDi4EP96KqGzllWfeyAIuK42slX5
e5UmdsCUnnMm2AarwSWYCXmlyvbzmtd0R2BZwbzEOHsXu7Af5TFIA/Kdy9a4PWSEXpdWnBJ0QT3B
XZe2fIIB+yW0+u7GWhKjA0MmT2rOyTO5JEpLPArXPDmJmVK/FBpB6ZI+rbspegtTKjDOYt0kIyrX
qGqf6+K1D00CrOUaZrXXYGu3hlynJe+K5rGgIfAMG1cFrxN9U09ad3SGomU85jzFjEAF4lEsDYpX
7hqrtXsStuWStfWX1C1IEPGmr1FcffL74YwCMiK6fDKI6zIGtWwNHI0Yr1PJnBdSI28tejK/Gmvg
11zDv/EaBO5VXLCmIHtd7NzImqqHLPMWw2HoHXnTdheJzjDBkl6waMV8p9bQ8ThrM0p26SVPSqPV
5egsCWV+CfO9kxM9ERWlMlBG1jjzvEabyzXm3EKHOjUIugZb17TMYHmSiXaWdPQQy97GLW/Pj4hk
zkJTk3IvJhpnkrJzDnCUYH10EXlYo1fIOb1HaLhGFFLG8IVgyKah3xqohVve0lOUHE3sjGffy3To
6jtPyN6cD7WZBFHvAD5gg5k95DOZL79qsYp7Tn3MwxFmT8KyWc8nI9DS9lMvZArWABPJnFdGdvm9
gSek+4kid3hdxtnvDTwMZ5p7Irs2treqRnB4M1uqLYkJ/6WAZ+4mRrI8K2z5hYPRrGkmLRL3Xo3I
isgCMyafWnMiljuFWe9MfnAiCPhQ4h+6wsZ7CeWOC0i01iGd/YrSrVIjpqwz8lq7GSXA3euprc6d
PK4+BjpfKCeKsQttcn9w7nF3mOedScl2HvGzQCYnth5aLSwuhknQVYAYpJ5MpauCyhNhnSoLsBzO
buuRYL734XDiX9N6VBDCcaZjaNjNTcQi+nqooiHaL4Ip4AA1vplRQkA6nkx0uJSxmixNlVjPSdWa
HyBOhnN3ghEBMrWl43ls6yCnBWYvQNi9+P5Q9AhFQ30z9l726FY4ffLZKndgtq2bKsPJuGlDMWWH
wQVgyvvVvTIR/OZzyroE9vNkxoMyEdZ/w8wYbTqPLtQbcJQSPgvq/tim7kWeqJymU9z2L1Hl+189
zcXBWiL1xLCj+4nqBi3f8+0d92MEXO5sRsuLwKNFZJIKWJSfeWmJchPHcfQ2TxhQUZ5ceE7aZGGi
afs02tKonb/OFB1pN0YbOTdirB5gezrIYE0SnTAO2pdhNA0dpARp3jZpNIkDVVmVEbCMN58iJ5lm
ZgzPeJQQGxIW6+PwmNPE5e1zn/68QKRdGiQAv5sDSGx46MRRuiMntOq2zVTQbMXowMtMzxT92KGW
Pag5xL4FsrCj6C7SnwpYCP+LTdn/n7nY3zdii43w13fu1VvHOm349ep9+fLvty+mBXwMoKKw3dss
3xc/w/fVu0PHCd3UbN1d7uXVs/Cn04FblxIA/Ae4HdYr+3ejA8Fz/IXEY+k+sU2DcNQ/GgqYIf5y
/XKN24sDQwgiTgsv8W/Xb2JSbunk1o4K3247hZ54l0ZaPg520t7UsvMv4N5iZGCsAbioNKQlCtq6
ETFMnxJzV9tpOR40tlGEQRbjOliFxcVurZZ2SD2TeWwIXdbEOxbbO2iU6EWuXvjVFu91hYMiOURl
fVR+7/onGqIRLfNVwKTlBzFTiDDlymm0/qAWuVNGs/dlVr43Ib7WyKGrMlqsKilMHSKyyzKJQBGn
pgeswnXTK23tZBdLPXtfZaGxG21XGtjUKXDHYDTqBF+saNcuBe/xUvVegvl8YwPJriUk50msnVJ4
uFbRN3ttiqeoLd8pLvhXvx7Fa0vPWyBjr7/if09pUcJvlINjLZ/X4z65LpZGesCIw64XyrgyCN5c
DabNcsurzINi7thwtUYn3I7w3zvwUpeVLysQgAnsjA02fP4LabTelgQRYKs4H66svi5dmDBG2pxc
qvqA2IxGfJWLuX1nFBPsocphwuAcshKpQrd2Akta5sWYmu7OIU0PqdinWAT41VRAT82WOgKtnLwv
kV61D1jrmwL8hAd1zlsJdO1Ko+toavmEQRZ1Wx4ZUbYPExzUwbhy7DDK5vKsnmST7u3EplkxXeF3
qEhdFTBkOX6AcYSzTI6g8qxZEOPtegllJVS8PuC0LlwBp5VmcnJbbVA9xsRmxnNgKPudtscoedSg
lg3NRi9HiV0yxPmyoURIXoUDhlc4XEUK5LWI6Z6zVag7WwMkzzW2m+IrBotJYyVk4t1p3dTtAW7p
ybs1uzqZMApC90UzlQjormyNg2SVyg9z5mHl23aSZq+3mP43np6Zb/evo5m2wBQhWSlmvMi/JehB
0EKtoQt3DWCEfaOMe025frevDT99+dcMNYL1w68P2NMb4d3yv5yvfPUf5yt3LusRcqSC6k6WLH+e
r+xNlpMXUB/nLKCOH1uXZb4hdAqpask26Zyzf843xm9AO5iKlqyUD5/gH0mbTEt/PWCFzkZocbOh
fJCwAnP11/mmdnlaOENy6Kj4iDDOgHF1ZpeQ/0KXqVfKq1qAr6oYTXOTrRxYe/Y0nAcLHTZbQLGw
nzU/qNzYyAJrZckSF3c+Cb2A5FlQs+FKnc1XAm1bR2N40IcpvKmn2ruOUwtabawN2VPij97ZMLfW
NZSB6ryxaJWFw5RcJybdpoyC1bPdAgPfsM9WxcbJ+ZPR5mZV12Ho129mGbknKlqwede8SWTdiUfu
FO+OnfvwEFlaFHhplt2EYwswk23Gt6TWBVYwWJdOWrpPkSjLp9iJWnnoe83ElttbX7ISX8Om7Q3j
1sN6s1TmVsNzHjWUYLbQp3Zdb2rWVo4pRtMeEusloXys5sgIp7Ebq1fTnSY4PLF1TiGreU1izaBJ
0sr3vQY5hwN1OguH2P2U/ai9k7jKvqYI2l90nojWvkO6eu9lKG5BvAI7LOv5eQhT3LNS+UZFmNSp
r3svz84E/IDLsZubt9Bt9JicGWPDOeUw+Z51YBsHaTh3T7PUqkd/iuPXOipgqYdkNUEI0NB6U6Tw
gXvPscct2AF6mcz5oujmktbrxTYv2B1nBHIH/16V5cwXRU3LGiXBuOH2LdXMVpOqhbXAfVYwVVxW
ntYFEUkVhrtMGCjYQ0NjLg5+se3C3HxLR7cEmF/43wyIRMGQRclladps4P3JTYMZxfhzlqV252Wy
qsgF5d5AxCrzQDiEQA22I5zmJ8gecRUYVhedSiwnH2v9p513VU/lQ17ZImjpO9G35aBRaxlj4t98
r/8stcGNA6OaZrqpiRtfz9RM87dR9bp1iCH7TbufO0CLacZ6v2lqQ1QgevU8fHMnstFPDqskY8td
zW7QmftRoRP92f6ZOBiOdrOh6k93kYfMXjErLJLRtKpHo1eTuaAw9uRMVSoDhlTsKKPjJmZgrwqU
vohR/SJLtYtA5a5aVfhdt1o1LJ4a6FlzZkWXxD/ETSShBp/UIn15dEZfiEUOE6sypmkmKhnOV3lb
LdKZZi0iWhnTbVPSpaTlSGws4OqvVHL4H3JV4KpFjCNjHL95Omh7UL+ef0NXbHqZweqmnmvR8rRF
1hOtM3e7BdUhQpc4U7gKgE7E+D6uuuBodg78OMwDAKpRDutVQ0wWOXFs9P41WjXGoS4E4e1FegQn
q4Pohl4er2zonBkLHuWCjDbKQj9YC0a6tqWiTXKlS7cLaBoqs4vPM4Y+zbVd3cQLkvpfc7Ut0Pxf
X227Ukbyl3LC8rV/KPE4pFnOkVHiEOUYwn7z5+BAWzfBKlN3HMfWuVN+t0i7vyE+LJ4dHvYAxdzF
V/375EClInI6HiASQfj1aTP9J5ODufwif7FI8xvj/wcel6YywyYN/NeLrcyanrOKVs84ckFAleZV
GRvzzYII2lhVqB3Rj8XSVuqkt9WYJueDAV3KMxJ1oXU+oChljpelaD0yIGNPuzzpHOfCcf32EQwm
q6iUaHgXF6DoqP0yjsqICAmJTITP0H6A3DWaRV1rY0cPZkHAE7vy6EPXn9L+5E/NYp+zenGn4YY6
1/i4bEFqu3dQDnosttb81ueO2pS9CW06TqMOmb7yWx+Qep3e8cqA929HzTYaXQfFhG2RRLrkQ8V8
EyDEz8cptL5VCAbnqjeSOykb59DkZXheGWNFkzotsOz68GbDcrxn6C8R7wr9I8rFcMxTfbiF+55Q
N1NE4b22pl3NzncfvcHxHmqR6UfOAvtbvORi4eRs6oQk5Fw0nb/hLhA7wFc0NUZ2CxqxENPXZja8
h4Eujb2vfOoDkgR1eQinY+d7ycuQaeKSTJP7BBexupauLideHKl36RHL2jtNK/aJaMS+8YjwVuw+
YAHNCJxNaZ+UiMs9In51QABBps2t5gYHqXfWNn53nug1yCHT1c7CaIiXZnid7Wphx2fl1PaBRx/4
viT1GhiZme5gEXVnSyw4MEayVnNaN7T3UDysNRF/7aFwOJ9HJ5AJ/0MFSPSa1s7ujBJaygp0X14y
PPUBpULm06TF8UdltOLQR4a1F1livxli6h4TGGynBu7CU6Yr+9y12d4WkVRHAnNltlHegE+ExudN
0VXtRUwYi6UW/b8D+Z5dPvn5S53DckqokqYjJ7H3shptqtGUdaGNrb2fFXloNlB1vJlUhzgFy5a8
TEcIN7VpdKzq6wIh/iOty+o+pogdJrlddtduFZNUnUt/ccmKtt8YtpLbJq2roOsb68XEuvJodbFx
1tHHDsrXgbCaJjTcYRoDu5FQ3klLwIh3Xm+2nQ2jUoZ0reGD7S5mexT70Y+iY5c6+gkpaLzwIj1J
NkhV5o71u/Mgqrbca7Kbv/U0mn2dwaZR2mPcAoCVMTGB2OcN6BBbL3Wcxk5Sb2O3xWrTxojMjMdU
6s7ZeB5F8ENLQ6l3K+r1wCMjnp4YfXhrsWzf/3uuAc7e/3INZEmf/Poa4Gu/XwMIxNgymSAgjbvL
XcA5/P0aWAxZAvCCYwsUXWA5f14DgBsMg/0RmVgmam4PpJ0fC6SlwYS5x0VQ9m1WP//kGjAWP9jf
rgFIPFhLF9CgMO2/J1+7QQo0Pn9bdvF0CrO62mJXYK4weo68EO5PudGBrz/q5oR1YXIduXeKujvG
kT68JH0hrkSZG7cYP813L1LfhlSj9yo0CYfmfVh/sr719hUrjgDGaBw4FK5qAPbzDS6MSx+nUOAo
49tk6reKKsoLgOPyzZG2sVNVM71gJdW9oPe9L5kMR2crI7u+jVVtnWXxjEWJbuiLCO17p8MQ20+T
Ecfs8gd18OJ63IZSD19Kq+Ki6HMUbN51BfmIQsJiK/T5ZHFgzHHUXLj1cA3L3z/r5ja7dDx1STT+
q+qMr4T6BxA1o3VGl2Zz1GuA1UQ7G5KHg7erCSds8Xc0eBqb/CnNanE1OYl2wda/pLSpnLVtm2T2
1oIlO24mRwMWob7m6TTuSTc09qZQtXOJCFbuEZGEPKJwJeewG+qA2+utoytkh4JRP7btRerHdzDb
rGNIUOWVnFH3pRw998qiHSXoOdq3uNbdW45anAHSgZZNZPVhNHt32BZLKo4cAX1STcSWiMgKZ7ap
lycyFMlRkUF9NfqRGSTJrF1Gh1u2kVbRIjJp/SUMx9YOEM6NXWnkOj090IWwpAFeyM1zQpf1QZf1
F/4jwG5GK4MoMstdRbXEVdW13WvYdl5A+KjfdHi9zse++MLKu8s2UZeTYKk1KNPK1AGtuhrf7ag2
A6813Esc5z1M4dgn6RmrVDymC21g8OtUbIZGik0z04YX555xm8dEyTcUANdnWRsbQT5m6VMWj/NN
OVcztiKvuhkBOGPCbxtwdH3ncXYW7nWaWS9i7mGtYcvZTVriXjlw6jdt3SaPLCXL01ho882Yttso
qrnzMDgVJLCJFzdOPB3oMb3monDe/jXnpv1fSx3+T8ba/fheFb88O5ev/352emx5OAipY1i2OawY
2X5/PzspJSfCt6xkDJssHWui/0veeS3JbaRb94mggEm4y1PedFdbNs0NgmST8C5hEsDTn5WQ+aX5
jyZC14qJmKGGKrK7upDm23uv/ccR2v2F4wcuHm3HsfhX/t8JWvzCpBzUpYXIix2HX/6TpVPTXv+8
cmrbj+DwqTUBRit8LX89QONgITFLP8zsCVvtObEaRJgpVfE2MDMiGrKjaFgeLAfv4mEcLYoF8nbq
rmakhrtxcpfvFoE0goW5Yz7gsg51bZFhXElx9M1+8hPzZW5AKp0Hlu/+7Jq+86MYF4bJ1ijpcezg
pTjHpoymU1gDH3bQo7utmHu4j4Zcxguu8nncmmDtw11sttEPgUj4FDR2axEQ9IJHKTSTPyFVk2Jp
A58ITZtmbc8aIJ4lee73m7JwehobRGyPJ6r3OGTbwlo2SyHlW8Q9NmVQEQce6DISIH6ZaZE2kdh2
U7DpN+ZPjYPsOWPWkWXJA9qOdlQyG0itfAPk/JQkiH0kfi2yf86sI3e+aNR+HKxebpn/9Bjc61aY
G6yS1Af78QgDV6UoY9RAxEdIZLGxbTztwsS+yirTo7Td+6vdSIL04HQ3dpXL5F1bkuommfadERSP
3WpZsms1/hSR2f381zy82EH+y6Fn83X4nvyXUw8v/vXJJR+8lqjwFGqCx5+ossEveNBtbECchUyk
sz956SyMLoC/dWWLx5FHj25/P/WAXmYOjM2Oe69YR77/5NG19V/y52eX2zXX79A1PcIzjuAK/Ndn
t0hnweKhjoFTtTP5cbP6RMJKfIg7v/gqWtN+xtTnOienGZMzlUvTcgstS0YUI5vDF/TYzr2UecC0
05yJ7J0ZmEnKIZ2J5uoml2Z9mmJgGcdAdvxuaomMthBL2AMfbXqSYSAP9o3RDSL/EiXReIGmRtax
W2w8Htx1wm6bdeG8z6iwjnb+mpJMdGBy0dHJdk1R5mkoN22C9HFUAlrFSVB6tbFal1GgF6XK281B
MEaP4+iEFJCEcB6ObRh78T5yOltumLMK5zD7ofoyyJBmmKVQ/VVUDH8Hbr6cBZiD0hvWtEydJzbd
c+JPiyKtGWHJCenkLl/NofKak+BR9jajr7wRpwc+lE3kUlzVGm1kvkHLp6aqpLny2PbufPQUBmRa
C+L+wRauxMHSZOOlb1rcdQzCmgu31+65aeD5+TKliQqf0CT22BgmCsMbYe1FajovWakyDxZDH3b7
rLecz6HAVbKvojGEtcDB7+pmlvtortJ+rlX+Oc5zsppeSmGWJYaaKSqyHx0kuAPcpOWgix9wxLLT
kvQ1VyvBvNoKIu0wMLTXQGnXQb0aEMLVjFADRXrHdiA/lb+aFbRvoWdNm4eEnCGDZ2wNlnY4IEth
doi072FcLRDAM7BDVNoZMWmPhOH54OFxvfjtrsQ0zXvUjXrIb4HrW5gNpZgkzWDLhplNrJMtNKNR
gaylfYfGddgX4WBipsQveUXcM/AmYrvoD8KSnuBHboOnFBJ7/kTpULT3qPB8YsxefQ3TzhMvbovJ
4WBWcWO+YbSo3+x8jA8J/j7QTpZVPzoUN15y6IHvpWEiPc5VWnxAC5jpX5isJt1jnBX2tlFtdiaZ
ydV44D2CahZH4zPJ6ulx8d2hold0MMq97Y31zevS+VPmkbYith45GyNE0MOMnn4CsNh+ba0wrrdN
7Q7pxlITzskaROVhKtWMd9Ez54AodmC89SW72b4lmg1m1sA3cczDCTi/JFyFTz1gk4NtQn3jBOrL
rpdebUe/CG+YHe0Pvhyjc+311U7ViXfWfbLQowrvNopW0vA2hj8rMHD1zhQ9oawwcbhL81xxPq8B
2qYB5OOtu2TRfaZpHX3guLsgiBuWhFnep3NvvgepSJ+oZFDembwvTiEzS3rrbuhd5kKoq+9RvNTZ
DvZiLPbzrJXnViXNpYvFezKVN0mf0BWymNprS/iLPXs2iYx2UDefOAqdFYSQOeHKpoY4U/tkt2x+
2LinYNZch4oJ9qZsx/iNRRl62Gx35uOUptirSnIRz3TH4fFkhGwYD+6CMWcbg//IXhzlJh/zUNJm
QFeFOPBUqGQbgqZxzy4/+49m2nvx1u768DbKrutOuSAtjJRQHF0YlXCmneVHo6Qrj2Zqmj9l0hjP
i/LoFDJC4rpuQbJ4h9ug+RQtWcxKUHjVtcFoMW7bZPZYTxNlY0nwZ1o04cQwzeuo1jSm5NTwIHlb
A+hnu5N6TEL3Mte3Ok6MH4FcJAzWvpcf8M/CmKMW6ePc8+C/GvwBQIjrFDh+CEdhuAJEGgT4sZhG
ElG63A3iOcSeXPEpxvZv1/uyjCuPScrgpTebYl51UPSN8iw59G5SbejjWw4LjZiuItAFm45wyiWh
n/BDQjbF2Is5UHKTKGiym3/NMcPhMP33s5VbGv+Qf3s/0K/9fcTu0FiL9dViNBD8Oezm/OLqcYve
5tGQHdj2f9wPOJowVKFVFt4XOTl05T9OGYxdMNFY+j+MWBztpvkHjn1h/n83BCxDJlcOoGf8DwW6
fz1ljDPyqYEtBdRIss+B295P0ZAR2RqN8SkOhuwEstV9FzJQZwcs1ileiuEYy2i6VX3ovGZOnV7j
LhwfS2Ym9T7DPLkRs20TaDfGx3FwvKMHP+jizoqDcWHwWZvvw7VbYdY1C0bbpkidrayGwN7mELOx
1cLGzC7krJo7ufYmdpU9f2aQTptiYKEJ414JC/8QZD7X8iD1rPuolPQwyrWTsbDdgf5MPcF3dWlj
WQ7RgawfO4rLqB/oWP55ctC/U7Nrhsd0LubvKNaMFkRoJA+19MsP1toRKbKevkgCo3RHmnCdP7a4
7Q9YTAFUmMiiYkslFfDftX1S4ZX8alPAzgljracUxGBrI+8f+7Hw5Y7ALQNhxuaPo2659CP4L9uk
AlNFuYp4LtdCTGyzlGMGdEs1GPcz+zXIIAVR6gJSkwEszZq99GnZtK2cxk2lyzcNMn2gzXQlJz9k
7w7AMHufHxvReVwrPImABE+ipEcLoPzoHo218jPGl0UBjJq9p2XuKAWVa0Go66A2zkPGCa314+DH
SNnwt6xLk68wmOf7ViElbQHLWe5xij3IaKCb6LEcTXj90qv1+mvr5tK4ybufLYp3hXE/EM8EtRyC
R739hgiiY/rkuj55NRdMVIJSHWUOmOTAPY/rKpD8rNq6a6cqOe3ka8UXe6KKR74ZwvTv42RitkEN
FWEjJn0EjwYiSM4aRsp+DSatIaWs8XlfZ2O+83KQeMzW85lChYijFo1VdkNfQqS8J1ENJfwb4ZVM
7yazrE99Wdi0wElSY1tPK8F7w++o/Ms6o/uijFRNe1819QCqBcrDHbMy+0jGML+nPNGESh0C29wO
lj6DqDaqrdfOSvhG7Sgb9tXoc+KhCfWr3tzvTZrZ9sTQ2UsiU0QHqVrvzkRwv9OJl/gYoQGfiXXb
b4KY24dIuOVDZvPjGNQgg5vC7v2ytC3FgRa4DG8ThhCtNjV1eMnONJOOP6HMy7PKete7JMNMe6tR
Y6zbZP2Ey9UfGTtt556j1dHi/TkGtugoTl2c/qOderjKMTGgbFnszhf2HXJqUV5O/KG1fyAgW32X
YVN+L8yWaPrQqXmXhgFAu7oGKkhcpL91iet8COKCB40xKC3Vrn3zLC85xcgW96Fbpv2WouM033RW
ye5cLJ2T7nw7Q/CmW4beinhZqp+GR0x+29IRQyNCaizxvT8kbfxYKXMqmCN2I3X1jXPxGlc92ONE
1rzzs5Qreth6+7IuxuTAauG+wlSvvk8isZptQPhFnnJeUW5iLMxqZ6Ut0VdLSefTWHCghfjqOssO
eoh1wWdOmURXR9Qy1jlByVOwBN1TWxDfp4Khm1tKJ/qZ5wtrANwlpIoQNV7XZLH2uByNy37Z5hTI
VvrcYT1ig/BD2sLaAfddNJQVqyDc2vvALT3mASpGsbRr17yQVjJ1/W4/LBuPYfh3vxm5x3S1iiEH
DdwhzX3sjJPcNyI3jW3EeYBczcwyiN9MozRqYRwaGxxOyMnixS4SaAR4tH/UzYx+s9R192r3Zftk
B21JA3Pg2+m2RVKLL3z482E7myPmTUDnLREGwoAFQBGAMHDR3ZNlz9XHYIr8LyGifXiQ3PqKLVwZ
+kSsoXlQ2EPzbWm68WkeJOi/UlMA4xUISFeVOjNpAhPowZPZ9ZodGKSZ/MbbJ6+JJguWzpDeKJoE
N8g7ndHfI/N9RlLhkFvmeBeMyjwTT3Q+00iZwb9T05O3ogwDUaQ3AzwB5EtIh2hTcImqCnjhrEmI
I97w5yGBjoils2V+I033zlvxiSb8/W/uVCzXTtMV4XK5d6UmLpIM9T4VmsKoNI/RbIY2PEQrq9F2
NbeRLCkMR8bB8Bytle3I+sNiRShs/G4oTX/sVhKkp6GQMe8zScmleaZWBWZkggjziQkxQ6EZy4j+
tNiqOFrjMB4G6NsD1BmssqRlCRIUK5myIFzqnr2VWDnwPpr7UIMsB1ExzcfjSZHjSrrsLKCX9FjA
v8QMjMw9rlzMcGVkhhqXaa7kTG+FaBJV+UzQDLJmqiGbgUga52SUeIgyDELEwQRAzj5xpp/LSumM
NbDTXtmdqongeGZJnM5bftlw00/tyD+IeLbKaw7AxvnUWl59j62pbyi8G4MML1A+P+cjBU3QySwO
IUYSyVPGEcI4cMEdjllgnv49R1NkuL8/ml7r+O/nX1rb+/1kCoHO1vqcoAbDcrTs9uvkGioLtm9O
pgw3kN1Yyf44mTIaw8YcwMYjZGrCwePQ+pvqR2sGU160Qj3X9i3+tX9yMrW1WfOv86/V/MGXgOTH
yM3XrcV/wjC00aLw/xZMiPrBfVODso9ZQxNoGRNJ2td+Fo0U2M7LfRH2raJJop2vNhevnZnR2FOM
/nRmBG98D9GfSY84mYIHlMXnUov/9mjV31oRuUeocwbLr7YPGB1FLZs2N+vmYHKXTal8yOSjO3v1
HoELc0JjdOUuNaAdiHqh1tOlqBWAE2gnxWPXMZ62wI2jLKS4fHF+vsoFkc4QWCg65Sv3EhZGe5Yt
XPIuAy6+aaQKroHqAZePZW3NO5ExX9x3qWU9p4F0wZy7IiFCnqqCHUQz0XES0k8j7CC/Gd0yxi9Y
qmNx81ewerJC1g1MegDX4yCuj45nFxdzNROHCUD4XWA3cfbVBGJeb6PEMgxqaaeitY6MGbElU2Hn
VIfY0Q0f2rdsANygnGG1MwO8Ry20tMtZV5A+0NWI9RkyJjbouHbylrZQmQSYLrPx5jSLCB6wItoX
xm3escTs/ejom0Gq7whsArKm23UeH3N9h8h85byKcJluxswNoy5996QwsZyD9f7RVtkJoW98shaH
gAqsK/O+z0buLCwMiV4h8nWxwLLBwkHNkXlfrMuJoVcW6tVZZLp1wZF67SnWZSgPjOhzD8RDHrDq
sUYRI2W9qpjWzMBDEQKOflJGwXbwJnGc7NZhDxxpOb4SpjfATOT9ZzCh4I0jTTqeNfN4WvHHwYpC
nlYssoNjXF4NTUtuV3CyiZv0GoEhA6fs5bFGKyfevMkLcGJnuN7gl20HErPSTGY0VNwuzLysJw4n
QJvxN+IijefS/8nzWLw0YQVOeSpcProV5/g9LrzqkNVl4x0GvD3uGX8VzB1hjMHXxCzVZ9LYlEli
nc9eZScMooum/5RaTn5fThP+F607R7Ifj/pO29zLYqbnwGkh3+a9k/7snHx877XK3XFwAJhfeUDL
O2t55hPsXEP2+4PJ3nHyLCPZ2I0jz76mpWzbSMBqaNtslzC/3g2FS28xWKCHtGto7OZTuDdVWUA9
NqcGuHH6Y+IcvrFqk5lQk0GGNGvny9g6RndQdsf50KbDAPXGXNIP1cKWXdWsAjuQYSNFNEboya2r
8uLqJEU7bXNaHC7Mimjxxs7pXaKsGa6cYJrwqS/8ZguqzObnu7jVjRD73lDDdBxbH4NZ6YbhUThT
fMPbmFMYEzBSR0+fjC9ZnpX5wzBOqboVbR4+RpwsGVsRpv4UFH4SHqPQiS5Y0bHbhKMht0VhZf0L
eLbwJdbk99wc2k+L2XkLfYXR1N8FYokOtUqtHz4Nx9d/z67HNvT3u94ljf9rWooX/6b7mJDKbJMn
LdSNgSg9v+97zFbgggH/EfREQVnXjLDfTI+4+dFyXRQZ5jIW2gy/9du+R1qZncpmIIPRX5DB+ifb
Hhmsv257mPn5NHs830yFkG59LQv9advL6nHMB5WdW+jCB54sSm/9Bl5oqIJttk5yvXWqG+kBL81y
zHpzUO3vC0ndehfpYfAy2fLZZJZ7s/SouLYa71zp8TEdo9E50iPlrFfhbTA7nCOuHjnni7XsrDK+
0QXMLFqtc+nAL6tHKjyYVst1cg15WgDM0gPtYp1tz+ucG2RgeQB/xPR7tHPzC/yBD3IdjMt1Rq6n
5azujNDhHDuETvvuOoT4Gx09Yfe5WSKKmFCZN42ewXOrHJ+HXAVcY9chvcW+jSlFj+6NyqpTEsZ6
pL/o6f4wsRttAqcJ3scwME4B695zukoC4GFjGpjRCXKrlag8ozN1h6mfAvEyZ1X9leBSdR2pn7cP
jlYdbBpJq427ihGTwmJ7yMIJkYLTUDFfGRCNSL30NH6L/PnNr5YRx1o1vkk/hTCQrmpHWziRQq92
OLeseghiENqIIZFJQF+jmMxeELQgIZshP4MISt37ZnTEo0vr9T7QGdUwa4oPpc6tRmuEVeg0Kwmp
8OBNWJh2ZUATaaBzry63lEums7CeTsViyscXX0wlYVlnDc7GtMd/5YDnnaY1WJvojC27lnwksjef
ORySwNVZ3CrWqVydz210UhdqkrgOvjOUO473w1uccufbtDrfC39TvLoultiN1Plfj5TApdSZYCJX
Na6dqCAq7OVz9R3b+ngx3J5BQZfw3O2noSFiTEMBceNMJ4/FGkLudR7Z08lkkbW4uAbLemmoo5aM
pOaWLIgshsh+jhPZz3emzgioOCEu0I9V/mZ7Ulrbwu/hYZCC54s3S+L+G1Q/4xkMevKzXoMIsqOg
fNLpBHQHfXwisZDr7EKvUwzDGmhAHyXcYOucQ7JGHkaYrd8bHYaA8D4w58MXa1MAObmUSsZEJwBk
QPjGkTXtzaaI9j5E3/yY66wFn1kduyCAMQx+e0cunFBGVEzVjqji8sjsQscU1gBH4yzx51mnOlKd
72AdIuoR6NTHHHf5KbaG8VqCa99PKmIMiKcEMxw41wI5sImyO8L086dZRcGHlpHxBz6ngtNKFjSR
3oeYGXG+8HdZ6dfEQrCbPg1V7B4ywZbllIH77oZ5eHTjbvqQVUH+0VNW9iGxiwyMedp3X0M/m/pN
mnnDw5y37qn3RflkWKN38JHtHkgMoxNzMr3I2gg2Yx5Hp8CYy8cRttLDVBfZg6IF9pxnKBeh6pqf
E6UHu5yKsC11a9FnPxPjxwEl6SAteGqbsVHR05C7zJLy0TOnK1iYL8w+1DFxONpviFWQBGHbHDcW
+PS7KR0zZs4IYh8bplzfK3zFhwEeIitEO92h0KhhUw4lrr6kzWCwxpWNX3aJ3fdpEhhXaREDEyDc
6iQpvrcObmJ6T0WcUd8W8d5zbgwVmJcoEE9IOHl/sFTQ/KDDyftJj43zdcnnYmciyz2hods3JyXL
vjGonmHIa3kDjcSombTh1eqyDEReTOpVjzWD31seUwa+AdWYH/muGiRw0oT3QTcHGAFjQx55sMk0
VsNCG6DKGDsmA+3fO9pSmQlHbXilHdllKFQSHunHzj52HOt43xZKdh4BgiGbFVpBU6uYRvGR+YhC
TgqsbIL4rV+Ft0prcNYqx82rNBdQZVDvZCp4johhOXLnayXPWkU9zELFiwG+cY9CJh8LEl5P0yoI
Ts5gOPtwFQprrRn2Wj1cViGxX0XFiWZOj8MgL0m06mgmqOn/HsVJnwX+/oDz0P1fVcn4dgl/C/3S
X4837i8muhJIJyITJkBE6w9DmuB3iHwTEwxsyIvgF/843tBVE7rc+P9w8/75Wk8bKQAp1BIC/1qr
+mfnG31tRxmJ62ptdsaShkvL43ZIsARrjU5M/uV8M08F3g657bzJe+qjHIeqyALm60OEfWuJ9nHR
lSeSsP4GQtzCFhzbdzA8MmyRGbvzZN8o+2o3RURgoh3c7smZ/BLOCkGoEHSxHx4AlBgUxbbeZJf4
D6z4K0HHgK6FuEZWn+wXUZpfytaFR09Mm4tPu63GwtkVSS7uCySoDfhuayfAou1o0oQJ36ICgXpb
TiZcpFtVBGQ19A15qSklJ4O3PBtW7T46Q988UBNyaC3jRxmUOrhBdt2ckuYtmqFDR5mg07bHWbI1
/fg16Ny9vSTLOarIg8sMAqRJBxqZC7o/lsUK91Wd7DNFWYg+FUI5MbqTXVjpRWpX6aT9pdr14mxy
7TplHXQ+pKsVtVltqfD//PtBe1Ut7VpV2r/aaier8JqypAKkR1IOw/oLEUXj4nkQRbAwB7savspn
Z3LKGzz7ag/yYyBWinN2wUKLFtQeF8e5jKGcNZwfn23UmUenXijCKOrO3cWcbu6HRsm7nDAMeQhY
kntA8tZGpu742Wyt9FzgS7wsaWWfbX/5goeIjTSKpLrSlEwe2kpQAvyifU2VuG+S8ilSythXcQ1c
N8uJDTojf4/UCRV+wj+YqIS7sJ5MQny29XEoufB6DRl0M1rsO/iF48mXOPgS5ZpX0grFnSfm8dSw
TFJkugwfTVG5uy4JzCP7yKufqng/dsFr7KvyFOfdcxX3BeiWQD7wN1NBVy4x/QwKAW9tDWGzvnUh
itzAqv1FxERMWzlvJEiZScbWEbJeet94KnrzZ8t5KqbYvHOEYe06KFknr2F5X0os4zyJwXEZff+w
DKiySzBJrvIcXcjeYIcysq/DBL1HRkbzTi02xPIZCXlrNXwYVUZI31Be9Cmb2jsIbNNPv+3aS07c
cTvnxKUMFLxHQADuaa6nblvw3lA84If9nlym+bK6qfNAzreYUfmVa0T/IFoSpXhWjQ26kmAQAYxo
45s9OLOmDSjHYyofeK1xCRSzCOJc06snI7mrsVAd26Rwf3jEXZ6zTj2lKpkeJR6yreE3YlNP8Qun
84+xkM4tVvPwDPDQYxDuB5S7soN2YS3ueMxTf+v5KrxH/lK7XtbdwTYGsoFzUR9HhMdt5dPUZrm0
2s7p8rmeqIuDw6aYJIP3NeLS+GBWlnjMZ6pbhhBJSHL/2kmFblSN8lOGz/vIjRGTXcGhfIG+fqA8
9T0P4AaN/NGhH32BW/EzL3QrFInEDZ413EWph/iaJ8Wu4Ty6NXrVvfpzURFH5WMI8SrfgbevThT+
qF0i53RPjKYiYwAAJp+5jmGVTc9TVTm3fpLdLgUcsFk4G2xm3OS7fIrfhaImb3bN06D6/FzZC70c
BWmxwLPuOmPB9kMpeDUhiJs5VYq62wK31k/SHjcCPES7KzuejrGydHMdK+qUG68TP8wdpRDuwa/F
8B65QfRo5e14qjtKLE1HXZc2OgBzq+BjO/GBCtySoq6lxHDG4lWVdA+0i4mLpBpxmlGEfsrq2d6p
pSI5NgwWUjINHvdKV3t5s3ysC/lxYKBW0nIN544X9WFxpdhpvsiKJDOjrb3B4rMr0yXe/mvGHdpa
+vengf/5lv49ukC/9PchP9s9G7uex+vZhct2+7s93RIMOjSZjXGIdq//cRrwftETEFBpWCQ0NfJP
JlcCQTb2E008gA4Dbvkfngb+Y9qB69XnOsPXQHmeJlH+x2kAf1KWhLp8IPb9Mze319TxvQ0j3mrP
nZ1b0OCGj3ZtjNtpzlkovdLfl1aV7rglcgcbyIcbXtsdSTo6rEiLfEqlj4FvpgVjWdDL8GrFNLlV
J3Sr9EB91HxoVXoonb4/tk1yk071KYUns4kxx+wigySdtfjfXd61Uz+kR1Hia0haStCmKLfv5x5A
XNSXz8LI7KfaxLw3t+Js9m5Gw3sACjkjeofL7GRiTVSquBqERTe94RNY5bswl/hLk/sX+JK+nyVX
8OSn2nOsOwJuOwDp7x1cr49ukR06G6BanlINRDnpdXEjk9I+zjlzHy+HwJSH0Ro/LwqRDNIJt1vg
kS0AW4qW36MMTEJYisucx6ambJb7sp9ojynM8nOezMFny47jI8Ox+Mjpo9s4XXpw3LbfQXNN7xOR
Lvw1+cFzFkIspik5ARAST13xNAd2jQMzY9giPwJmUach7J5Cujs3QURBCjOA08C9b88kn4as5bs7
G/ulEbwnuXgP7Pxt4k7/I8WCsnUqBi9GPz85CyeKAmT+xrNZz6xKvJv2lD0x97L3TuWHO5p2sKM4
nct1wp0RxaWkeg7upaHm+d0kLvglQGSBndeqz24T47jrzW5nAojjS/Lr+xZz5rXyrM+tJfptsNT5
jHfYwnZo5969kcbvWZpxOOy4TEHebm8T+Hg8NMV7COrzXf8ijWuSqX41ch2T7XkyuuwupEolZfTD
GzK3c/plMbPqrmk9DVKo4qOXNJqpIWtmWnO1WfLUo9sQcsMuH3rx1tA5/Gmoi+lSCUGNmaCMwEPk
OOHVca/SjMRbSGv3yaIP4wWUnXph3GdEm6JJ4H7Txwe+wpuynznOgH1VBcspXNL0JtIauN1MppW4
8pLTAmtm14mYkSxseSJKbTC4J2QZ6bhlW9MIxXdACNOcgB0aaTM9jkTg9qYOa3prbrMgwWnqKOeg
Q531YH+Lc676Fm/yNyVrulB6e9CF3Xa+D43KPhW+ae5lPTSHVC3GvsNWeW3r1j4N1dzg+oxhMZdF
FN1ZXhNf6tFu+enOD3YTsfnVUgPHsvC+Yo5xNTwZfAYpHb8Ag7KQyaJBck+n0CDxUgS0AO2pyKO9
qKcXZHF5oJnR/tCOhnWN4GvvCjdsPtoz33ncUGGQYcN23KnlKJlHJ1wmPj6JZDwEFs+LHN3yU5B2
XwO7r44+zXiPHBiziw/I9CDHrmEPC5ud8rqCfmOdFa9S3to83tf10B8ig7tFFDAlXCrUupr47ifT
SacLejvOytj35MkVdn0PkMqhHb2fDtWowp2ud947DbUU5tJbz5I/+TIkKj9YhpmdrbiN9uA/1H0Z
m95e5CkPgGl0V4tgwGuZ6icZX89nJyjsNyn7+pMaKcxqp2pMNy3w7N1o9/Rb5PZ8UIFFWK/kv1xr
eg+8aTpSGkXhveiss8FO/2nxjO4uK2Z58WUZfJfUQWwDE/S2ESb7vkLGH+ad1Q2f5qr8Dphr3tDY
+GaO4dXJ4lvMWuhG35P5aYJE0Qwq5/3vX20xfsVB6IPDjoHa2ZtsSLCwUVi9d+3qmSODd2WGfLOm
6scy1OPGV0O6W/oqgFNo0i3cGPK7M9b/Hi1E/NcAG+rotx9/a07Vr/1NCrF+CVA52Ol9wZ2cIMzv
pwNEDZBHCB22D4HhV3rR71II5lSCv3gAmBkEaPN/KCHhL/gU+X8DLvjMCSgf/SejAuLFfx0VICEH
ZujhNdLDCYuKh/8YFTD0ziXLoZ85/j7pWwZh6JxX25qoRhiLst5MJfd8yAPmrnOGd2vKgarafnWL
rNI5+7MjDqM/UqxuR7M8LtPifmwSp79VY1+eHcE/+p0/HnPLsKA1ZkzPK5igRyZW+bXHD3WWNF61
G98em7eFil9ybVaHV8wy+pu+lR1sM1bFhpG3eWzqMdl24DiPS8gru8YlbSbCRG4dJov7fqSQfKb3
7FuYe0MBasanoFfVj0A7vzF4uMxDcScSwKPWeEpcsXybmyp7o4EdD+nQkuQP+SKNZZTXpaZsipIj
f5MrbZOcja+dUQaHyhyGfQt5YJkCbq81C/HGB+4kdVvfPskqGleAtezcKryMInwPMNdtxaKoxlsI
5xWueo3E8jK7lOhG6LpVnCmcqMZMH26YItcGzXYRqr1SlvDGDMrkr04mtI2UptexqJmxJv3W7QNu
hHEbHgdHzafSGbOTgXF3W6JQHYZldDesbwAx4tk42LWgI05kj7MSBm0U2SUz8gcaTPci6S8BF8Id
ISG+eYa4REnqkXliNOVvddg0X1MThcj0LeTWsOmSm5nUVKRShBG8uqFd3gFSHXbDXML8rTSesp4I
Iy62rPY0oAPLJG/yo4i67kp5Xg5zH2gHEN/5O4TycE/3TXtKXdPhnjeAYXCg5D7OXfVdQb3Cftw7
WzObSFN2kDK7YAj3aYeBeG7H8Bxj6Dt28eKS6ZYLjsmZvPpWaMgmPqrihXJEhjyp7SRXQxgFm1ha
mU9xxvW0rhxXl9E9G1JWr44l00ulwZ2TkxnujlhFfBKzst9maHq3CsshM4aV92nYoD+NlQJa0G59
X2o0KFrmy0T/OrOLEopGVdz5Asy66uGCpbHEOrh4BOHHsT8WGfLbko6crgYbHW3JlqDfGm3lfMa9
MdibfvTzD0uorENA1QlqUEXuwQa8eO6LqD9J3vxtW3TRS7EEw80clHjW9+Bj483NqUJ6wIHgJeJ9
kvCCtlbHa3o1DCfis82d7Q/dc90E9cWbk+VYhSQpiyrhgSvjVmH0yCLd/xfeIiiv57SY5+OQEql3
GWEcCqOfti7ZrL0aBaZwTrjbsrTfcS813XFqLGyR3IgpiePcRjMFrSrXUIe/kjUHxqmHdl+vGt6r
0CFQnxNfRZYL71SWdgdHZKQ4MCvXjxj1fdw/dVW9plXWA7NaU2ZU+2JzYXbyVae+z7ljgHOPMX24
mzTEPDgVcfzSRwsHxcIDBFLVTnuOuppWY0yp+zGpaKlcGDUWgxE/9NHkH7mU2BfZJWLnub4xbYZs
rl7NTOZnO/EsuRHTnOw7ERUOxJlyxMAYkf/Acvc00/b9VjEVhRGDcVgfFf+XvDNbimO7tvarOHyf
/NmtbE6ET4Srp4pGdJLQTQYIlH3f59P/3yqEDNqSvOXaF4QPN45tBEVlZa4115xjfKO6YZYy3ENo
R9oCeq1YNBb+47m6d+EZ0pCnQp5l7fOGvFwUe7deJI17Y0UcYt0WxUmWFeEOMVlwZaASvSR+Ctwc
w0TQakRsMOZKxBmNXe2DaZU4mTIxXJYOstB5DRcvXPyfOdNLudzPz/TL+zwbfy7dkz/8tG87RyZx
f5zDMYfYnMFNdsbnUz1afo0oCKRtch9GPfB127aAfHy3OT8rGMQRqWi04lHtaXT6UQT+1r4t3Skv
W/z0FPAZQIaC3IRGUPs+as2iXAZsUy1YgL/A7ujnFS7s94EeqLDw/OB9II9amWMEJ7ZufVby8Maq
rFM6zZuU9AUOfCCaTYIiRfJhNMoipkvXtMQEJdlVh6JhQ4zNcJ5mPCcBKm8laJDgBk6/1MtUnYNh
/QROtV3wpHxg/u0vUhk0Xk3OaU826DIWRXDiMspmrSWmIdJ16aryP5hKmi4gXZibyUi6RaqiqA85
qq0EaaYZY3W3XBcNWgOI3p9JIr0Z1VJdjQPEQOEFMDTwY5zlDCrOkOb58wkQ4kLPyndpTRbFPCID
e2WPkbHUoqBFDg+HFeIi/UNVA/k88pegGO42ZF8Ni9Y26WqXST+H8n3nISZfEH02LPqkCFcdxvSr
pHGcOdYSWqwY4VnNPBT+JhA6zzamNSr6epW3aJa9tuAI3hXRPWNCg9T6xOSQAcPqEznXA0wgRVkQ
DCoI8HFt+Oh9RnaN6C5UgwU4F3SwJyvPLgvExOyhubZGjb5oTP1jGboXsFuBkWQPDd3clZ7G71JH
QdfHwXMG37qcKSE5jGVcqzONnEiL91QHxn1cQT2ZDLNeaMLklyWGsjFI6573VkgLJ+J0YGX0GdWM
NqWTAnBXYK4YIS3VHNHIaTtO98R23AfIsTmB6seeisZlKgfBD5Omi+S5mtOtTGb0Vc6jDDBl1ccD
gQ99PYtK5jWi0Kd1aEfqzKvsLZY/KN3ZmM6rJhSzqFOilVU4j1asvY+S9GqaxCOodY1Wg81+PiB8
cEK4wCy0Jx7+zplhoTF17OO26c+QyXRLno9PNGc+Fnrv7sIe9nAUdM3Ma8gURx/D5KtsN6IqivdD
45/b6HHmnmHc92ZwKxrjlnbNZYpqCaw5ASCxabYbRGfFLNE1bFJ2/1FAZqGBEUBJTuNVk44oOXTx
Mbdr9Zh125v5pJpy1ZxVI5p7RlQ0zF2dyXyXqLuQu3ZXtF34kJuGtjJ6zdtMTFBWnQ7QBTaJQjpR
lePfhkDDnI05lNU67KdpdMGG4l72dlqvSiLquV3G4daKaHboQmjzus4M+M1e0G5pXXnjwul056Si
7bWyeKlRusj7COdEQLaHyb6tk2XyzhMga6CZO7Mk7PWzac9OK4zAvpxI45p7SKTwFzfGJYoXeGsJ
3bRdu6ewaXsiG4AaH9loA6eNB94iYLXwPkRtjwcGZ7R2XO3pbsR/9TPFoP4TEv7WEa9N+KiNqSJi
7InCp62H08ow/GUdifbExES+ySRQDuRadAFgEREgyUzKMWuxywgACJ0butrZmKJ1dCWSqpFwKrw3
cKqERFax/ZI3KhsuDZKmXK+iHU3QMZ5rsjHjh+EANpRmTSrbNqotmqWgk1Ptezrxvr/j73s9o2z7
sEb0V45sBZWyKQQNSeyEbBS1smWUyuZRI9tIuWwoRbK1NEbK5//+XRdygzCkcPzne+75mP/xoPzt
5562W5M4ErgOLnZNQzXwSCL+e9pu9SOG4ozUOQsDWMfW/q+ROiHzQF84v1q01k3rpYfTPlJpmSCT
R3wPS+J3m+iSJPxyv93/TbwS3X3m85zMOZG/HKnnVJCiYmExSzc+nVSlwpevuxW9lzyxLrrK9shJ
qMZgHpeRvbLUJvzilkTIKewsrBE6GG1WM/YT5sx12FeAtmyInZ7mndgtVHJWIr+ZFkNvM67SdQ6U
kJyIqNaGzthMjlNfCyQvX1w5FMvkeMzIqoQMHiPdsNEBZg9dM9pqDShPDPuMyZMsSecm7fp14XjZ
iqg1exnJcZ4hB3t5zdVEH14x+GvkDDCLbfOcgprzVUOazE3VlNB+Fae9jxkrElPie3j6mTdCcmWr
dsYovVJ7pSsXXUBjC3yNVX7xSzXfqYU+nsV2HNmzNA28aRkRmJQtI8/FqWdaUG0W4eTg2i7kaNXN
Jlp+RYl2aFa4en7LWdLcCMjvqHblBDcjZ/oCT433vrNcJtGB045MHDDgrSMiWsJt3WUDIR3RtB0i
0koupyhSUEiPldnP25Jdj6R2SinjONcx2LCLFZ6kuI5xvCzTLtSw8ZgxEsUi3uWA8T6X1ojlcaja
/M5XxsnYpB1YyQ9GZxr6aVVYBWcDt7AykO4FSSbFUNpMQDm4R7TWCaxeksqmu8SARKrKeTo0+ulB
i9qkPVXirkBq2qVgiS1iAi8gPcc7RUkyDngB0RZbs9Ai/4PIDT3ZjClpU9bYNtZCoFFDxxXRRXYH
c6TNWye3uY3/oC+dfGGRAvY4Fn13HPWZtjPa3JsrSnNhOHhWOWAU22ly4o82T92xFuGQm4mq1W9b
mi1iVfq9hXUKjyyDZgJcgSb7sNo7b1jyNPoPBEuHCxzH2rZvRS4JHqR5mL3PMabG3r4YA0wb09iF
aFbb4nhgyWZ8L/LHji5FMCdxUT+N28nduE7ev9NqzpbQI6zjrq3seTti4u/jpluOfmMsHfYDFAme
flwwCEcYNdjObWZ0F32onDJDr6LZVNgqqT/xLkCHt4FAIbbTwNCqh39PnEd+PgY9KARoJFGfKOcJ
w2C/V+7wtp411IZramrtPWqSi1yp82yeWvpNAJcPCT0jGBU08XXc0Y8w6vwLuG9/MSlsuN4YB0uh
hN2wGq3p1lEd3LhZ/WD6g36vNM1m/1cpGbN7xnpwM6NRrHp3sOCcFu/lPwia/iJStNs6ZIoTGgn0
PM4UK68M7GOvMqO17WnWtjeyk94X1WVp1zQh2JdXmjOqC6K5L7ogN1AnQLdHnGecFpozzZIkPiNO
6SzRy2CVh91DZrjNmUfVcYz07Izk3QR7Nudcs0EYKaae2XqJNmLnDEkC7z/sdo7Gw89Eh723j507
UaXabVaVDYWIVj9YqQ4oJCg3jLWYiViN/miV07TsMaxfNoXK3DsKvPMcEdwG+vWVJmpvA5XYWbCO
f6jjKbrQrMGgtFbf6153KtSBMGV+gU9KJJ5kYCt5QFaTOfrG+yorbO5yYt35jwZu1EBUzJZBEDMj
g/DmFLXTxghKUKMKHqJMo6ChJ3CrNK63GHQc0oHtPaAe5cZpk7NG5gmYipfswkkbb8jVotTRXfpD
WY/pz1IvElUmeHaqv4o0+2H0LHVmhKFxnZatcpnWbrLQ2xoFrWHfZrXntGuIiHx8wvDHWemVjH7C
VTzE7ierdFE2KQGzizS2mZf4Z1FnvqNOUtaZJ3Q5WS1h6EJfBYkzia03dGTNwesjd/YT2OiVNuGp
qKZgMGeKCuAwrEVNfTMi0zCVi1FLGAKm/QAfvQ+ujRTiiE7C6TbzaighrJAa7lsGBxFnh7nv1h2l
OB99YlZxNvvvr1HIWeEcT+P95zXKP7O79L76wbj/288+D/txDVBUEAHASR53w7dhv3WE2o86BAcD
akEDuNyLvgC1CBI/VXMsTdgEyXzr58MF1bEmw8GCAk2/4bdQE5oty5AXyj+qJGluoCdBvjNDf/27
MiVCmR60lZinUGyh6uwaeK/dAoF4+ciJD5/6qLo3ZdLEW73tlXdTQDyha0QXJNWyqxbWNYQGOQC3
omBuBk7BAR7hS190MRyXqbrxM2iPZVBWW+CVuTUfHLfeNU3bkYDe9uDX8qoL1tj21LNAoTOad8Di
FDx1mN4COz1XGvFFaGNwz9Ewvs1iV50nGJp3UzHax0aiTBsPrtGSlIV6GSZ9SS6ZnG3KKWfB87kM
7E7fFK4dLymPumLWh/x5Q+ao934QufynuPcxjz2akpFrs+Ndg3HWEcxKhG4iabpNBFeXvBP/WJWs
XTvvasTd8HebPYkXSQ/naei8qHn9K1MSexllojKvJMcXGIK7zLNC2xiS8qtyLPhYSfKvLgAdOZIG
rO7BwM4eEhxKXrCvue15OOnGeQwg8iqTTGGYfaQROGRU9mqCOR5g9dDBIGYGF8zUToKJ7Yo9pEyF
edKGpkDzUPCf/Qjds+dAHqRV+tG3wG20QwmOjDMzZsihOulVwnt7yUa29pjkzIeY7AjYyUT/iG0l
ecqRA1lZl4zlitCzuyBr4W1AN1hboH2w7Te9mGnS4KkHTbAA1zrugtwqeiYd+XRqOF4MtUcRTKMd
kH3LxmXUi+fNRnclvHCdx4W+NmzP3GZBEoynPSfzHaJ262Nl++W9NdBFZhTuK5OnzfuCubrWwfds
oyI+JhkrPe4yzafz0dLSpdcaL1AboqEzgqk5d8qpWBEz7KDWwuMmwlwsB7haN2FY5Ys4r3DJVcyc
aPuEnAr7fIG6Xd1odt6ea6Wtwx4bmp2dJNWDTvjodhJ++wA+sM6Yr5fExNHX3RDzrF3CkFXWORPd
SzVP6L3bOC+rwQW6oShgDVLGEeH/gaX1qzZadkd/vrguH35wAHzxk09LK91TFkfsX/RbLVCaKgvo
0xEQvTVHLwC3moQkm7o8nX1tudpHQi7CLl1aR4UCJE+HLAdN8I+/s7QCyofxbmGfFeTaa7/TcjW1
746A8gRKyaXKEF+Vsakcyr48AjZj4WWQIudJpadbfEHTaSV6v8c2jPdEza38hs5Juiv7zwrtSGhu
pMqWtnQp4+9aNKUen7oJw6uZZ1QIIUsnLFb6WEtR4NTcspp2rGq1uGkBG3S4SlDMzMKOzOmZ64cu
YeFuqq3CLCYTmiDbcV1ZsCKWdEJ7jgUhyTAznM7tjnhdGiu2Xl+1vp6jiTKn6NjrnQDkDXatpZ+3
4yafnPQ2N8S0bkAtIo9wFGtRqRxBZ04cF8C0RvvcYLXflSkS1LQaR8RHBVuJ0feLKBCEleSReuUh
yd5hMq4ZOE7+iaVRFCIZTiw8qD5cI1O4q8AJ2TyaXDv2nJ6mccUs9wNyTnthtlA9TAXYzVC47DiF
NGS60poZ7l2aBkKzaZFI82awt3FKQ2dgiaS5KsecM1ErLZ8Cl+qWwVvEODS1zY/KkztUGkW7vWe0
U9I4Ph+klZSdAldptXeY5kPmn2XSdtqX0oEKU3FYB4G9tKU9VdA15gWkabXd+1dbjlS7BCrhFgcs
xTdCq5qzh2y1WtIAq++9sNPeFxv1Bp51Dn3DvSaNsxix8ND6TMK9RRSPXr2qJ1yHaqS1x5quqTvN
RZTlhQhBCGJHaJubNZp9hstwABuYpkP5PqCdvOxEHuFuLXQpYh8BrI36mddQRocetwXW4k2m0i2O
0ed17ZSCLymsddhifR+SzNmZ5MmcWcJM6McXtnJMn306R7J+Y5fRiZjKdAYnztohE5vmZZNqSzX0
It7qFLZz8lbXYGko2zX3HXoelZvTIS2iaINNziT0nGmDCdkweK8HQbQOavOiJEZ4U3tdMRcC6Hea
Zp+0Ggi9EhAVJPpm4+VqcZf4PbJ0vYWfl3nBfeCAdVWjcgXDlon9VRvV1lVYeFvAsBwbCWhf8D7j
JUU3HobEIzqx6UztslRAZbXtZFyCeu3WIBesywxLzjuj8N0TmtVBgQ84CU6STgTvzS5Dl99aHRbq
oRGngxajRhqjR48QoWah2+F15dY6sGjVBFsU0TioMVMN/STmlQ1jhiwhrPj16C0cC5yh2XfiVHdL
YrGJ1FgKKz3VfXLhON0U86E21WWbBPo7vY/HjaFCWYcF56fFLnQ7cCWM+YxjPWImAokxfFRSFzyA
XRpXZjPqH1OztD8TBuleZ009zoZpNGFmjp+A+xy3ZoE2vCAx2jbr4Qy8IBm6blc6two4sbWPgplz
1tTNHWEu/aDecKz7pNYcaoPh3s7rpe0iZFTJXvhUV8W44llbsB/eNAqMzN57MOARa9wDEJ2oH2fA
yjB55EO8GFvjXQUddTba+Ucy1QhdrZt0SVhFQru+quddNRnvWi37oiGnXE4EVhDQoUjzfbel6tp1
3pifVE3vLFqTyGlqvTxu8u1gqA5DZuMdnLetGQaPRSp0JM2MepMa0GDa1/E71+HYQ2vhrI4bmumx
kWyq0NnBLsiWMB2vxsY7LuJmrdbJ+4Q089BNOfOi2K9dhu+qVpmULtWtCIwCSLljwHLCkkbCuBpN
K/JkL5hwgBUnFk6bxnmvZtk8CKQ43bEvJVRzYZcc4rQEe2tJr8CEajY1FKKKVc9dddBAKrorouSv
7ezGHpqr2K0FzK6xwovgXLWAz9ukXwmznLZWNr2jylkNAuA7duM29m8wdXLa9njUpy4XCzF0rqST
hWtwSf4HPRUzShv7QbEhHrmgKBeZCgcoLkzMyFG+rPzO/qRYFD9DH3zqnGoQIJWGnLmaM9A5sXsf
udzYLONBIw+psz1UGKV56seJTF10AHdpjrliWBfewaImJ73OOFbmVbL0etdcFcJz2A3cbBEpgXNm
92AQGcOh2vW1CcqdDn+yEMEqaUkVHG06X2j5xUkJK2I5OAHPeTRdpV66ijl8z1PyRc68BC6HYVbL
kk6RnhIq1rVOs/ATL1hWnCzWGvQcjBHdNqtGxk5ZP65pITgLGAr6paFArvDoshazqo3dOfY9YrHK
Xr0bw7G/9FtH1LPeVj1lXo/dZDCU69RjUbuhTZ3tufM84GE785EZ3Cqe6wKYtJRPYeICYjWd7Dwy
24WCb3TeVqO5LUs3XI+KVq3/+0/WX4s4KXn/efn3z4c7hBk/OFu/+OmnEhAEAPQlZuuGzmkZAvRz
BShpjUjhmbgbjM8dXVLYn7Vykg0AaAAIvMMZmvH6twrQPjJgW+hI6JDfc2rn3P0bIEfqvO9O18B8
0Nwx/HdMR6VA/Q7kCLWOJTI11sYUxch4g5Hs0LpUt0Y0OFeOZvcbZZomhF+OubObwHusFNs5y1qt
uCjpL8MI46i8zNKh+5iLvtvl7LNnauXh+oqj0FqNnW1CSG+LKxS13bKx6hitmpYgRKk6e+GLMr0m
94XUi6xUPtE37OIFHPmRjA21dUkkNFUeqmzEe1Rq3nnlM5XwmzE5n7SgV9eD04lPYHPUy1YdFHtR
ijAxvnhTkmJHt5OK444WFbOyVoYtxnL9cmp8ZuZpmLPZgiFh9mYOx7Vm1/SYQv8YUVC+ZH1ALgeY
kpM8eT73rlpUjyM4lo+os52bulVAsbE+5emypgpd2FMWn+lC9cMlw2MHOV9YnzgTHYkUUu44ywy7
/2IyXt81zI8BTOPof+RA6D/2iL55wHGgf4ZzdZyrQ/gFUO3wAHiMSToBiZvRpP8ukta4Z9jSz/rA
DzhZD9BzqLS9CNgDhLSV2TnaGUi9Yuv4I46/3NDOzDjFaj7a+gaognalYoTCyE0Z7S2qDLa0mqvj
LaI/HZOiMQRCjvnTM7dVvJumm6JLBlFLnHV9OdfpztDiNkrQwBSeMwdV98y2lDhd9VbJq1tVf8xE
1oQb5/gnes1NsrDNPK44gprDmsztgiFsFxVr+rf++7Iv4jM27OBqTOp+WQEyZyxU5+XSHVJUc61l
Kx/iTFGwak/dbWvX7oNAsnCr47kI50zngZSVJpSmwk70tRkjtp6KSmOUkmWc9CPGwaB9zfbaVKtw
gCsQIyTvXHGhuC37Y5tM1WyocJYsIGxWt66ROEuMiqAD8pjWaMn6v4iVpLt1XE+5YlGFkZGTAfnJ
TSptZk2mewXeGJty7zADngVdds0kL1HZQqr2KhkKAuBHW+luFdXOb7VJhCeJiZ/AJcKrm7V9XgJB
1If3bl1YG0uU/QlGC2gQ1Rjp5L4P/ac+z8p5BwLtxPLNni3V6E/Q0ynLIe9OQt7GriwYEpA6OyUg
gMqaRmnG29GKeG0MevlgRZQfhjXcIZ0noF2zzzLO9+dQB5Hg0xgGS4lr3r9TlLB8GMiuMQCZTzjt
JxjcaErwkxGilrerQcnRhxZSEwed3D6WCU0L4rfKjNSHsCYT3VcZvNlKoF5a4yTyk7CrlE3peuUK
iJ3lfeaUpWhzj/H5TiWoGFd9pQzTad/XYbLVaO5ddZB04vMGZRiZu0AkLzhEgm1X064+VbShuLab
loDhaPSMlVlzLGzMPn0/ldq7pm5Llq1AnFUQ5AwIVHTnF17gTsnxqPXM59oJE+Ncork7xJSjXc30
rjfYUEWzSs1uULZmnvv23AjcknRGKdRNRazdih647Nwo7Ma5GKQCV9h8wJWRo0xDLWoNS1cKeLW9
ljeUsl6PApw5k0il4pf5lFfOdKeJoKXyZvITLcCV0w4TkldKw3o9IeajWPbBK07IQ0F0iPQLg67u
PgRM9UUZ1LbaEqueOWexaSmLHOgQo0cfFdHMDoxuOmG8XPnLguUVjZEm4bJtY1TLFiiusq6Y+R4b
LL/iWskaH+io0UCQ9OglEdoT1UR44SVicbXjyZyVbgTlsAEPxi7Qw3iEXhjZ6rthlMtqpoZcNAj8
Xv658VR/Z3IeWhAb2n0YOAtrZyxCylnKPXxSGkJzFqbPGg6ZM9IuOUIVO9spxWlXJ9EyrMziZGiU
EqcWyOAVM1SbyFL8BN48NtDUzgBMgZQYVXFrhCkRRZ5f4CEgGYjjJyF3H8zK0T5BzfVWSeTkD1oN
QoFbqne8OWN9HMNWCN4yTQpkPard+ndQpcQC/e/wScsNTBE8nVde5HnzVG0KMK428beV58CvMdRq
h4vFWLSOP3z4P1MLScb0z2uh3eP9/c/lh/Jnn5thiPHpPTCVcvHtmd8qIQPTgGVQCOkoHwTdKMqd
50rIOALlpyEuFA7ZiaQ6fquE8BoghtDknFsQoaGav1cJmd/1wpBDYBXgz2KYQVn1BzlEWdhC+Iz5
vDI2m3WDLKiYh6WSfe7qXlwLsui5YTRwtq0kw6oVWOG5sQfGkrswnBfKYGyTBp5s2ku0rLXHzGoD
qe+nlodycI2DChRtIKm0Nhr6EMu5hNUOqNlDsnG16mLqHOOxw+2yHVQFvm0gUbdlGoYb9EQGrnpA
uGrct9ihhXHjS0yuqg0upu3hPZ4/Ol8jSWZm7GLNLkxyeEoXyG4DOeezF3T2qiXua+0zePRnugTz
antGr7Hn9doS3YsrOYoZPggqDQsYMAccIhHwD5TDOQYlkL/taLrH6WTpAHu9bukXkgkc7vnAw54V
7HHYOtb2BGEztRmfsIxNZ94eLxzgYWaAXCqIJCk+qquWqE7njA0vuEN6lJ4bklWMO19/76IaQ5Ym
UcYEA1knmfCtE1eSjvUUdz2JHvCPJZPq1ATZcmcmJnwVyUkmALOGDb3HJ+uZpDwFJi2SuYgbjjd0
82KiC+Aua3sEc9iW4wkTVP06rrVw0+0Zzfw99SdvT25GAFtYMzOOgxu9kljngs8d3lwgJnOh4cFe
j6qGiNo0EadIB4V1QUFdMlap9DHBD55NBgKDPm9O2rSYTkKJlrbtNPg4qmpNdDupzjGCwnK8I0g7
opPWMDPJR409dyB+jUZcafoOWJ/B3yhRVrATh+0H5IFDDiDCF/FVkLo501h/MtP54PYNAGl/ipjz
0maVSpbYXHgGhH/XKfLbvh7teubScbIWYclMbF7bBUJAI9NuxsGuTRmQml7beulIkhMiRNfOKsTn
CUJ8Ju7FTm5QKzNve3haVVrfEFxGSUPq0TQHXeV+Maa6PdUxLZxX04AmvtP0AUB7NIh6qaWj9W4M
+WwQfSjFiqQjY2MWI9jfzFBXhZnrn/zOCJal7423Q24xJFLS8ZgDrdiZduNt6dVy5BCldg7sV+1m
1EvmFzrFSEprkqN0FKjXcHCjGiUHR5DWH5x5x/JyBldkvLcrTCpRMXqfy9LJ7gAoebsc/foHq+hO
EAtkm4ExNuMXO8kfQTMr5yaQG/gVVAjKDAZEfSmxid0celY8buOqjj6auWWuW4A9PgVui3Qj76zj
0TK18pjJoKcvJqNCIWwXoAmREvpLywJANpvGRAlXfkJ+3AxTQxJxRtHaB+qE4bNlJhgA6NNO52aS
Gw+isrStVpjmlRsKOW8PRnNDbSMQN8NXXowASMeZXU/Wkl5ZVLNlBoPEFQAnscsg5vpRpEbw3DQ2
Vy+k/oBzjhl6CsD6kp4DYV8FbX0+xJF1kieYQsBLJ4G1GuAHvE98tzj3Jy/+mGp28lEFbVLPhqQp
P7LVB+txHO11IUKH8FgjOzWwLGyo71T9BMaEwhA18Q0xU5UYymUPOlXmS9jxpi9Va6bXxniaTjaR
7oZea49g2KxLrwu0cgFMLLLmJPwZ+Z3dT+oHKyd4HWFmVF67aq+j+hD6dNP3hsmjgmM5mMkkLIo3
O25xSwOBmU6HSKT4dnvFx1/s2/h6zDKdFmhWp/Azp4Q6pPHqG+ZDOzRtsvXjbozf2UqLTLpqLRbL
rC4BJ3vFCLxDJSvJ3iRk/zAKUCciMpJoykmRTwe129F4C/15rU56uPZLO0oYYIRiuHE66FgUhaLH
VxF0AQGBOn2dC+xLyRZta7kdpAF0DVAtYniqBma2qrXsg6dSUy7zPZg7j4exWuqFYavLmIxwyhts
XeKzChn+PoZEOmf6apyVXQTpu91Tv5ktaFtajDK9eM8FLzOtAm6654W3vjy1JLXvuHOOHdq7aE8X
j9FRscKR8S1AjgEgJ8KYfBDax6BDJqFF51qNiIlP1CHU2OkG1DSdqze7Ohnqixw0i7Op9pzzrJzw
VFGCaVu6fZDQ2z0VXe0BpBeFyPBbsaExdSkkQx3iV/6G5o7/7/PwP/5jvrhr7pZZE+I0bx+r8fKx
btnen5sx8rvv8jBrrvP/7B/9+hf97XH/ytdj8fiPv3/O26yRf4GPi4hqa/8tiU3S7O8Lt/2ftP97
f/UbEojeTfvAr3aBXtKgQs3M/8gvfmGSZ/7Xb9tHlHOoRpznbz/NTF9coZ9dg1+/vaeL+et/8+oN
3D3Q5FmEdVOFn5tXlwD1NqAr43s1708uxHe/518XAvEtflIML7Irt/96dSEkPsvCDQue5emL4paK
+Q1dCGnUYcb7XSH/u5dBkOxrM5oW/KIX94Ej4+1Mm0bn17f/dN+9obf/PJo//ALQcpWCJK7n/otj
xIsLYR3hW8J0zD95+nqzD8T37e3fvRPcIzraT3fUi/ePJ0wQa+rYz48JR7m39hw4wlU5Rr460P7u
u+fwScsexryGZOLF+7dxxhsGvhn16+3x9EJv70HQuW8PugIuKx6tG/r+X+/01xeCjcOBRwwu8K3d
AF9XAokxPOgCEFyAb4LhzR6AKD/uV3eCzOmyJRT6+dtPF/zt3Ql/yEX9D54FtlgGWEyQ9l8sLS8e
CR4VGjtk20nl5ltbCxBZSX7EQTeCpuPZodkvmZQv37dxxFyf4knSsvZfb+3tP++Jhy4F5hGIT2Ip
aMM9fbHov7gQlvz8JUZMlpLy663uifqhxYHEvVvYANxv1cGrC0FAisZTQDn99To9vd7bWxIgsBz2
SACGRcFIOvLzHfF6c2BJsAGyGYb9tVx+Kkbe4IV4Kl/+deD73bUR8B3VIPf/052/v/dfPRqM8U3K
pefvv7kl8nm3PPjRIAEbvLCDxf/p6/ViaR9ZZCu8KKvfXN34fCGePqH//I4AwiCjkKyXFeKLO8I5
QgqMxoxL8fT1VssG/dD6iW1TZZ1k6sN+8OIKWEdon8nnxlb2bTd5W2XD861w6OKAAoiseIckhdel
I6dpgwaxIVPh919vroa2n8xCB+8SDvFh0ib09X2+rhvMIyzTFJWM/74tGW/yRpCTzIMqSJvtEKv4
/mnYv9XXT4Q4ouXg7PVjb/tC/EEz97vbJSg4bgbOCl9vCKmWe7E0sGQYDlI151sF9UZLasmcO/SO
QAHIHsBU/Ad3BMY87BrE/LzZCvLQBgsmGNlaMPcEhf3d8OpOMI9wJaIWIBDg6eutXghpqTnoThAS
2oT+Adzy09frUprrhExNRcT59dtvbq943i0PPWXKh18XOiqN11dArhkqilj9+azxViumP8A3f3d1
3DcdaSzv0y9eLovaET5xPLpSQvy2dshvSJSDngGKYo2NQah8tC/eNy02Cy8YUPG39ra/3vPmoQ8/
PUb54LsMdn/88JsUyrQcnvfLt3rri0N7bCaCeBZ7w3pRC764E2i7m5qugzX8uh28uQshD/h/9Ov/
7gpg8SDg1JXF4rdt78VlsI4kP5dL8danT3/w1v7+hWACx8f9rbf6+uggjvawAM18Hk682RXi0DOk
9IOQ3MQc5od3BMHLTGUdsprf6BL5B2np794JHKLlvFXYxCTsv143lkxEokicv90n7tMFf4OtxkOP
DHIMoTN7RKHwowvBdaKpJNhK3uqdcOiRQRwJRrvSz/7DRwEFB14nxtN//v3/ibvkm+BnHoTJw17q
Ez7WP1IE/ewfPKtc/vj975Q8r/6hVP48vfa/lED/+0q9shefvPjmsxhl/zpff/zrG/zjS796red3
9fx/bsLH6q4Cx7//xvj1zzy7SxEM/Rsw3gvV0qs/dv+ZPDVVf/nbSXz8IXdPLnLPsp8nUdR/8ut3
/d2PeDnful3/upr/+Pt/9PvvHtrsB6ZBXuBJk3DoC8zBEtR/uwy7x+pHl+mrAujQV4E3kv2AfiEV
Rvtp6qG//0+Aiw68jz7dpV9++FF/Ldxlc/vQd3Gb3z8+/5a9GO9JiSa73Yf+6mv+9vsf3EfPfz3j
u0Nf4goSY/ODD/n5Jei3HPoS+9u0/uN9+vwSbFSHvsQ7BHyPd+3PX+MvWDT+fcDmgTfrefYL1owU
Nh56lc5C/0frxdfPQYZrHfwKdzW37C/80rKnc+iLnNz5+c9vJ6n3OfQVdrn/C6PTX/Bg/wkr1YE3
0w68QfijPej50/4LHuzd3Y+2h+cX+Ase623o//Jm+gue6uP054ufNNEfeiv9iaydAz/p1eMDZVry
t/ldETb87/VjVYVNXo3Pf/yLTUki/w59R8us9X++0spW2MGvEIfNz58/OYU7+BV+sdLKnsXBv/9P
RDUc+LEvHpPm56WB+Rc83rPHrP1FTNRf8HzP7sbHpP7Fu/gLHvDZXfs5+MXd9Bc84/+M2fGO7/P0
p/WH7Iseek/9KRTJgTfVv48N/eUL/OiY+c0c8cfD57P740c/9vpkLf/F5+Txrvrf/w8AAP//</cx:binary>
              </cx:geoCache>
            </cx:geography>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4.xml"/><Relationship Id="rId12" Type="http://schemas.openxmlformats.org/officeDocument/2006/relationships/image" Target="../media/image5.png"/><Relationship Id="rId2" Type="http://schemas.microsoft.com/office/2007/relationships/hdphoto" Target="../media/hdphoto1.wdp"/><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image" Target="../media/image4.png"/><Relationship Id="rId5" Type="http://schemas.openxmlformats.org/officeDocument/2006/relationships/chart" Target="../charts/chart3.xml"/><Relationship Id="rId15" Type="http://schemas.openxmlformats.org/officeDocument/2006/relationships/chart" Target="../charts/chart7.xml"/><Relationship Id="rId10" Type="http://schemas.openxmlformats.org/officeDocument/2006/relationships/image" Target="../media/image3.png"/><Relationship Id="rId4" Type="http://schemas.openxmlformats.org/officeDocument/2006/relationships/chart" Target="../charts/chart2.xml"/><Relationship Id="rId9" Type="http://schemas.openxmlformats.org/officeDocument/2006/relationships/image" Target="../media/image2.png"/><Relationship Id="rId14"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5.png"/><Relationship Id="rId3" Type="http://schemas.openxmlformats.org/officeDocument/2006/relationships/chart" Target="../charts/chart8.xml"/><Relationship Id="rId7" Type="http://schemas.openxmlformats.org/officeDocument/2006/relationships/chart" Target="../charts/chart11.xml"/><Relationship Id="rId12" Type="http://schemas.openxmlformats.org/officeDocument/2006/relationships/image" Target="../media/image4.png"/><Relationship Id="rId2" Type="http://schemas.microsoft.com/office/2007/relationships/hdphoto" Target="../media/hdphoto1.wdp"/><Relationship Id="rId1" Type="http://schemas.openxmlformats.org/officeDocument/2006/relationships/image" Target="../media/image1.png"/><Relationship Id="rId6" Type="http://schemas.microsoft.com/office/2014/relationships/chartEx" Target="../charts/chartEx2.xml"/><Relationship Id="rId11" Type="http://schemas.openxmlformats.org/officeDocument/2006/relationships/image" Target="../media/image3.png"/><Relationship Id="rId5" Type="http://schemas.openxmlformats.org/officeDocument/2006/relationships/chart" Target="../charts/chart10.xml"/><Relationship Id="rId15" Type="http://schemas.openxmlformats.org/officeDocument/2006/relationships/image" Target="../media/image6.png"/><Relationship Id="rId10" Type="http://schemas.openxmlformats.org/officeDocument/2006/relationships/image" Target="../media/image2.png"/><Relationship Id="rId4" Type="http://schemas.openxmlformats.org/officeDocument/2006/relationships/chart" Target="../charts/chart9.xml"/><Relationship Id="rId9" Type="http://schemas.openxmlformats.org/officeDocument/2006/relationships/chart" Target="../charts/chart13.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image" Target="../media/image5.png"/><Relationship Id="rId3" Type="http://schemas.openxmlformats.org/officeDocument/2006/relationships/chart" Target="../charts/chart15.xml"/><Relationship Id="rId7" Type="http://schemas.openxmlformats.org/officeDocument/2006/relationships/chart" Target="../charts/chart18.xml"/><Relationship Id="rId12" Type="http://schemas.openxmlformats.org/officeDocument/2006/relationships/image" Target="../media/image4.png"/><Relationship Id="rId2" Type="http://schemas.microsoft.com/office/2007/relationships/hdphoto" Target="../media/hdphoto1.wdp"/><Relationship Id="rId1" Type="http://schemas.openxmlformats.org/officeDocument/2006/relationships/image" Target="../media/image1.png"/><Relationship Id="rId6" Type="http://schemas.microsoft.com/office/2014/relationships/chartEx" Target="../charts/chartEx3.xml"/><Relationship Id="rId11" Type="http://schemas.openxmlformats.org/officeDocument/2006/relationships/image" Target="../media/image3.png"/><Relationship Id="rId5" Type="http://schemas.openxmlformats.org/officeDocument/2006/relationships/chart" Target="../charts/chart17.xml"/><Relationship Id="rId15" Type="http://schemas.openxmlformats.org/officeDocument/2006/relationships/image" Target="../media/image6.png"/><Relationship Id="rId10" Type="http://schemas.openxmlformats.org/officeDocument/2006/relationships/image" Target="../media/image2.png"/><Relationship Id="rId4" Type="http://schemas.openxmlformats.org/officeDocument/2006/relationships/chart" Target="../charts/chart16.xml"/><Relationship Id="rId9" Type="http://schemas.openxmlformats.org/officeDocument/2006/relationships/chart" Target="../charts/chart20.xml"/><Relationship Id="rId14"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0</xdr:colOff>
      <xdr:row>77</xdr:row>
      <xdr:rowOff>0</xdr:rowOff>
    </xdr:to>
    <xdr:sp macro="" textlink="">
      <xdr:nvSpPr>
        <xdr:cNvPr id="2" name="Rectangle: Rounded Corners 1">
          <a:extLst>
            <a:ext uri="{FF2B5EF4-FFF2-40B4-BE49-F238E27FC236}">
              <a16:creationId xmlns:a16="http://schemas.microsoft.com/office/drawing/2014/main" id="{164DF341-4068-44F6-94E8-141740C5E801}"/>
            </a:ext>
          </a:extLst>
        </xdr:cNvPr>
        <xdr:cNvSpPr/>
      </xdr:nvSpPr>
      <xdr:spPr>
        <a:xfrm>
          <a:off x="0" y="0"/>
          <a:ext cx="21320125" cy="14668500"/>
        </a:xfrm>
        <a:prstGeom prst="roundRect">
          <a:avLst>
            <a:gd name="adj" fmla="val 2790"/>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7</xdr:row>
      <xdr:rowOff>-1</xdr:rowOff>
    </xdr:from>
    <xdr:to>
      <xdr:col>33</xdr:col>
      <xdr:colOff>1139190</xdr:colOff>
      <xdr:row>70</xdr:row>
      <xdr:rowOff>123443</xdr:rowOff>
    </xdr:to>
    <xdr:sp macro="" textlink="">
      <xdr:nvSpPr>
        <xdr:cNvPr id="3" name="Rectangle: Rounded Corners 2">
          <a:extLst>
            <a:ext uri="{FF2B5EF4-FFF2-40B4-BE49-F238E27FC236}">
              <a16:creationId xmlns:a16="http://schemas.microsoft.com/office/drawing/2014/main" id="{CB344F8B-EAA2-4F0A-8F8A-6AB6AD866433}"/>
            </a:ext>
          </a:extLst>
        </xdr:cNvPr>
        <xdr:cNvSpPr/>
      </xdr:nvSpPr>
      <xdr:spPr>
        <a:xfrm>
          <a:off x="412750" y="1333499"/>
          <a:ext cx="20443190" cy="12124944"/>
        </a:xfrm>
        <a:prstGeom prst="roundRect">
          <a:avLst>
            <a:gd name="adj" fmla="val 1761"/>
          </a:avLst>
        </a:prstGeom>
        <a:solidFill>
          <a:schemeClr val="tx1"/>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7</xdr:row>
      <xdr:rowOff>110067</xdr:rowOff>
    </xdr:from>
    <xdr:to>
      <xdr:col>11</xdr:col>
      <xdr:colOff>465667</xdr:colOff>
      <xdr:row>14</xdr:row>
      <xdr:rowOff>42333</xdr:rowOff>
    </xdr:to>
    <xdr:sp macro="" textlink="">
      <xdr:nvSpPr>
        <xdr:cNvPr id="4" name="Rectangle: Rounded Corners 3">
          <a:extLst>
            <a:ext uri="{FF2B5EF4-FFF2-40B4-BE49-F238E27FC236}">
              <a16:creationId xmlns:a16="http://schemas.microsoft.com/office/drawing/2014/main" id="{CF127C6C-3B06-495D-A3D2-F9A5DB807450}"/>
            </a:ext>
          </a:extLst>
        </xdr:cNvPr>
        <xdr:cNvSpPr/>
      </xdr:nvSpPr>
      <xdr:spPr>
        <a:xfrm>
          <a:off x="4076700" y="1399117"/>
          <a:ext cx="2904067" cy="1221316"/>
        </a:xfrm>
        <a:prstGeom prst="roundRect">
          <a:avLst>
            <a:gd name="adj" fmla="val 9910"/>
          </a:avLst>
        </a:prstGeom>
        <a:solidFill>
          <a:schemeClr val="bg2">
            <a:lumMod val="25000"/>
          </a:schemeClr>
        </a:solidFill>
        <a:ln>
          <a:noFill/>
        </a:ln>
        <a:effectLst>
          <a:glow rad="101600">
            <a:srgbClr val="FFC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116418</xdr:colOff>
      <xdr:row>2</xdr:row>
      <xdr:rowOff>52917</xdr:rowOff>
    </xdr:from>
    <xdr:to>
      <xdr:col>33</xdr:col>
      <xdr:colOff>1110382</xdr:colOff>
      <xdr:row>6</xdr:row>
      <xdr:rowOff>84666</xdr:rowOff>
    </xdr:to>
    <xdr:sp macro="" textlink="">
      <xdr:nvSpPr>
        <xdr:cNvPr id="5" name="TextBox 4">
          <a:extLst>
            <a:ext uri="{FF2B5EF4-FFF2-40B4-BE49-F238E27FC236}">
              <a16:creationId xmlns:a16="http://schemas.microsoft.com/office/drawing/2014/main" id="{4396555A-0BAC-4028-8E32-BC85FEA542DE}"/>
            </a:ext>
          </a:extLst>
        </xdr:cNvPr>
        <xdr:cNvSpPr txBox="1"/>
      </xdr:nvSpPr>
      <xdr:spPr>
        <a:xfrm>
          <a:off x="529168" y="433917"/>
          <a:ext cx="20297964" cy="793749"/>
        </a:xfrm>
        <a:prstGeom prst="roundRect">
          <a:avLst/>
        </a:prstGeom>
        <a:solidFill>
          <a:srgbClr val="FFC000"/>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b="1" baseline="0"/>
            <a:t>		 	CUSTOMER CHURN ANALYTICS DASHBOARD</a:t>
          </a:r>
          <a:endParaRPr lang="en-US" sz="3600" b="1"/>
        </a:p>
      </xdr:txBody>
    </xdr:sp>
    <xdr:clientData/>
  </xdr:twoCellAnchor>
  <xdr:twoCellAnchor>
    <xdr:from>
      <xdr:col>12</xdr:col>
      <xdr:colOff>541294</xdr:colOff>
      <xdr:row>7</xdr:row>
      <xdr:rowOff>110067</xdr:rowOff>
    </xdr:from>
    <xdr:to>
      <xdr:col>17</xdr:col>
      <xdr:colOff>311001</xdr:colOff>
      <xdr:row>14</xdr:row>
      <xdr:rowOff>42333</xdr:rowOff>
    </xdr:to>
    <xdr:sp macro="" textlink="">
      <xdr:nvSpPr>
        <xdr:cNvPr id="6" name="Rectangle: Rounded Corners 5">
          <a:extLst>
            <a:ext uri="{FF2B5EF4-FFF2-40B4-BE49-F238E27FC236}">
              <a16:creationId xmlns:a16="http://schemas.microsoft.com/office/drawing/2014/main" id="{D635361D-2D62-4FCF-BA24-EAB87432C26F}"/>
            </a:ext>
          </a:extLst>
        </xdr:cNvPr>
        <xdr:cNvSpPr/>
      </xdr:nvSpPr>
      <xdr:spPr>
        <a:xfrm>
          <a:off x="7665994" y="1399117"/>
          <a:ext cx="2817707" cy="1221316"/>
        </a:xfrm>
        <a:prstGeom prst="roundRect">
          <a:avLst>
            <a:gd name="adj" fmla="val 9910"/>
          </a:avLst>
        </a:prstGeom>
        <a:solidFill>
          <a:schemeClr val="bg2">
            <a:lumMod val="25000"/>
          </a:schemeClr>
        </a:solidFill>
        <a:ln>
          <a:noFill/>
        </a:ln>
        <a:effectLst>
          <a:glow rad="101600">
            <a:srgbClr val="FFC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345982</xdr:colOff>
      <xdr:row>7</xdr:row>
      <xdr:rowOff>110067</xdr:rowOff>
    </xdr:from>
    <xdr:to>
      <xdr:col>23</xdr:col>
      <xdr:colOff>111455</xdr:colOff>
      <xdr:row>14</xdr:row>
      <xdr:rowOff>42333</xdr:rowOff>
    </xdr:to>
    <xdr:sp macro="" textlink="">
      <xdr:nvSpPr>
        <xdr:cNvPr id="7" name="Rectangle: Rounded Corners 6">
          <a:extLst>
            <a:ext uri="{FF2B5EF4-FFF2-40B4-BE49-F238E27FC236}">
              <a16:creationId xmlns:a16="http://schemas.microsoft.com/office/drawing/2014/main" id="{EBA3DE6E-9F29-4E9D-9733-A629F6B6369B}"/>
            </a:ext>
          </a:extLst>
        </xdr:cNvPr>
        <xdr:cNvSpPr/>
      </xdr:nvSpPr>
      <xdr:spPr>
        <a:xfrm>
          <a:off x="11128282" y="1399117"/>
          <a:ext cx="2813473" cy="1221316"/>
        </a:xfrm>
        <a:prstGeom prst="roundRect">
          <a:avLst>
            <a:gd name="adj" fmla="val 9910"/>
          </a:avLst>
        </a:prstGeom>
        <a:solidFill>
          <a:schemeClr val="bg2">
            <a:lumMod val="25000"/>
          </a:schemeClr>
        </a:solidFill>
        <a:ln>
          <a:noFill/>
        </a:ln>
        <a:effectLst>
          <a:glow rad="101600">
            <a:srgbClr val="FFC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146436</xdr:colOff>
      <xdr:row>7</xdr:row>
      <xdr:rowOff>110067</xdr:rowOff>
    </xdr:from>
    <xdr:to>
      <xdr:col>28</xdr:col>
      <xdr:colOff>515159</xdr:colOff>
      <xdr:row>14</xdr:row>
      <xdr:rowOff>42333</xdr:rowOff>
    </xdr:to>
    <xdr:sp macro="" textlink="">
      <xdr:nvSpPr>
        <xdr:cNvPr id="8" name="Rectangle: Rounded Corners 7">
          <a:extLst>
            <a:ext uri="{FF2B5EF4-FFF2-40B4-BE49-F238E27FC236}">
              <a16:creationId xmlns:a16="http://schemas.microsoft.com/office/drawing/2014/main" id="{0296FB1C-73A1-4E8A-9914-1A912866400F}"/>
            </a:ext>
          </a:extLst>
        </xdr:cNvPr>
        <xdr:cNvSpPr/>
      </xdr:nvSpPr>
      <xdr:spPr>
        <a:xfrm>
          <a:off x="14586336" y="1399117"/>
          <a:ext cx="2807123" cy="1221316"/>
        </a:xfrm>
        <a:prstGeom prst="roundRect">
          <a:avLst>
            <a:gd name="adj" fmla="val 9910"/>
          </a:avLst>
        </a:prstGeom>
        <a:solidFill>
          <a:schemeClr val="bg2">
            <a:lumMod val="25000"/>
          </a:schemeClr>
        </a:solidFill>
        <a:ln>
          <a:noFill/>
        </a:ln>
        <a:effectLst>
          <a:glow rad="101600">
            <a:srgbClr val="FFC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0</xdr:colOff>
      <xdr:row>2</xdr:row>
      <xdr:rowOff>52915</xdr:rowOff>
    </xdr:from>
    <xdr:to>
      <xdr:col>5</xdr:col>
      <xdr:colOff>338664</xdr:colOff>
      <xdr:row>6</xdr:row>
      <xdr:rowOff>95249</xdr:rowOff>
    </xdr:to>
    <xdr:pic>
      <xdr:nvPicPr>
        <xdr:cNvPr id="9" name="Picture 8">
          <a:extLst>
            <a:ext uri="{FF2B5EF4-FFF2-40B4-BE49-F238E27FC236}">
              <a16:creationId xmlns:a16="http://schemas.microsoft.com/office/drawing/2014/main" id="{CF97EE89-2A0F-4F6F-8959-2CAE44AB4C81}"/>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rightnessContrast contrast="-20000"/>
                  </a14:imgEffect>
                </a14:imgLayer>
              </a14:imgProps>
            </a:ext>
            <a:ext uri="{28A0092B-C50C-407E-A947-70E740481C1C}">
              <a14:useLocalDpi xmlns:a14="http://schemas.microsoft.com/office/drawing/2010/main" val="0"/>
            </a:ext>
          </a:extLst>
        </a:blip>
        <a:srcRect l="9183" t="19388" r="9183" b="18367"/>
        <a:stretch/>
      </xdr:blipFill>
      <xdr:spPr>
        <a:xfrm>
          <a:off x="1638300" y="421215"/>
          <a:ext cx="1557864" cy="778934"/>
        </a:xfrm>
        <a:prstGeom prst="rect">
          <a:avLst/>
        </a:prstGeom>
      </xdr:spPr>
    </xdr:pic>
    <xdr:clientData/>
  </xdr:twoCellAnchor>
  <xdr:twoCellAnchor>
    <xdr:from>
      <xdr:col>1</xdr:col>
      <xdr:colOff>116418</xdr:colOff>
      <xdr:row>7</xdr:row>
      <xdr:rowOff>110067</xdr:rowOff>
    </xdr:from>
    <xdr:to>
      <xdr:col>6</xdr:col>
      <xdr:colOff>370417</xdr:colOff>
      <xdr:row>70</xdr:row>
      <xdr:rowOff>4525</xdr:rowOff>
    </xdr:to>
    <xdr:sp macro="" textlink="">
      <xdr:nvSpPr>
        <xdr:cNvPr id="10" name="Rectangle: Rounded Corners 9">
          <a:extLst>
            <a:ext uri="{FF2B5EF4-FFF2-40B4-BE49-F238E27FC236}">
              <a16:creationId xmlns:a16="http://schemas.microsoft.com/office/drawing/2014/main" id="{6D3E27D6-F834-4B41-9237-195CC5A79D1E}"/>
            </a:ext>
          </a:extLst>
        </xdr:cNvPr>
        <xdr:cNvSpPr/>
      </xdr:nvSpPr>
      <xdr:spPr>
        <a:xfrm>
          <a:off x="535518" y="1399117"/>
          <a:ext cx="3301999" cy="11495908"/>
        </a:xfrm>
        <a:prstGeom prst="roundRect">
          <a:avLst>
            <a:gd name="adj" fmla="val 5850"/>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73028</xdr:colOff>
      <xdr:row>7</xdr:row>
      <xdr:rowOff>110069</xdr:rowOff>
    </xdr:from>
    <xdr:to>
      <xdr:col>11</xdr:col>
      <xdr:colOff>465668</xdr:colOff>
      <xdr:row>10</xdr:row>
      <xdr:rowOff>1</xdr:rowOff>
    </xdr:to>
    <xdr:sp macro="" textlink="">
      <xdr:nvSpPr>
        <xdr:cNvPr id="11" name="TextBox 10">
          <a:extLst>
            <a:ext uri="{FF2B5EF4-FFF2-40B4-BE49-F238E27FC236}">
              <a16:creationId xmlns:a16="http://schemas.microsoft.com/office/drawing/2014/main" id="{61C818F5-9C19-4951-82AD-E94263C3470C}"/>
            </a:ext>
          </a:extLst>
        </xdr:cNvPr>
        <xdr:cNvSpPr txBox="1"/>
      </xdr:nvSpPr>
      <xdr:spPr>
        <a:xfrm>
          <a:off x="4105278" y="1443569"/>
          <a:ext cx="2805640" cy="461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C000"/>
              </a:solidFill>
            </a:rPr>
            <a:t>Total Customers</a:t>
          </a:r>
        </a:p>
      </xdr:txBody>
    </xdr:sp>
    <xdr:clientData/>
  </xdr:twoCellAnchor>
  <xdr:twoCellAnchor>
    <xdr:from>
      <xdr:col>12</xdr:col>
      <xdr:colOff>541294</xdr:colOff>
      <xdr:row>7</xdr:row>
      <xdr:rowOff>76479</xdr:rowOff>
    </xdr:from>
    <xdr:to>
      <xdr:col>17</xdr:col>
      <xdr:colOff>311001</xdr:colOff>
      <xdr:row>10</xdr:row>
      <xdr:rowOff>175822</xdr:rowOff>
    </xdr:to>
    <xdr:sp macro="" textlink="">
      <xdr:nvSpPr>
        <xdr:cNvPr id="12" name="TextBox 11">
          <a:extLst>
            <a:ext uri="{FF2B5EF4-FFF2-40B4-BE49-F238E27FC236}">
              <a16:creationId xmlns:a16="http://schemas.microsoft.com/office/drawing/2014/main" id="{5C39CAFC-CB0C-49CA-B371-FC1BF2F1BA07}"/>
            </a:ext>
          </a:extLst>
        </xdr:cNvPr>
        <xdr:cNvSpPr txBox="1"/>
      </xdr:nvSpPr>
      <xdr:spPr>
        <a:xfrm>
          <a:off x="7665994" y="1365529"/>
          <a:ext cx="2817707" cy="651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C000"/>
              </a:solidFill>
            </a:rPr>
            <a:t>Churned Customers</a:t>
          </a:r>
        </a:p>
      </xdr:txBody>
    </xdr:sp>
    <xdr:clientData/>
  </xdr:twoCellAnchor>
  <xdr:twoCellAnchor>
    <xdr:from>
      <xdr:col>18</xdr:col>
      <xdr:colOff>359575</xdr:colOff>
      <xdr:row>7</xdr:row>
      <xdr:rowOff>110068</xdr:rowOff>
    </xdr:from>
    <xdr:to>
      <xdr:col>23</xdr:col>
      <xdr:colOff>205767</xdr:colOff>
      <xdr:row>10</xdr:row>
      <xdr:rowOff>-1</xdr:rowOff>
    </xdr:to>
    <xdr:sp macro="" textlink="">
      <xdr:nvSpPr>
        <xdr:cNvPr id="13" name="TextBox 12">
          <a:extLst>
            <a:ext uri="{FF2B5EF4-FFF2-40B4-BE49-F238E27FC236}">
              <a16:creationId xmlns:a16="http://schemas.microsoft.com/office/drawing/2014/main" id="{7E18BB3A-68A5-441C-9C23-FB39E291FE1E}"/>
            </a:ext>
          </a:extLst>
        </xdr:cNvPr>
        <xdr:cNvSpPr txBox="1"/>
      </xdr:nvSpPr>
      <xdr:spPr>
        <a:xfrm>
          <a:off x="11141875" y="1399118"/>
          <a:ext cx="2894192" cy="44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C000"/>
              </a:solidFill>
            </a:rPr>
            <a:t>Churn Rate</a:t>
          </a:r>
          <a:r>
            <a:rPr lang="en-US" sz="2400" b="1" baseline="0">
              <a:solidFill>
                <a:srgbClr val="FFC000"/>
              </a:solidFill>
            </a:rPr>
            <a:t> (%)</a:t>
          </a:r>
          <a:endParaRPr lang="en-US" sz="2400" b="1">
            <a:solidFill>
              <a:srgbClr val="FFC000"/>
            </a:solidFill>
          </a:endParaRPr>
        </a:p>
      </xdr:txBody>
    </xdr:sp>
    <xdr:clientData/>
  </xdr:twoCellAnchor>
  <xdr:twoCellAnchor>
    <xdr:from>
      <xdr:col>24</xdr:col>
      <xdr:colOff>248707</xdr:colOff>
      <xdr:row>7</xdr:row>
      <xdr:rowOff>110069</xdr:rowOff>
    </xdr:from>
    <xdr:to>
      <xdr:col>28</xdr:col>
      <xdr:colOff>455659</xdr:colOff>
      <xdr:row>9</xdr:row>
      <xdr:rowOff>158751</xdr:rowOff>
    </xdr:to>
    <xdr:sp macro="" textlink="">
      <xdr:nvSpPr>
        <xdr:cNvPr id="14" name="TextBox 13">
          <a:extLst>
            <a:ext uri="{FF2B5EF4-FFF2-40B4-BE49-F238E27FC236}">
              <a16:creationId xmlns:a16="http://schemas.microsoft.com/office/drawing/2014/main" id="{320324F8-BF02-4B0F-8D6A-CFBF44EEF90D}"/>
            </a:ext>
          </a:extLst>
        </xdr:cNvPr>
        <xdr:cNvSpPr txBox="1"/>
      </xdr:nvSpPr>
      <xdr:spPr>
        <a:xfrm>
          <a:off x="14688607" y="1399119"/>
          <a:ext cx="2645352" cy="416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C000"/>
              </a:solidFill>
            </a:rPr>
            <a:t>Retention Rate (%)</a:t>
          </a:r>
        </a:p>
      </xdr:txBody>
    </xdr:sp>
    <xdr:clientData/>
  </xdr:twoCellAnchor>
  <xdr:twoCellAnchor>
    <xdr:from>
      <xdr:col>6</xdr:col>
      <xdr:colOff>469902</xdr:colOff>
      <xdr:row>14</xdr:row>
      <xdr:rowOff>184148</xdr:rowOff>
    </xdr:from>
    <xdr:to>
      <xdr:col>20</xdr:col>
      <xdr:colOff>485142</xdr:colOff>
      <xdr:row>32</xdr:row>
      <xdr:rowOff>46988</xdr:rowOff>
    </xdr:to>
    <xdr:sp macro="" textlink="">
      <xdr:nvSpPr>
        <xdr:cNvPr id="15" name="Rectangle: Rounded Corners 14">
          <a:extLst>
            <a:ext uri="{FF2B5EF4-FFF2-40B4-BE49-F238E27FC236}">
              <a16:creationId xmlns:a16="http://schemas.microsoft.com/office/drawing/2014/main" id="{3E64D935-5390-4D52-9488-09DEFE3335C4}"/>
            </a:ext>
          </a:extLst>
        </xdr:cNvPr>
        <xdr:cNvSpPr/>
      </xdr:nvSpPr>
      <xdr:spPr>
        <a:xfrm>
          <a:off x="3898902" y="2851148"/>
          <a:ext cx="8460740" cy="3291840"/>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21</xdr:col>
      <xdr:colOff>-1</xdr:colOff>
      <xdr:row>15</xdr:row>
      <xdr:rowOff>0</xdr:rowOff>
    </xdr:from>
    <xdr:to>
      <xdr:col>27</xdr:col>
      <xdr:colOff>0</xdr:colOff>
      <xdr:row>32</xdr:row>
      <xdr:rowOff>53340</xdr:rowOff>
    </xdr:to>
    <xdr:sp macro="" textlink="">
      <xdr:nvSpPr>
        <xdr:cNvPr id="16" name="Rectangle: Rounded Corners 15">
          <a:extLst>
            <a:ext uri="{FF2B5EF4-FFF2-40B4-BE49-F238E27FC236}">
              <a16:creationId xmlns:a16="http://schemas.microsoft.com/office/drawing/2014/main" id="{94D9715B-DF62-4F47-AFED-101B4920F2E8}"/>
            </a:ext>
          </a:extLst>
        </xdr:cNvPr>
        <xdr:cNvSpPr/>
      </xdr:nvSpPr>
      <xdr:spPr>
        <a:xfrm>
          <a:off x="12477749" y="2857500"/>
          <a:ext cx="3619501" cy="3291840"/>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469902</xdr:colOff>
      <xdr:row>32</xdr:row>
      <xdr:rowOff>166313</xdr:rowOff>
    </xdr:from>
    <xdr:to>
      <xdr:col>15</xdr:col>
      <xdr:colOff>131574</xdr:colOff>
      <xdr:row>50</xdr:row>
      <xdr:rowOff>33190</xdr:rowOff>
    </xdr:to>
    <xdr:sp macro="" textlink="">
      <xdr:nvSpPr>
        <xdr:cNvPr id="17" name="Rectangle: Rounded Corners 16">
          <a:extLst>
            <a:ext uri="{FF2B5EF4-FFF2-40B4-BE49-F238E27FC236}">
              <a16:creationId xmlns:a16="http://schemas.microsoft.com/office/drawing/2014/main" id="{8FAAAB6E-67BB-4B58-9428-10DC72BF2466}"/>
            </a:ext>
          </a:extLst>
        </xdr:cNvPr>
        <xdr:cNvSpPr/>
      </xdr:nvSpPr>
      <xdr:spPr>
        <a:xfrm>
          <a:off x="3937002" y="6059113"/>
          <a:ext cx="5148072" cy="3181577"/>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256118</xdr:colOff>
      <xdr:row>32</xdr:row>
      <xdr:rowOff>166313</xdr:rowOff>
    </xdr:from>
    <xdr:to>
      <xdr:col>23</xdr:col>
      <xdr:colOff>527390</xdr:colOff>
      <xdr:row>50</xdr:row>
      <xdr:rowOff>33190</xdr:rowOff>
    </xdr:to>
    <xdr:sp macro="" textlink="">
      <xdr:nvSpPr>
        <xdr:cNvPr id="18" name="Rectangle: Rounded Corners 17">
          <a:extLst>
            <a:ext uri="{FF2B5EF4-FFF2-40B4-BE49-F238E27FC236}">
              <a16:creationId xmlns:a16="http://schemas.microsoft.com/office/drawing/2014/main" id="{FC76BFA2-EE3A-4BB8-B01C-27A4507C7F97}"/>
            </a:ext>
          </a:extLst>
        </xdr:cNvPr>
        <xdr:cNvSpPr/>
      </xdr:nvSpPr>
      <xdr:spPr>
        <a:xfrm>
          <a:off x="9209618" y="6059113"/>
          <a:ext cx="5148072" cy="3181577"/>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42332</xdr:colOff>
      <xdr:row>32</xdr:row>
      <xdr:rowOff>166312</xdr:rowOff>
    </xdr:from>
    <xdr:to>
      <xdr:col>33</xdr:col>
      <xdr:colOff>1013882</xdr:colOff>
      <xdr:row>50</xdr:row>
      <xdr:rowOff>33189</xdr:rowOff>
    </xdr:to>
    <xdr:sp macro="" textlink="">
      <xdr:nvSpPr>
        <xdr:cNvPr id="19" name="Rectangle: Rounded Corners 18">
          <a:extLst>
            <a:ext uri="{FF2B5EF4-FFF2-40B4-BE49-F238E27FC236}">
              <a16:creationId xmlns:a16="http://schemas.microsoft.com/office/drawing/2014/main" id="{94F14DF9-3143-44CC-B456-10B64C43F533}"/>
            </a:ext>
          </a:extLst>
        </xdr:cNvPr>
        <xdr:cNvSpPr/>
      </xdr:nvSpPr>
      <xdr:spPr>
        <a:xfrm>
          <a:off x="14482232" y="6059112"/>
          <a:ext cx="6457950" cy="3181577"/>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550138</xdr:colOff>
      <xdr:row>7</xdr:row>
      <xdr:rowOff>135465</xdr:rowOff>
    </xdr:from>
    <xdr:to>
      <xdr:col>33</xdr:col>
      <xdr:colOff>915472</xdr:colOff>
      <xdr:row>14</xdr:row>
      <xdr:rowOff>67731</xdr:rowOff>
    </xdr:to>
    <xdr:sp macro="" textlink="">
      <xdr:nvSpPr>
        <xdr:cNvPr id="20" name="Rectangle: Rounded Corners 19">
          <a:extLst>
            <a:ext uri="{FF2B5EF4-FFF2-40B4-BE49-F238E27FC236}">
              <a16:creationId xmlns:a16="http://schemas.microsoft.com/office/drawing/2014/main" id="{4F501F10-B487-43AF-92B6-1F38606F71F6}"/>
            </a:ext>
          </a:extLst>
        </xdr:cNvPr>
        <xdr:cNvSpPr/>
      </xdr:nvSpPr>
      <xdr:spPr>
        <a:xfrm>
          <a:off x="18038038" y="1424515"/>
          <a:ext cx="2803734" cy="1221316"/>
        </a:xfrm>
        <a:prstGeom prst="roundRect">
          <a:avLst>
            <a:gd name="adj" fmla="val 9910"/>
          </a:avLst>
        </a:prstGeom>
        <a:solidFill>
          <a:schemeClr val="bg2">
            <a:lumMod val="25000"/>
          </a:schemeClr>
        </a:solidFill>
        <a:ln>
          <a:noFill/>
        </a:ln>
        <a:effectLst>
          <a:glow rad="101600">
            <a:srgbClr val="FFC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550139</xdr:colOff>
      <xdr:row>7</xdr:row>
      <xdr:rowOff>110068</xdr:rowOff>
    </xdr:from>
    <xdr:to>
      <xdr:col>33</xdr:col>
      <xdr:colOff>1013883</xdr:colOff>
      <xdr:row>10</xdr:row>
      <xdr:rowOff>52917</xdr:rowOff>
    </xdr:to>
    <xdr:sp macro="" textlink="">
      <xdr:nvSpPr>
        <xdr:cNvPr id="21" name="TextBox 20">
          <a:extLst>
            <a:ext uri="{FF2B5EF4-FFF2-40B4-BE49-F238E27FC236}">
              <a16:creationId xmlns:a16="http://schemas.microsoft.com/office/drawing/2014/main" id="{7A931F18-C0B7-4408-87B2-6698DBB185CB}"/>
            </a:ext>
          </a:extLst>
        </xdr:cNvPr>
        <xdr:cNvSpPr txBox="1"/>
      </xdr:nvSpPr>
      <xdr:spPr>
        <a:xfrm>
          <a:off x="18038039" y="1399118"/>
          <a:ext cx="2902144"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C000"/>
              </a:solidFill>
            </a:rPr>
            <a:t>Total Revenue</a:t>
          </a:r>
          <a:r>
            <a:rPr lang="en-US" sz="2400" b="1" baseline="0">
              <a:solidFill>
                <a:srgbClr val="FFC000"/>
              </a:solidFill>
            </a:rPr>
            <a:t> Lost </a:t>
          </a:r>
          <a:endParaRPr lang="en-US" sz="2400" b="1">
            <a:solidFill>
              <a:srgbClr val="FFC000"/>
            </a:solidFill>
          </a:endParaRPr>
        </a:p>
      </xdr:txBody>
    </xdr:sp>
    <xdr:clientData/>
  </xdr:twoCellAnchor>
  <xdr:twoCellAnchor>
    <xdr:from>
      <xdr:col>7</xdr:col>
      <xdr:colOff>0</xdr:colOff>
      <xdr:row>11</xdr:row>
      <xdr:rowOff>0</xdr:rowOff>
    </xdr:from>
    <xdr:to>
      <xdr:col>11</xdr:col>
      <xdr:colOff>465667</xdr:colOff>
      <xdr:row>14</xdr:row>
      <xdr:rowOff>148166</xdr:rowOff>
    </xdr:to>
    <xdr:sp macro="" textlink="' Pivot Table &amp; Charts'!F5">
      <xdr:nvSpPr>
        <xdr:cNvPr id="22" name="TextBox 21">
          <a:extLst>
            <a:ext uri="{FF2B5EF4-FFF2-40B4-BE49-F238E27FC236}">
              <a16:creationId xmlns:a16="http://schemas.microsoft.com/office/drawing/2014/main" id="{BFF42F28-99AB-47A5-BB64-C38187D7514F}"/>
            </a:ext>
          </a:extLst>
        </xdr:cNvPr>
        <xdr:cNvSpPr txBox="1"/>
      </xdr:nvSpPr>
      <xdr:spPr>
        <a:xfrm>
          <a:off x="4076700" y="2025650"/>
          <a:ext cx="2904067" cy="700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CBBD21-69FD-4391-88A4-E44953685737}" type="TxLink">
            <a:rPr lang="en-US" sz="3600" b="1" i="0" u="none" strike="noStrike">
              <a:solidFill>
                <a:schemeClr val="bg1">
                  <a:lumMod val="95000"/>
                </a:schemeClr>
              </a:solidFill>
              <a:latin typeface="Gadugi" panose="020B0502040204020203" pitchFamily="34" charset="0"/>
              <a:ea typeface="Gadugi" panose="020B0502040204020203" pitchFamily="34" charset="0"/>
            </a:rPr>
            <a:pPr algn="ctr"/>
            <a:t>496</a:t>
          </a:fld>
          <a:endParaRPr lang="en-US" sz="5400" b="1">
            <a:solidFill>
              <a:schemeClr val="bg1">
                <a:lumMod val="95000"/>
              </a:schemeClr>
            </a:solidFill>
            <a:latin typeface="Gadugi" panose="020B0502040204020203" pitchFamily="34" charset="0"/>
            <a:ea typeface="Gadugi" panose="020B0502040204020203" pitchFamily="34" charset="0"/>
          </a:endParaRPr>
        </a:p>
      </xdr:txBody>
    </xdr:sp>
    <xdr:clientData/>
  </xdr:twoCellAnchor>
  <xdr:twoCellAnchor>
    <xdr:from>
      <xdr:col>13</xdr:col>
      <xdr:colOff>0</xdr:colOff>
      <xdr:row>10</xdr:row>
      <xdr:rowOff>148165</xdr:rowOff>
    </xdr:from>
    <xdr:to>
      <xdr:col>17</xdr:col>
      <xdr:colOff>269883</xdr:colOff>
      <xdr:row>14</xdr:row>
      <xdr:rowOff>148166</xdr:rowOff>
    </xdr:to>
    <xdr:sp macro="" textlink="' Pivot Table &amp; Charts'!B6">
      <xdr:nvSpPr>
        <xdr:cNvPr id="23" name="TextBox 22">
          <a:extLst>
            <a:ext uri="{FF2B5EF4-FFF2-40B4-BE49-F238E27FC236}">
              <a16:creationId xmlns:a16="http://schemas.microsoft.com/office/drawing/2014/main" id="{35ECB294-3EBE-4B74-AE2C-B2A5254F0104}"/>
            </a:ext>
          </a:extLst>
        </xdr:cNvPr>
        <xdr:cNvSpPr txBox="1"/>
      </xdr:nvSpPr>
      <xdr:spPr>
        <a:xfrm>
          <a:off x="7651750" y="2053165"/>
          <a:ext cx="2682883" cy="762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AA05F4B-3ACB-4D2C-9804-3F6532188669}" type="TxLink">
            <a:rPr lang="en-US" sz="3600" b="1" i="0" u="none" strike="noStrike">
              <a:solidFill>
                <a:schemeClr val="bg1">
                  <a:lumMod val="95000"/>
                </a:schemeClr>
              </a:solidFill>
              <a:latin typeface="Gadugi" panose="020B0502040204020203" pitchFamily="34" charset="0"/>
              <a:ea typeface="Gadugi" panose="020B0502040204020203" pitchFamily="34" charset="0"/>
              <a:cs typeface="+mn-cs"/>
            </a:rPr>
            <a:pPr marL="0" indent="0" algn="ctr"/>
            <a:t>146</a:t>
          </a:fld>
          <a:endParaRPr lang="en-US" sz="3600" b="1" i="0" u="none" strike="noStrike">
            <a:solidFill>
              <a:schemeClr val="bg1">
                <a:lumMod val="95000"/>
              </a:schemeClr>
            </a:solidFill>
            <a:latin typeface="Gadugi" panose="020B0502040204020203" pitchFamily="34" charset="0"/>
            <a:ea typeface="Gadugi" panose="020B0502040204020203" pitchFamily="34" charset="0"/>
            <a:cs typeface="+mn-cs"/>
          </a:endParaRPr>
        </a:p>
      </xdr:txBody>
    </xdr:sp>
    <xdr:clientData/>
  </xdr:twoCellAnchor>
  <xdr:twoCellAnchor>
    <xdr:from>
      <xdr:col>19</xdr:col>
      <xdr:colOff>392264</xdr:colOff>
      <xdr:row>10</xdr:row>
      <xdr:rowOff>148166</xdr:rowOff>
    </xdr:from>
    <xdr:to>
      <xdr:col>23</xdr:col>
      <xdr:colOff>111454</xdr:colOff>
      <xdr:row>14</xdr:row>
      <xdr:rowOff>148166</xdr:rowOff>
    </xdr:to>
    <xdr:sp macro="" textlink="' Pivot Table &amp; Charts'!C6">
      <xdr:nvSpPr>
        <xdr:cNvPr id="24" name="TextBox 23">
          <a:extLst>
            <a:ext uri="{FF2B5EF4-FFF2-40B4-BE49-F238E27FC236}">
              <a16:creationId xmlns:a16="http://schemas.microsoft.com/office/drawing/2014/main" id="{8712748B-6100-4E80-A019-01D201A07C58}"/>
            </a:ext>
          </a:extLst>
        </xdr:cNvPr>
        <xdr:cNvSpPr txBox="1"/>
      </xdr:nvSpPr>
      <xdr:spPr>
        <a:xfrm>
          <a:off x="11784164" y="1989666"/>
          <a:ext cx="2157590" cy="736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F1664FB-77FD-4185-96E6-CC92E5359332}" type="TxLink">
            <a:rPr lang="en-US" sz="3600" b="1" i="0" u="none" strike="noStrike">
              <a:solidFill>
                <a:schemeClr val="bg1">
                  <a:lumMod val="95000"/>
                </a:schemeClr>
              </a:solidFill>
              <a:latin typeface="Gadugi" panose="020B0502040204020203" pitchFamily="34" charset="0"/>
              <a:ea typeface="Gadugi" panose="020B0502040204020203" pitchFamily="34" charset="0"/>
              <a:cs typeface="+mn-cs"/>
            </a:rPr>
            <a:pPr marL="0" indent="0" algn="ctr"/>
            <a:t>29.44%</a:t>
          </a:fld>
          <a:endParaRPr lang="en-US" sz="3600" b="1" i="0" u="none" strike="noStrike">
            <a:solidFill>
              <a:schemeClr val="bg1">
                <a:lumMod val="95000"/>
              </a:schemeClr>
            </a:solidFill>
            <a:latin typeface="Gadugi" panose="020B0502040204020203" pitchFamily="34" charset="0"/>
            <a:ea typeface="Gadugi" panose="020B0502040204020203" pitchFamily="34" charset="0"/>
            <a:cs typeface="+mn-cs"/>
          </a:endParaRPr>
        </a:p>
      </xdr:txBody>
    </xdr:sp>
    <xdr:clientData/>
  </xdr:twoCellAnchor>
  <xdr:twoCellAnchor>
    <xdr:from>
      <xdr:col>25</xdr:col>
      <xdr:colOff>0</xdr:colOff>
      <xdr:row>10</xdr:row>
      <xdr:rowOff>148167</xdr:rowOff>
    </xdr:from>
    <xdr:to>
      <xdr:col>28</xdr:col>
      <xdr:colOff>515158</xdr:colOff>
      <xdr:row>14</xdr:row>
      <xdr:rowOff>148166</xdr:rowOff>
    </xdr:to>
    <xdr:sp macro="" textlink="' Pivot Table &amp; Charts'!C5">
      <xdr:nvSpPr>
        <xdr:cNvPr id="25" name="TextBox 24">
          <a:extLst>
            <a:ext uri="{FF2B5EF4-FFF2-40B4-BE49-F238E27FC236}">
              <a16:creationId xmlns:a16="http://schemas.microsoft.com/office/drawing/2014/main" id="{5DC85C0E-08BB-4D6F-9E03-DBF55DBD5B6F}"/>
            </a:ext>
          </a:extLst>
        </xdr:cNvPr>
        <xdr:cNvSpPr txBox="1"/>
      </xdr:nvSpPr>
      <xdr:spPr>
        <a:xfrm>
          <a:off x="15049500" y="1989667"/>
          <a:ext cx="2343958" cy="736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6500570-7038-48E4-82E0-F5A774D370CA}" type="TxLink">
            <a:rPr lang="en-US" sz="3600" b="1" i="0" u="none" strike="noStrike">
              <a:solidFill>
                <a:schemeClr val="bg1">
                  <a:lumMod val="95000"/>
                </a:schemeClr>
              </a:solidFill>
              <a:latin typeface="Gadugi" panose="020B0502040204020203" pitchFamily="34" charset="0"/>
              <a:ea typeface="Gadugi" panose="020B0502040204020203" pitchFamily="34" charset="0"/>
              <a:cs typeface="+mn-cs"/>
            </a:rPr>
            <a:pPr marL="0" indent="0" algn="ctr"/>
            <a:t>70.56%</a:t>
          </a:fld>
          <a:endParaRPr lang="en-US" sz="3600" b="1" i="0" u="none" strike="noStrike">
            <a:solidFill>
              <a:schemeClr val="bg1">
                <a:lumMod val="95000"/>
              </a:schemeClr>
            </a:solidFill>
            <a:latin typeface="Gadugi" panose="020B0502040204020203" pitchFamily="34" charset="0"/>
            <a:ea typeface="Gadugi" panose="020B0502040204020203" pitchFamily="34" charset="0"/>
            <a:cs typeface="+mn-cs"/>
          </a:endParaRPr>
        </a:p>
      </xdr:txBody>
    </xdr:sp>
    <xdr:clientData/>
  </xdr:twoCellAnchor>
  <xdr:twoCellAnchor>
    <xdr:from>
      <xdr:col>30</xdr:col>
      <xdr:colOff>31747</xdr:colOff>
      <xdr:row>10</xdr:row>
      <xdr:rowOff>148166</xdr:rowOff>
    </xdr:from>
    <xdr:to>
      <xdr:col>33</xdr:col>
      <xdr:colOff>984248</xdr:colOff>
      <xdr:row>14</xdr:row>
      <xdr:rowOff>148166</xdr:rowOff>
    </xdr:to>
    <xdr:sp macro="" textlink="' Pivot Table &amp; Charts'!B36">
      <xdr:nvSpPr>
        <xdr:cNvPr id="26" name="TextBox 25">
          <a:extLst>
            <a:ext uri="{FF2B5EF4-FFF2-40B4-BE49-F238E27FC236}">
              <a16:creationId xmlns:a16="http://schemas.microsoft.com/office/drawing/2014/main" id="{80FEE0D7-6196-4BE0-89B6-D5267A7E3903}"/>
            </a:ext>
          </a:extLst>
        </xdr:cNvPr>
        <xdr:cNvSpPr txBox="1"/>
      </xdr:nvSpPr>
      <xdr:spPr>
        <a:xfrm>
          <a:off x="18129247" y="1989666"/>
          <a:ext cx="2781301" cy="736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BA41172-1E45-46BB-9021-060933DB046D}" type="TxLink">
            <a:rPr lang="en-US" sz="3600" b="1" i="0" u="none" strike="noStrike">
              <a:solidFill>
                <a:schemeClr val="bg1">
                  <a:lumMod val="95000"/>
                </a:schemeClr>
              </a:solidFill>
              <a:latin typeface="Gadugi" panose="020B0502040204020203" pitchFamily="34" charset="0"/>
              <a:ea typeface="Gadugi" panose="020B0502040204020203" pitchFamily="34" charset="0"/>
              <a:cs typeface="+mn-cs"/>
            </a:rPr>
            <a:pPr marL="0" indent="0" algn="ctr"/>
            <a:t>₦58M</a:t>
          </a:fld>
          <a:endParaRPr lang="en-US" sz="3600" b="1" i="0" u="none" strike="noStrike">
            <a:solidFill>
              <a:schemeClr val="bg1">
                <a:lumMod val="95000"/>
              </a:schemeClr>
            </a:solidFill>
            <a:latin typeface="Gadugi" panose="020B0502040204020203" pitchFamily="34" charset="0"/>
            <a:ea typeface="Gadugi" panose="020B0502040204020203" pitchFamily="34" charset="0"/>
            <a:cs typeface="+mn-cs"/>
          </a:endParaRPr>
        </a:p>
      </xdr:txBody>
    </xdr:sp>
    <xdr:clientData/>
  </xdr:twoCellAnchor>
  <xdr:twoCellAnchor>
    <xdr:from>
      <xdr:col>6</xdr:col>
      <xdr:colOff>469902</xdr:colOff>
      <xdr:row>32</xdr:row>
      <xdr:rowOff>179262</xdr:rowOff>
    </xdr:from>
    <xdr:to>
      <xdr:col>15</xdr:col>
      <xdr:colOff>0</xdr:colOff>
      <xdr:row>50</xdr:row>
      <xdr:rowOff>33190</xdr:rowOff>
    </xdr:to>
    <xdr:graphicFrame macro="">
      <xdr:nvGraphicFramePr>
        <xdr:cNvPr id="27" name="Chart 26">
          <a:extLst>
            <a:ext uri="{FF2B5EF4-FFF2-40B4-BE49-F238E27FC236}">
              <a16:creationId xmlns:a16="http://schemas.microsoft.com/office/drawing/2014/main" id="{97977D92-F09A-4718-8FBC-E86E5895C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15</xdr:row>
      <xdr:rowOff>83820</xdr:rowOff>
    </xdr:from>
    <xdr:to>
      <xdr:col>20</xdr:col>
      <xdr:colOff>439421</xdr:colOff>
      <xdr:row>32</xdr:row>
      <xdr:rowOff>0</xdr:rowOff>
    </xdr:to>
    <xdr:graphicFrame macro="">
      <xdr:nvGraphicFramePr>
        <xdr:cNvPr id="28" name="Chart 27">
          <a:extLst>
            <a:ext uri="{FF2B5EF4-FFF2-40B4-BE49-F238E27FC236}">
              <a16:creationId xmlns:a16="http://schemas.microsoft.com/office/drawing/2014/main" id="{D92478ED-0407-4BC5-BEA3-629999127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196850</xdr:colOff>
      <xdr:row>32</xdr:row>
      <xdr:rowOff>179262</xdr:rowOff>
    </xdr:from>
    <xdr:to>
      <xdr:col>23</xdr:col>
      <xdr:colOff>466091</xdr:colOff>
      <xdr:row>49</xdr:row>
      <xdr:rowOff>111721</xdr:rowOff>
    </xdr:to>
    <xdr:graphicFrame macro="">
      <xdr:nvGraphicFramePr>
        <xdr:cNvPr id="29" name="Chart 28">
          <a:extLst>
            <a:ext uri="{FF2B5EF4-FFF2-40B4-BE49-F238E27FC236}">
              <a16:creationId xmlns:a16="http://schemas.microsoft.com/office/drawing/2014/main" id="{8F9C69FB-54E7-4BC7-B114-7CD2C71AB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345290</xdr:colOff>
      <xdr:row>8</xdr:row>
      <xdr:rowOff>85585</xdr:rowOff>
    </xdr:from>
    <xdr:to>
      <xdr:col>4</xdr:col>
      <xdr:colOff>345290</xdr:colOff>
      <xdr:row>11</xdr:row>
      <xdr:rowOff>85584</xdr:rowOff>
    </xdr:to>
    <xdr:sp macro="" textlink="">
      <xdr:nvSpPr>
        <xdr:cNvPr id="30" name="TextBox 29">
          <a:extLst>
            <a:ext uri="{FF2B5EF4-FFF2-40B4-BE49-F238E27FC236}">
              <a16:creationId xmlns:a16="http://schemas.microsoft.com/office/drawing/2014/main" id="{02D1ABDC-6132-459A-AF9A-8A8AD4EFA401}"/>
            </a:ext>
          </a:extLst>
        </xdr:cNvPr>
        <xdr:cNvSpPr txBox="1"/>
      </xdr:nvSpPr>
      <xdr:spPr>
        <a:xfrm>
          <a:off x="764390" y="1558785"/>
          <a:ext cx="1828800" cy="552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FFC000"/>
              </a:solidFill>
            </a:rPr>
            <a:t>Filter Pane</a:t>
          </a:r>
        </a:p>
      </xdr:txBody>
    </xdr:sp>
    <xdr:clientData/>
  </xdr:twoCellAnchor>
  <xdr:twoCellAnchor>
    <xdr:from>
      <xdr:col>19</xdr:col>
      <xdr:colOff>607389</xdr:colOff>
      <xdr:row>50</xdr:row>
      <xdr:rowOff>133945</xdr:rowOff>
    </xdr:from>
    <xdr:to>
      <xdr:col>33</xdr:col>
      <xdr:colOff>976604</xdr:colOff>
      <xdr:row>70</xdr:row>
      <xdr:rowOff>-1</xdr:rowOff>
    </xdr:to>
    <xdr:sp macro="" textlink="">
      <xdr:nvSpPr>
        <xdr:cNvPr id="31" name="Rectangle: Rounded Corners 30">
          <a:extLst>
            <a:ext uri="{FF2B5EF4-FFF2-40B4-BE49-F238E27FC236}">
              <a16:creationId xmlns:a16="http://schemas.microsoft.com/office/drawing/2014/main" id="{F9DF3CB8-C077-4533-A89E-3B175A8ACFFB}"/>
            </a:ext>
          </a:extLst>
        </xdr:cNvPr>
        <xdr:cNvSpPr/>
      </xdr:nvSpPr>
      <xdr:spPr>
        <a:xfrm>
          <a:off x="11999289" y="9341445"/>
          <a:ext cx="8903615" cy="3549054"/>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4140</xdr:colOff>
      <xdr:row>51</xdr:row>
      <xdr:rowOff>2</xdr:rowOff>
    </xdr:from>
    <xdr:to>
      <xdr:col>33</xdr:col>
      <xdr:colOff>915471</xdr:colOff>
      <xdr:row>70</xdr:row>
      <xdr:rowOff>38102</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8756981C-2984-429A-A533-CFB45AB1A8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005640" y="9391652"/>
              <a:ext cx="8836131" cy="35369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529167</xdr:colOff>
      <xdr:row>15</xdr:row>
      <xdr:rowOff>1</xdr:rowOff>
    </xdr:from>
    <xdr:to>
      <xdr:col>27</xdr:col>
      <xdr:colOff>111123</xdr:colOff>
      <xdr:row>31</xdr:row>
      <xdr:rowOff>182627</xdr:rowOff>
    </xdr:to>
    <xdr:graphicFrame macro="">
      <xdr:nvGraphicFramePr>
        <xdr:cNvPr id="34" name="Chart 33">
          <a:extLst>
            <a:ext uri="{FF2B5EF4-FFF2-40B4-BE49-F238E27FC236}">
              <a16:creationId xmlns:a16="http://schemas.microsoft.com/office/drawing/2014/main" id="{E60F9D9F-9527-4BFC-BDDF-F01B4B057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469902</xdr:colOff>
      <xdr:row>50</xdr:row>
      <xdr:rowOff>133944</xdr:rowOff>
    </xdr:from>
    <xdr:to>
      <xdr:col>19</xdr:col>
      <xdr:colOff>483375</xdr:colOff>
      <xdr:row>70</xdr:row>
      <xdr:rowOff>0</xdr:rowOff>
    </xdr:to>
    <xdr:sp macro="" textlink="">
      <xdr:nvSpPr>
        <xdr:cNvPr id="36" name="Rectangle: Rounded Corners 35">
          <a:extLst>
            <a:ext uri="{FF2B5EF4-FFF2-40B4-BE49-F238E27FC236}">
              <a16:creationId xmlns:a16="http://schemas.microsoft.com/office/drawing/2014/main" id="{83DC78B6-CCB5-4651-9937-2897F5AC8D52}"/>
            </a:ext>
          </a:extLst>
        </xdr:cNvPr>
        <xdr:cNvSpPr/>
      </xdr:nvSpPr>
      <xdr:spPr>
        <a:xfrm>
          <a:off x="3937002" y="9341444"/>
          <a:ext cx="7938273" cy="3549056"/>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51</xdr:row>
      <xdr:rowOff>2</xdr:rowOff>
    </xdr:from>
    <xdr:to>
      <xdr:col>19</xdr:col>
      <xdr:colOff>392264</xdr:colOff>
      <xdr:row>69</xdr:row>
      <xdr:rowOff>0</xdr:rowOff>
    </xdr:to>
    <xdr:graphicFrame macro="">
      <xdr:nvGraphicFramePr>
        <xdr:cNvPr id="37" name="Chart 36">
          <a:extLst>
            <a:ext uri="{FF2B5EF4-FFF2-40B4-BE49-F238E27FC236}">
              <a16:creationId xmlns:a16="http://schemas.microsoft.com/office/drawing/2014/main" id="{3BECDE4F-BC82-49AE-AFC9-F0721E69E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295872</xdr:colOff>
      <xdr:row>12</xdr:row>
      <xdr:rowOff>0</xdr:rowOff>
    </xdr:from>
    <xdr:to>
      <xdr:col>6</xdr:col>
      <xdr:colOff>265043</xdr:colOff>
      <xdr:row>21</xdr:row>
      <xdr:rowOff>179455</xdr:rowOff>
    </xdr:to>
    <mc:AlternateContent xmlns:mc="http://schemas.openxmlformats.org/markup-compatibility/2006" xmlns:tsle="http://schemas.microsoft.com/office/drawing/2012/timeslicer">
      <mc:Choice Requires="tsle">
        <xdr:graphicFrame macro="">
          <xdr:nvGraphicFramePr>
            <xdr:cNvPr id="38" name="Date of Purchase 1">
              <a:extLst>
                <a:ext uri="{FF2B5EF4-FFF2-40B4-BE49-F238E27FC236}">
                  <a16:creationId xmlns:a16="http://schemas.microsoft.com/office/drawing/2014/main" id="{048B4E7F-406A-48E6-8CE1-B7325035316D}"/>
                </a:ext>
              </a:extLst>
            </xdr:cNvPr>
            <xdr:cNvGraphicFramePr/>
          </xdr:nvGraphicFramePr>
          <xdr:xfrm>
            <a:off x="0" y="0"/>
            <a:ext cx="0" cy="0"/>
          </xdr:xfrm>
          <a:graphic>
            <a:graphicData uri="http://schemas.microsoft.com/office/drawing/2012/timeslicer">
              <tsle:timeslicer name="Date of Purchase 1"/>
            </a:graphicData>
          </a:graphic>
        </xdr:graphicFrame>
      </mc:Choice>
      <mc:Fallback xmlns="">
        <xdr:sp macro="" textlink="">
          <xdr:nvSpPr>
            <xdr:cNvPr id="0" name=""/>
            <xdr:cNvSpPr>
              <a:spLocks noTextEdit="1"/>
            </xdr:cNvSpPr>
          </xdr:nvSpPr>
          <xdr:spPr>
            <a:xfrm>
              <a:off x="708622" y="2286000"/>
              <a:ext cx="2985421" cy="18939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345290</xdr:colOff>
      <xdr:row>23</xdr:row>
      <xdr:rowOff>1</xdr:rowOff>
    </xdr:from>
    <xdr:to>
      <xdr:col>6</xdr:col>
      <xdr:colOff>265043</xdr:colOff>
      <xdr:row>32</xdr:row>
      <xdr:rowOff>0</xdr:rowOff>
    </xdr:to>
    <mc:AlternateContent xmlns:mc="http://schemas.openxmlformats.org/markup-compatibility/2006" xmlns:a14="http://schemas.microsoft.com/office/drawing/2010/main">
      <mc:Choice Requires="a14">
        <xdr:graphicFrame macro="">
          <xdr:nvGraphicFramePr>
            <xdr:cNvPr id="39" name="Age Group 1">
              <a:extLst>
                <a:ext uri="{FF2B5EF4-FFF2-40B4-BE49-F238E27FC236}">
                  <a16:creationId xmlns:a16="http://schemas.microsoft.com/office/drawing/2014/main" id="{61F1CBA5-F2FE-4A4B-9677-3746B79C1EA7}"/>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758040" y="4381501"/>
              <a:ext cx="2936003"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345290</xdr:colOff>
      <xdr:row>34</xdr:row>
      <xdr:rowOff>0</xdr:rowOff>
    </xdr:from>
    <xdr:to>
      <xdr:col>6</xdr:col>
      <xdr:colOff>265044</xdr:colOff>
      <xdr:row>40</xdr:row>
      <xdr:rowOff>0</xdr:rowOff>
    </xdr:to>
    <mc:AlternateContent xmlns:mc="http://schemas.openxmlformats.org/markup-compatibility/2006" xmlns:a14="http://schemas.microsoft.com/office/drawing/2010/main">
      <mc:Choice Requires="a14">
        <xdr:graphicFrame macro="">
          <xdr:nvGraphicFramePr>
            <xdr:cNvPr id="40" name="Gender 1">
              <a:extLst>
                <a:ext uri="{FF2B5EF4-FFF2-40B4-BE49-F238E27FC236}">
                  <a16:creationId xmlns:a16="http://schemas.microsoft.com/office/drawing/2014/main" id="{3C2CFB49-9533-4070-803F-DE65164FE75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58040" y="6477000"/>
              <a:ext cx="2936004"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295872</xdr:colOff>
      <xdr:row>42</xdr:row>
      <xdr:rowOff>0</xdr:rowOff>
    </xdr:from>
    <xdr:to>
      <xdr:col>6</xdr:col>
      <xdr:colOff>265043</xdr:colOff>
      <xdr:row>56</xdr:row>
      <xdr:rowOff>0</xdr:rowOff>
    </xdr:to>
    <mc:AlternateContent xmlns:mc="http://schemas.openxmlformats.org/markup-compatibility/2006" xmlns:a14="http://schemas.microsoft.com/office/drawing/2010/main">
      <mc:Choice Requires="a14">
        <xdr:graphicFrame macro="">
          <xdr:nvGraphicFramePr>
            <xdr:cNvPr id="41" name="Device Type 1">
              <a:extLst>
                <a:ext uri="{FF2B5EF4-FFF2-40B4-BE49-F238E27FC236}">
                  <a16:creationId xmlns:a16="http://schemas.microsoft.com/office/drawing/2014/main" id="{3079739B-7CC5-4951-9293-39ADA6056155}"/>
                </a:ext>
              </a:extLst>
            </xdr:cNvPr>
            <xdr:cNvGraphicFramePr/>
          </xdr:nvGraphicFramePr>
          <xdr:xfrm>
            <a:off x="0" y="0"/>
            <a:ext cx="0" cy="0"/>
          </xdr:xfrm>
          <a:graphic>
            <a:graphicData uri="http://schemas.microsoft.com/office/drawing/2010/slicer">
              <sle:slicer xmlns:sle="http://schemas.microsoft.com/office/drawing/2010/slicer" name="Device Type 1"/>
            </a:graphicData>
          </a:graphic>
        </xdr:graphicFrame>
      </mc:Choice>
      <mc:Fallback xmlns="">
        <xdr:sp macro="" textlink="">
          <xdr:nvSpPr>
            <xdr:cNvPr id="0" name=""/>
            <xdr:cNvSpPr>
              <a:spLocks noTextEdit="1"/>
            </xdr:cNvSpPr>
          </xdr:nvSpPr>
          <xdr:spPr>
            <a:xfrm>
              <a:off x="708622" y="8001000"/>
              <a:ext cx="2985421"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295872</xdr:colOff>
      <xdr:row>55</xdr:row>
      <xdr:rowOff>179455</xdr:rowOff>
    </xdr:from>
    <xdr:to>
      <xdr:col>6</xdr:col>
      <xdr:colOff>265043</xdr:colOff>
      <xdr:row>68</xdr:row>
      <xdr:rowOff>184149</xdr:rowOff>
    </xdr:to>
    <mc:AlternateContent xmlns:mc="http://schemas.openxmlformats.org/markup-compatibility/2006" xmlns:a14="http://schemas.microsoft.com/office/drawing/2010/main">
      <mc:Choice Requires="a14">
        <xdr:graphicFrame macro="">
          <xdr:nvGraphicFramePr>
            <xdr:cNvPr id="42" name="Tenure Group 1">
              <a:extLst>
                <a:ext uri="{FF2B5EF4-FFF2-40B4-BE49-F238E27FC236}">
                  <a16:creationId xmlns:a16="http://schemas.microsoft.com/office/drawing/2014/main" id="{B286FFD8-D18A-4FA7-8671-53267CDA173B}"/>
                </a:ext>
              </a:extLst>
            </xdr:cNvPr>
            <xdr:cNvGraphicFramePr/>
          </xdr:nvGraphicFramePr>
          <xdr:xfrm>
            <a:off x="0" y="0"/>
            <a:ext cx="0" cy="0"/>
          </xdr:xfrm>
          <a:graphic>
            <a:graphicData uri="http://schemas.microsoft.com/office/drawing/2010/slicer">
              <sle:slicer xmlns:sle="http://schemas.microsoft.com/office/drawing/2010/slicer" name="Tenure Group 1"/>
            </a:graphicData>
          </a:graphic>
        </xdr:graphicFrame>
      </mc:Choice>
      <mc:Fallback xmlns="">
        <xdr:sp macro="" textlink="">
          <xdr:nvSpPr>
            <xdr:cNvPr id="0" name=""/>
            <xdr:cNvSpPr>
              <a:spLocks noTextEdit="1"/>
            </xdr:cNvSpPr>
          </xdr:nvSpPr>
          <xdr:spPr>
            <a:xfrm>
              <a:off x="708622" y="10656955"/>
              <a:ext cx="2985421" cy="24811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xdr:colOff>
      <xdr:row>10</xdr:row>
      <xdr:rowOff>52917</xdr:rowOff>
    </xdr:from>
    <xdr:to>
      <xdr:col>14</xdr:col>
      <xdr:colOff>36829</xdr:colOff>
      <xdr:row>13</xdr:row>
      <xdr:rowOff>159011</xdr:rowOff>
    </xdr:to>
    <xdr:pic>
      <xdr:nvPicPr>
        <xdr:cNvPr id="43" name="Picture 42">
          <a:extLst>
            <a:ext uri="{FF2B5EF4-FFF2-40B4-BE49-F238E27FC236}">
              <a16:creationId xmlns:a16="http://schemas.microsoft.com/office/drawing/2014/main" id="{249E6500-504E-4781-A5EE-51B4AD6BA909}"/>
            </a:ext>
          </a:extLst>
        </xdr:cNvPr>
        <xdr:cNvPicPr>
          <a:picLocks noChangeAspect="1"/>
        </xdr:cNvPicPr>
      </xdr:nvPicPr>
      <xdr:blipFill>
        <a:blip xmlns:r="http://schemas.openxmlformats.org/officeDocument/2006/relationships" r:embed="rId9"/>
        <a:stretch>
          <a:fillRect/>
        </a:stretch>
      </xdr:blipFill>
      <xdr:spPr>
        <a:xfrm>
          <a:off x="7734299" y="1894417"/>
          <a:ext cx="646430" cy="658544"/>
        </a:xfrm>
        <a:prstGeom prst="rect">
          <a:avLst/>
        </a:prstGeom>
      </xdr:spPr>
    </xdr:pic>
    <xdr:clientData/>
  </xdr:twoCellAnchor>
  <xdr:twoCellAnchor editAs="oneCell">
    <xdr:from>
      <xdr:col>18</xdr:col>
      <xdr:colOff>359575</xdr:colOff>
      <xdr:row>10</xdr:row>
      <xdr:rowOff>100183</xdr:rowOff>
    </xdr:from>
    <xdr:to>
      <xdr:col>19</xdr:col>
      <xdr:colOff>392264</xdr:colOff>
      <xdr:row>14</xdr:row>
      <xdr:rowOff>22437</xdr:rowOff>
    </xdr:to>
    <xdr:pic>
      <xdr:nvPicPr>
        <xdr:cNvPr id="44" name="Picture 43">
          <a:extLst>
            <a:ext uri="{FF2B5EF4-FFF2-40B4-BE49-F238E27FC236}">
              <a16:creationId xmlns:a16="http://schemas.microsoft.com/office/drawing/2014/main" id="{A38C20AE-5516-45ED-9FDD-E9B25E1782B6}"/>
            </a:ext>
          </a:extLst>
        </xdr:cNvPr>
        <xdr:cNvPicPr>
          <a:picLocks noChangeAspect="1"/>
        </xdr:cNvPicPr>
      </xdr:nvPicPr>
      <xdr:blipFill>
        <a:blip xmlns:r="http://schemas.openxmlformats.org/officeDocument/2006/relationships" r:embed="rId10">
          <a:alphaModFix amt="85000"/>
        </a:blip>
        <a:stretch>
          <a:fillRect/>
        </a:stretch>
      </xdr:blipFill>
      <xdr:spPr>
        <a:xfrm>
          <a:off x="11141875" y="1941683"/>
          <a:ext cx="642289" cy="658854"/>
        </a:xfrm>
        <a:prstGeom prst="rect">
          <a:avLst/>
        </a:prstGeom>
      </xdr:spPr>
    </xdr:pic>
    <xdr:clientData/>
  </xdr:twoCellAnchor>
  <xdr:twoCellAnchor editAs="oneCell">
    <xdr:from>
      <xdr:col>24</xdr:col>
      <xdr:colOff>146436</xdr:colOff>
      <xdr:row>9</xdr:row>
      <xdr:rowOff>158750</xdr:rowOff>
    </xdr:from>
    <xdr:to>
      <xdr:col>25</xdr:col>
      <xdr:colOff>179124</xdr:colOff>
      <xdr:row>13</xdr:row>
      <xdr:rowOff>81004</xdr:rowOff>
    </xdr:to>
    <xdr:pic>
      <xdr:nvPicPr>
        <xdr:cNvPr id="45" name="Picture 44">
          <a:extLst>
            <a:ext uri="{FF2B5EF4-FFF2-40B4-BE49-F238E27FC236}">
              <a16:creationId xmlns:a16="http://schemas.microsoft.com/office/drawing/2014/main" id="{08FB4068-159D-4866-AD2B-C502B32408CB}"/>
            </a:ext>
          </a:extLst>
        </xdr:cNvPr>
        <xdr:cNvPicPr>
          <a:picLocks noChangeAspect="1"/>
        </xdr:cNvPicPr>
      </xdr:nvPicPr>
      <xdr:blipFill>
        <a:blip xmlns:r="http://schemas.openxmlformats.org/officeDocument/2006/relationships" r:embed="rId11"/>
        <a:stretch>
          <a:fillRect/>
        </a:stretch>
      </xdr:blipFill>
      <xdr:spPr>
        <a:xfrm>
          <a:off x="14586336" y="1816100"/>
          <a:ext cx="642288" cy="658854"/>
        </a:xfrm>
        <a:prstGeom prst="rect">
          <a:avLst/>
        </a:prstGeom>
      </xdr:spPr>
    </xdr:pic>
    <xdr:clientData/>
  </xdr:twoCellAnchor>
  <xdr:twoCellAnchor editAs="oneCell">
    <xdr:from>
      <xdr:col>29</xdr:col>
      <xdr:colOff>570561</xdr:colOff>
      <xdr:row>10</xdr:row>
      <xdr:rowOff>131123</xdr:rowOff>
    </xdr:from>
    <xdr:to>
      <xdr:col>31</xdr:col>
      <xdr:colOff>0</xdr:colOff>
      <xdr:row>14</xdr:row>
      <xdr:rowOff>42333</xdr:rowOff>
    </xdr:to>
    <xdr:pic>
      <xdr:nvPicPr>
        <xdr:cNvPr id="46" name="Picture 45">
          <a:extLst>
            <a:ext uri="{FF2B5EF4-FFF2-40B4-BE49-F238E27FC236}">
              <a16:creationId xmlns:a16="http://schemas.microsoft.com/office/drawing/2014/main" id="{04182FFA-1951-44FE-9C5F-F36E3109EE3C}"/>
            </a:ext>
          </a:extLst>
        </xdr:cNvPr>
        <xdr:cNvPicPr>
          <a:picLocks noChangeAspect="1"/>
        </xdr:cNvPicPr>
      </xdr:nvPicPr>
      <xdr:blipFill>
        <a:blip xmlns:r="http://schemas.openxmlformats.org/officeDocument/2006/relationships" r:embed="rId12"/>
        <a:stretch>
          <a:fillRect/>
        </a:stretch>
      </xdr:blipFill>
      <xdr:spPr>
        <a:xfrm>
          <a:off x="18058461" y="1972623"/>
          <a:ext cx="648639" cy="647810"/>
        </a:xfrm>
        <a:prstGeom prst="rect">
          <a:avLst/>
        </a:prstGeom>
      </xdr:spPr>
    </xdr:pic>
    <xdr:clientData/>
  </xdr:twoCellAnchor>
  <xdr:twoCellAnchor>
    <xdr:from>
      <xdr:col>24</xdr:col>
      <xdr:colOff>42332</xdr:colOff>
      <xdr:row>32</xdr:row>
      <xdr:rowOff>166312</xdr:rowOff>
    </xdr:from>
    <xdr:to>
      <xdr:col>33</xdr:col>
      <xdr:colOff>984248</xdr:colOff>
      <xdr:row>50</xdr:row>
      <xdr:rowOff>0</xdr:rowOff>
    </xdr:to>
    <xdr:graphicFrame macro="">
      <xdr:nvGraphicFramePr>
        <xdr:cNvPr id="47" name="Chart 46">
          <a:extLst>
            <a:ext uri="{FF2B5EF4-FFF2-40B4-BE49-F238E27FC236}">
              <a16:creationId xmlns:a16="http://schemas.microsoft.com/office/drawing/2014/main" id="{F1E46EAB-5AA8-47D3-BFAE-EDF65C43A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7</xdr:col>
      <xdr:colOff>73027</xdr:colOff>
      <xdr:row>10</xdr:row>
      <xdr:rowOff>0</xdr:rowOff>
    </xdr:from>
    <xdr:to>
      <xdr:col>8</xdr:col>
      <xdr:colOff>109857</xdr:colOff>
      <xdr:row>13</xdr:row>
      <xdr:rowOff>74136</xdr:rowOff>
    </xdr:to>
    <xdr:pic>
      <xdr:nvPicPr>
        <xdr:cNvPr id="48" name="Picture 47">
          <a:extLst>
            <a:ext uri="{FF2B5EF4-FFF2-40B4-BE49-F238E27FC236}">
              <a16:creationId xmlns:a16="http://schemas.microsoft.com/office/drawing/2014/main" id="{3FF2463F-08E7-4956-9463-83567B6E1A3C}"/>
            </a:ext>
          </a:extLst>
        </xdr:cNvPr>
        <xdr:cNvPicPr>
          <a:picLocks noChangeAspect="1"/>
        </xdr:cNvPicPr>
      </xdr:nvPicPr>
      <xdr:blipFill>
        <a:blip xmlns:r="http://schemas.openxmlformats.org/officeDocument/2006/relationships" r:embed="rId14">
          <a:duotone>
            <a:schemeClr val="accent2">
              <a:shade val="45000"/>
              <a:satMod val="135000"/>
            </a:schemeClr>
            <a:prstClr val="white"/>
          </a:duotone>
        </a:blip>
        <a:stretch>
          <a:fillRect/>
        </a:stretch>
      </xdr:blipFill>
      <xdr:spPr>
        <a:xfrm>
          <a:off x="4149727" y="1841500"/>
          <a:ext cx="646430" cy="626586"/>
        </a:xfrm>
        <a:prstGeom prst="rect">
          <a:avLst/>
        </a:prstGeom>
      </xdr:spPr>
    </xdr:pic>
    <xdr:clientData/>
  </xdr:twoCellAnchor>
  <xdr:twoCellAnchor>
    <xdr:from>
      <xdr:col>27</xdr:col>
      <xdr:colOff>111123</xdr:colOff>
      <xdr:row>14</xdr:row>
      <xdr:rowOff>184148</xdr:rowOff>
    </xdr:from>
    <xdr:to>
      <xdr:col>33</xdr:col>
      <xdr:colOff>1017903</xdr:colOff>
      <xdr:row>32</xdr:row>
      <xdr:rowOff>46988</xdr:rowOff>
    </xdr:to>
    <xdr:sp macro="" textlink="">
      <xdr:nvSpPr>
        <xdr:cNvPr id="52" name="Rectangle: Rounded Corners 51">
          <a:extLst>
            <a:ext uri="{FF2B5EF4-FFF2-40B4-BE49-F238E27FC236}">
              <a16:creationId xmlns:a16="http://schemas.microsoft.com/office/drawing/2014/main" id="{A59A024E-45B2-EC88-014A-FF20A93F7B57}"/>
            </a:ext>
          </a:extLst>
        </xdr:cNvPr>
        <xdr:cNvSpPr/>
      </xdr:nvSpPr>
      <xdr:spPr>
        <a:xfrm>
          <a:off x="16208373" y="2851148"/>
          <a:ext cx="4526280" cy="3291840"/>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111123</xdr:colOff>
      <xdr:row>14</xdr:row>
      <xdr:rowOff>168273</xdr:rowOff>
    </xdr:from>
    <xdr:to>
      <xdr:col>33</xdr:col>
      <xdr:colOff>972183</xdr:colOff>
      <xdr:row>31</xdr:row>
      <xdr:rowOff>182626</xdr:rowOff>
    </xdr:to>
    <xdr:graphicFrame macro="">
      <xdr:nvGraphicFramePr>
        <xdr:cNvPr id="53" name="Chart 52">
          <a:extLst>
            <a:ext uri="{FF2B5EF4-FFF2-40B4-BE49-F238E27FC236}">
              <a16:creationId xmlns:a16="http://schemas.microsoft.com/office/drawing/2014/main" id="{A19D532B-9DF7-4B3E-92F7-7E0F747FD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34</xdr:col>
      <xdr:colOff>0</xdr:colOff>
      <xdr:row>78</xdr:row>
      <xdr:rowOff>0</xdr:rowOff>
    </xdr:to>
    <xdr:sp macro="" textlink="">
      <xdr:nvSpPr>
        <xdr:cNvPr id="2" name="Rectangle: Rounded Corners 1">
          <a:extLst>
            <a:ext uri="{FF2B5EF4-FFF2-40B4-BE49-F238E27FC236}">
              <a16:creationId xmlns:a16="http://schemas.microsoft.com/office/drawing/2014/main" id="{6CAF645C-2E40-40B1-A141-EE8A0663CD59}"/>
            </a:ext>
          </a:extLst>
        </xdr:cNvPr>
        <xdr:cNvSpPr/>
      </xdr:nvSpPr>
      <xdr:spPr>
        <a:xfrm>
          <a:off x="0" y="184150"/>
          <a:ext cx="21526500" cy="14179550"/>
        </a:xfrm>
        <a:prstGeom prst="roundRect">
          <a:avLst>
            <a:gd name="adj" fmla="val 2790"/>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7</xdr:row>
      <xdr:rowOff>-1</xdr:rowOff>
    </xdr:from>
    <xdr:to>
      <xdr:col>33</xdr:col>
      <xdr:colOff>1139190</xdr:colOff>
      <xdr:row>71</xdr:row>
      <xdr:rowOff>-1</xdr:rowOff>
    </xdr:to>
    <xdr:sp macro="" textlink="">
      <xdr:nvSpPr>
        <xdr:cNvPr id="3" name="Rectangle: Rounded Corners 2">
          <a:extLst>
            <a:ext uri="{FF2B5EF4-FFF2-40B4-BE49-F238E27FC236}">
              <a16:creationId xmlns:a16="http://schemas.microsoft.com/office/drawing/2014/main" id="{582F6C8F-79D4-491C-AE19-7A70545286E4}"/>
            </a:ext>
          </a:extLst>
        </xdr:cNvPr>
        <xdr:cNvSpPr/>
      </xdr:nvSpPr>
      <xdr:spPr>
        <a:xfrm>
          <a:off x="419100" y="1289049"/>
          <a:ext cx="20646390" cy="11785600"/>
        </a:xfrm>
        <a:prstGeom prst="roundRect">
          <a:avLst>
            <a:gd name="adj" fmla="val 1761"/>
          </a:avLst>
        </a:prstGeom>
        <a:solidFill>
          <a:schemeClr val="tx1"/>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7</xdr:row>
      <xdr:rowOff>110067</xdr:rowOff>
    </xdr:from>
    <xdr:to>
      <xdr:col>11</xdr:col>
      <xdr:colOff>465667</xdr:colOff>
      <xdr:row>14</xdr:row>
      <xdr:rowOff>42333</xdr:rowOff>
    </xdr:to>
    <xdr:sp macro="" textlink="">
      <xdr:nvSpPr>
        <xdr:cNvPr id="4" name="Rectangle: Rounded Corners 3">
          <a:extLst>
            <a:ext uri="{FF2B5EF4-FFF2-40B4-BE49-F238E27FC236}">
              <a16:creationId xmlns:a16="http://schemas.microsoft.com/office/drawing/2014/main" id="{24CE9973-729A-4343-9EB2-6F2A9BD770E8}"/>
            </a:ext>
          </a:extLst>
        </xdr:cNvPr>
        <xdr:cNvSpPr/>
      </xdr:nvSpPr>
      <xdr:spPr>
        <a:xfrm>
          <a:off x="4076700" y="1399117"/>
          <a:ext cx="2904067" cy="1221316"/>
        </a:xfrm>
        <a:prstGeom prst="roundRect">
          <a:avLst>
            <a:gd name="adj" fmla="val 9910"/>
          </a:avLst>
        </a:prstGeom>
        <a:solidFill>
          <a:schemeClr val="bg2">
            <a:lumMod val="25000"/>
          </a:schemeClr>
        </a:solidFill>
        <a:ln>
          <a:noFill/>
        </a:ln>
        <a:effectLst>
          <a:glow rad="101600">
            <a:srgbClr val="FFC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116418</xdr:colOff>
      <xdr:row>2</xdr:row>
      <xdr:rowOff>52917</xdr:rowOff>
    </xdr:from>
    <xdr:to>
      <xdr:col>33</xdr:col>
      <xdr:colOff>1110382</xdr:colOff>
      <xdr:row>6</xdr:row>
      <xdr:rowOff>84666</xdr:rowOff>
    </xdr:to>
    <xdr:sp macro="" textlink="">
      <xdr:nvSpPr>
        <xdr:cNvPr id="5" name="TextBox 4">
          <a:extLst>
            <a:ext uri="{FF2B5EF4-FFF2-40B4-BE49-F238E27FC236}">
              <a16:creationId xmlns:a16="http://schemas.microsoft.com/office/drawing/2014/main" id="{68FF696B-AE56-4A1E-8AB3-4FC4258983CA}"/>
            </a:ext>
          </a:extLst>
        </xdr:cNvPr>
        <xdr:cNvSpPr txBox="1"/>
      </xdr:nvSpPr>
      <xdr:spPr>
        <a:xfrm>
          <a:off x="535518" y="421217"/>
          <a:ext cx="20501164" cy="768349"/>
        </a:xfrm>
        <a:prstGeom prst="roundRect">
          <a:avLst/>
        </a:prstGeom>
        <a:solidFill>
          <a:srgbClr val="FFC000"/>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b="1" baseline="0"/>
            <a:t>		 	CUSTOMER CHURN ANALYTICS DASHBOARD</a:t>
          </a:r>
          <a:endParaRPr lang="en-US" sz="3600" b="1"/>
        </a:p>
      </xdr:txBody>
    </xdr:sp>
    <xdr:clientData/>
  </xdr:twoCellAnchor>
  <xdr:twoCellAnchor>
    <xdr:from>
      <xdr:col>12</xdr:col>
      <xdr:colOff>541294</xdr:colOff>
      <xdr:row>7</xdr:row>
      <xdr:rowOff>110067</xdr:rowOff>
    </xdr:from>
    <xdr:to>
      <xdr:col>17</xdr:col>
      <xdr:colOff>311001</xdr:colOff>
      <xdr:row>14</xdr:row>
      <xdr:rowOff>42333</xdr:rowOff>
    </xdr:to>
    <xdr:sp macro="" textlink="">
      <xdr:nvSpPr>
        <xdr:cNvPr id="6" name="Rectangle: Rounded Corners 5">
          <a:extLst>
            <a:ext uri="{FF2B5EF4-FFF2-40B4-BE49-F238E27FC236}">
              <a16:creationId xmlns:a16="http://schemas.microsoft.com/office/drawing/2014/main" id="{0A82F7C1-086C-4F7A-8D73-1C14547E0AA1}"/>
            </a:ext>
          </a:extLst>
        </xdr:cNvPr>
        <xdr:cNvSpPr/>
      </xdr:nvSpPr>
      <xdr:spPr>
        <a:xfrm>
          <a:off x="7665994" y="1399117"/>
          <a:ext cx="2817707" cy="1221316"/>
        </a:xfrm>
        <a:prstGeom prst="roundRect">
          <a:avLst>
            <a:gd name="adj" fmla="val 9910"/>
          </a:avLst>
        </a:prstGeom>
        <a:solidFill>
          <a:schemeClr val="bg2">
            <a:lumMod val="25000"/>
          </a:schemeClr>
        </a:solidFill>
        <a:ln>
          <a:noFill/>
        </a:ln>
        <a:effectLst>
          <a:glow rad="101600">
            <a:srgbClr val="FFC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345982</xdr:colOff>
      <xdr:row>7</xdr:row>
      <xdr:rowOff>110067</xdr:rowOff>
    </xdr:from>
    <xdr:to>
      <xdr:col>23</xdr:col>
      <xdr:colOff>111455</xdr:colOff>
      <xdr:row>14</xdr:row>
      <xdr:rowOff>42333</xdr:rowOff>
    </xdr:to>
    <xdr:sp macro="" textlink="">
      <xdr:nvSpPr>
        <xdr:cNvPr id="7" name="Rectangle: Rounded Corners 6">
          <a:extLst>
            <a:ext uri="{FF2B5EF4-FFF2-40B4-BE49-F238E27FC236}">
              <a16:creationId xmlns:a16="http://schemas.microsoft.com/office/drawing/2014/main" id="{38E49A55-5556-4D79-9A5E-007DE134F133}"/>
            </a:ext>
          </a:extLst>
        </xdr:cNvPr>
        <xdr:cNvSpPr/>
      </xdr:nvSpPr>
      <xdr:spPr>
        <a:xfrm>
          <a:off x="11128282" y="1399117"/>
          <a:ext cx="2813473" cy="1221316"/>
        </a:xfrm>
        <a:prstGeom prst="roundRect">
          <a:avLst>
            <a:gd name="adj" fmla="val 9910"/>
          </a:avLst>
        </a:prstGeom>
        <a:solidFill>
          <a:schemeClr val="bg2">
            <a:lumMod val="25000"/>
          </a:schemeClr>
        </a:solidFill>
        <a:ln>
          <a:noFill/>
        </a:ln>
        <a:effectLst>
          <a:glow rad="101600">
            <a:srgbClr val="FFC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146436</xdr:colOff>
      <xdr:row>7</xdr:row>
      <xdr:rowOff>110067</xdr:rowOff>
    </xdr:from>
    <xdr:to>
      <xdr:col>28</xdr:col>
      <xdr:colOff>515159</xdr:colOff>
      <xdr:row>14</xdr:row>
      <xdr:rowOff>42333</xdr:rowOff>
    </xdr:to>
    <xdr:sp macro="" textlink="">
      <xdr:nvSpPr>
        <xdr:cNvPr id="8" name="Rectangle: Rounded Corners 7">
          <a:extLst>
            <a:ext uri="{FF2B5EF4-FFF2-40B4-BE49-F238E27FC236}">
              <a16:creationId xmlns:a16="http://schemas.microsoft.com/office/drawing/2014/main" id="{44A6F58D-C51B-4AAC-A61B-BCA0D3E22C46}"/>
            </a:ext>
          </a:extLst>
        </xdr:cNvPr>
        <xdr:cNvSpPr/>
      </xdr:nvSpPr>
      <xdr:spPr>
        <a:xfrm>
          <a:off x="14586336" y="1399117"/>
          <a:ext cx="2807123" cy="1221316"/>
        </a:xfrm>
        <a:prstGeom prst="roundRect">
          <a:avLst>
            <a:gd name="adj" fmla="val 9910"/>
          </a:avLst>
        </a:prstGeom>
        <a:solidFill>
          <a:schemeClr val="bg2">
            <a:lumMod val="25000"/>
          </a:schemeClr>
        </a:solidFill>
        <a:ln>
          <a:noFill/>
        </a:ln>
        <a:effectLst>
          <a:glow rad="101600">
            <a:srgbClr val="FFC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0</xdr:colOff>
      <xdr:row>2</xdr:row>
      <xdr:rowOff>52915</xdr:rowOff>
    </xdr:from>
    <xdr:to>
      <xdr:col>5</xdr:col>
      <xdr:colOff>338664</xdr:colOff>
      <xdr:row>6</xdr:row>
      <xdr:rowOff>95249</xdr:rowOff>
    </xdr:to>
    <xdr:pic>
      <xdr:nvPicPr>
        <xdr:cNvPr id="9" name="Picture 8">
          <a:extLst>
            <a:ext uri="{FF2B5EF4-FFF2-40B4-BE49-F238E27FC236}">
              <a16:creationId xmlns:a16="http://schemas.microsoft.com/office/drawing/2014/main" id="{494FF8E9-7DD5-4793-9351-C1EC5C54EBBE}"/>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rightnessContrast contrast="-20000"/>
                  </a14:imgEffect>
                </a14:imgLayer>
              </a14:imgProps>
            </a:ext>
            <a:ext uri="{28A0092B-C50C-407E-A947-70E740481C1C}">
              <a14:useLocalDpi xmlns:a14="http://schemas.microsoft.com/office/drawing/2010/main" val="0"/>
            </a:ext>
          </a:extLst>
        </a:blip>
        <a:srcRect l="9183" t="19388" r="9183" b="18367"/>
        <a:stretch/>
      </xdr:blipFill>
      <xdr:spPr>
        <a:xfrm>
          <a:off x="1638300" y="421215"/>
          <a:ext cx="1557864" cy="778934"/>
        </a:xfrm>
        <a:prstGeom prst="rect">
          <a:avLst/>
        </a:prstGeom>
      </xdr:spPr>
    </xdr:pic>
    <xdr:clientData/>
  </xdr:twoCellAnchor>
  <xdr:twoCellAnchor>
    <xdr:from>
      <xdr:col>1</xdr:col>
      <xdr:colOff>116418</xdr:colOff>
      <xdr:row>7</xdr:row>
      <xdr:rowOff>110067</xdr:rowOff>
    </xdr:from>
    <xdr:to>
      <xdr:col>6</xdr:col>
      <xdr:colOff>370417</xdr:colOff>
      <xdr:row>70</xdr:row>
      <xdr:rowOff>4525</xdr:rowOff>
    </xdr:to>
    <xdr:sp macro="" textlink="">
      <xdr:nvSpPr>
        <xdr:cNvPr id="10" name="Rectangle: Rounded Corners 9">
          <a:extLst>
            <a:ext uri="{FF2B5EF4-FFF2-40B4-BE49-F238E27FC236}">
              <a16:creationId xmlns:a16="http://schemas.microsoft.com/office/drawing/2014/main" id="{692B5F3A-D012-4572-96C8-5CD6528CC20E}"/>
            </a:ext>
          </a:extLst>
        </xdr:cNvPr>
        <xdr:cNvSpPr/>
      </xdr:nvSpPr>
      <xdr:spPr>
        <a:xfrm>
          <a:off x="535518" y="1399117"/>
          <a:ext cx="3301999" cy="11495908"/>
        </a:xfrm>
        <a:prstGeom prst="roundRect">
          <a:avLst>
            <a:gd name="adj" fmla="val 5850"/>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7</xdr:row>
      <xdr:rowOff>110068</xdr:rowOff>
    </xdr:from>
    <xdr:to>
      <xdr:col>11</xdr:col>
      <xdr:colOff>465667</xdr:colOff>
      <xdr:row>10</xdr:row>
      <xdr:rowOff>97367</xdr:rowOff>
    </xdr:to>
    <xdr:sp macro="" textlink="">
      <xdr:nvSpPr>
        <xdr:cNvPr id="11" name="TextBox 10">
          <a:extLst>
            <a:ext uri="{FF2B5EF4-FFF2-40B4-BE49-F238E27FC236}">
              <a16:creationId xmlns:a16="http://schemas.microsoft.com/office/drawing/2014/main" id="{08C6F3E4-BE76-4B3A-8847-8391C33B280D}"/>
            </a:ext>
          </a:extLst>
        </xdr:cNvPr>
        <xdr:cNvSpPr txBox="1"/>
      </xdr:nvSpPr>
      <xdr:spPr>
        <a:xfrm>
          <a:off x="4686300" y="1399118"/>
          <a:ext cx="2294467" cy="539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C000"/>
              </a:solidFill>
            </a:rPr>
            <a:t>Total Customers</a:t>
          </a:r>
        </a:p>
      </xdr:txBody>
    </xdr:sp>
    <xdr:clientData/>
  </xdr:twoCellAnchor>
  <xdr:twoCellAnchor>
    <xdr:from>
      <xdr:col>12</xdr:col>
      <xdr:colOff>541294</xdr:colOff>
      <xdr:row>7</xdr:row>
      <xdr:rowOff>76479</xdr:rowOff>
    </xdr:from>
    <xdr:to>
      <xdr:col>17</xdr:col>
      <xdr:colOff>311001</xdr:colOff>
      <xdr:row>10</xdr:row>
      <xdr:rowOff>175822</xdr:rowOff>
    </xdr:to>
    <xdr:sp macro="" textlink="">
      <xdr:nvSpPr>
        <xdr:cNvPr id="12" name="TextBox 11">
          <a:extLst>
            <a:ext uri="{FF2B5EF4-FFF2-40B4-BE49-F238E27FC236}">
              <a16:creationId xmlns:a16="http://schemas.microsoft.com/office/drawing/2014/main" id="{920EE3DF-AFAA-4784-84F0-66552E3C93D3}"/>
            </a:ext>
          </a:extLst>
        </xdr:cNvPr>
        <xdr:cNvSpPr txBox="1"/>
      </xdr:nvSpPr>
      <xdr:spPr>
        <a:xfrm>
          <a:off x="7665994" y="1365529"/>
          <a:ext cx="2817707" cy="651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C000"/>
              </a:solidFill>
            </a:rPr>
            <a:t>Churned Customers</a:t>
          </a:r>
        </a:p>
      </xdr:txBody>
    </xdr:sp>
    <xdr:clientData/>
  </xdr:twoCellAnchor>
  <xdr:twoCellAnchor>
    <xdr:from>
      <xdr:col>18</xdr:col>
      <xdr:colOff>359575</xdr:colOff>
      <xdr:row>7</xdr:row>
      <xdr:rowOff>110068</xdr:rowOff>
    </xdr:from>
    <xdr:to>
      <xdr:col>23</xdr:col>
      <xdr:colOff>205767</xdr:colOff>
      <xdr:row>10</xdr:row>
      <xdr:rowOff>-1</xdr:rowOff>
    </xdr:to>
    <xdr:sp macro="" textlink="">
      <xdr:nvSpPr>
        <xdr:cNvPr id="13" name="TextBox 12">
          <a:extLst>
            <a:ext uri="{FF2B5EF4-FFF2-40B4-BE49-F238E27FC236}">
              <a16:creationId xmlns:a16="http://schemas.microsoft.com/office/drawing/2014/main" id="{A71C8504-2252-4088-98C6-F6749CE1DF7B}"/>
            </a:ext>
          </a:extLst>
        </xdr:cNvPr>
        <xdr:cNvSpPr txBox="1"/>
      </xdr:nvSpPr>
      <xdr:spPr>
        <a:xfrm>
          <a:off x="11141875" y="1399118"/>
          <a:ext cx="2894192" cy="44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C000"/>
              </a:solidFill>
            </a:rPr>
            <a:t>Churn Rate</a:t>
          </a:r>
          <a:r>
            <a:rPr lang="en-US" sz="2400" b="1" baseline="0">
              <a:solidFill>
                <a:srgbClr val="FFC000"/>
              </a:solidFill>
            </a:rPr>
            <a:t> (%)</a:t>
          </a:r>
          <a:endParaRPr lang="en-US" sz="2400" b="1">
            <a:solidFill>
              <a:srgbClr val="FFC000"/>
            </a:solidFill>
          </a:endParaRPr>
        </a:p>
      </xdr:txBody>
    </xdr:sp>
    <xdr:clientData/>
  </xdr:twoCellAnchor>
  <xdr:twoCellAnchor>
    <xdr:from>
      <xdr:col>24</xdr:col>
      <xdr:colOff>248707</xdr:colOff>
      <xdr:row>7</xdr:row>
      <xdr:rowOff>110069</xdr:rowOff>
    </xdr:from>
    <xdr:to>
      <xdr:col>28</xdr:col>
      <xdr:colOff>455659</xdr:colOff>
      <xdr:row>9</xdr:row>
      <xdr:rowOff>158751</xdr:rowOff>
    </xdr:to>
    <xdr:sp macro="" textlink="">
      <xdr:nvSpPr>
        <xdr:cNvPr id="14" name="TextBox 13">
          <a:extLst>
            <a:ext uri="{FF2B5EF4-FFF2-40B4-BE49-F238E27FC236}">
              <a16:creationId xmlns:a16="http://schemas.microsoft.com/office/drawing/2014/main" id="{D78846DF-4AE2-43C0-AD73-38267792EC8D}"/>
            </a:ext>
          </a:extLst>
        </xdr:cNvPr>
        <xdr:cNvSpPr txBox="1"/>
      </xdr:nvSpPr>
      <xdr:spPr>
        <a:xfrm>
          <a:off x="14688607" y="1399119"/>
          <a:ext cx="2645352" cy="416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C000"/>
              </a:solidFill>
            </a:rPr>
            <a:t>Retention Rate (%)</a:t>
          </a:r>
        </a:p>
      </xdr:txBody>
    </xdr:sp>
    <xdr:clientData/>
  </xdr:twoCellAnchor>
  <xdr:twoCellAnchor>
    <xdr:from>
      <xdr:col>6</xdr:col>
      <xdr:colOff>469902</xdr:colOff>
      <xdr:row>14</xdr:row>
      <xdr:rowOff>184148</xdr:rowOff>
    </xdr:from>
    <xdr:to>
      <xdr:col>20</xdr:col>
      <xdr:colOff>485142</xdr:colOff>
      <xdr:row>32</xdr:row>
      <xdr:rowOff>46988</xdr:rowOff>
    </xdr:to>
    <xdr:sp macro="" textlink="">
      <xdr:nvSpPr>
        <xdr:cNvPr id="15" name="Rectangle: Rounded Corners 14">
          <a:extLst>
            <a:ext uri="{FF2B5EF4-FFF2-40B4-BE49-F238E27FC236}">
              <a16:creationId xmlns:a16="http://schemas.microsoft.com/office/drawing/2014/main" id="{1CB9DCFC-D3A2-43F5-B139-C1EE5463A668}"/>
            </a:ext>
          </a:extLst>
        </xdr:cNvPr>
        <xdr:cNvSpPr/>
      </xdr:nvSpPr>
      <xdr:spPr>
        <a:xfrm>
          <a:off x="3937002" y="2762248"/>
          <a:ext cx="8549640" cy="3177540"/>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21</xdr:col>
      <xdr:colOff>-1</xdr:colOff>
      <xdr:row>15</xdr:row>
      <xdr:rowOff>0</xdr:rowOff>
    </xdr:from>
    <xdr:to>
      <xdr:col>33</xdr:col>
      <xdr:colOff>984248</xdr:colOff>
      <xdr:row>32</xdr:row>
      <xdr:rowOff>53340</xdr:rowOff>
    </xdr:to>
    <xdr:sp macro="" textlink="">
      <xdr:nvSpPr>
        <xdr:cNvPr id="16" name="Rectangle: Rounded Corners 15">
          <a:extLst>
            <a:ext uri="{FF2B5EF4-FFF2-40B4-BE49-F238E27FC236}">
              <a16:creationId xmlns:a16="http://schemas.microsoft.com/office/drawing/2014/main" id="{9A76701C-06B4-4932-BE50-7E7AC7CF6579}"/>
            </a:ext>
          </a:extLst>
        </xdr:cNvPr>
        <xdr:cNvSpPr/>
      </xdr:nvSpPr>
      <xdr:spPr>
        <a:xfrm>
          <a:off x="12611099" y="2762250"/>
          <a:ext cx="8299449" cy="3183890"/>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469902</xdr:colOff>
      <xdr:row>32</xdr:row>
      <xdr:rowOff>166313</xdr:rowOff>
    </xdr:from>
    <xdr:to>
      <xdr:col>15</xdr:col>
      <xdr:colOff>131574</xdr:colOff>
      <xdr:row>50</xdr:row>
      <xdr:rowOff>33190</xdr:rowOff>
    </xdr:to>
    <xdr:sp macro="" textlink="">
      <xdr:nvSpPr>
        <xdr:cNvPr id="17" name="Rectangle: Rounded Corners 16">
          <a:extLst>
            <a:ext uri="{FF2B5EF4-FFF2-40B4-BE49-F238E27FC236}">
              <a16:creationId xmlns:a16="http://schemas.microsoft.com/office/drawing/2014/main" id="{E23C0E52-E912-48C8-ACDE-8387C49D005F}"/>
            </a:ext>
          </a:extLst>
        </xdr:cNvPr>
        <xdr:cNvSpPr/>
      </xdr:nvSpPr>
      <xdr:spPr>
        <a:xfrm>
          <a:off x="3937002" y="6059113"/>
          <a:ext cx="5148072" cy="3181577"/>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256118</xdr:colOff>
      <xdr:row>32</xdr:row>
      <xdr:rowOff>166313</xdr:rowOff>
    </xdr:from>
    <xdr:to>
      <xdr:col>23</xdr:col>
      <xdr:colOff>527390</xdr:colOff>
      <xdr:row>50</xdr:row>
      <xdr:rowOff>33190</xdr:rowOff>
    </xdr:to>
    <xdr:sp macro="" textlink="">
      <xdr:nvSpPr>
        <xdr:cNvPr id="18" name="Rectangle: Rounded Corners 17">
          <a:extLst>
            <a:ext uri="{FF2B5EF4-FFF2-40B4-BE49-F238E27FC236}">
              <a16:creationId xmlns:a16="http://schemas.microsoft.com/office/drawing/2014/main" id="{A0BED1D1-E41B-4B69-B05B-483425CE2EC0}"/>
            </a:ext>
          </a:extLst>
        </xdr:cNvPr>
        <xdr:cNvSpPr/>
      </xdr:nvSpPr>
      <xdr:spPr>
        <a:xfrm>
          <a:off x="9209618" y="6059113"/>
          <a:ext cx="5148072" cy="3181577"/>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42332</xdr:colOff>
      <xdr:row>32</xdr:row>
      <xdr:rowOff>166312</xdr:rowOff>
    </xdr:from>
    <xdr:to>
      <xdr:col>33</xdr:col>
      <xdr:colOff>1013882</xdr:colOff>
      <xdr:row>50</xdr:row>
      <xdr:rowOff>33189</xdr:rowOff>
    </xdr:to>
    <xdr:sp macro="" textlink="">
      <xdr:nvSpPr>
        <xdr:cNvPr id="19" name="Rectangle: Rounded Corners 18">
          <a:extLst>
            <a:ext uri="{FF2B5EF4-FFF2-40B4-BE49-F238E27FC236}">
              <a16:creationId xmlns:a16="http://schemas.microsoft.com/office/drawing/2014/main" id="{69B2343A-21BE-4F03-B47A-00336A4D803D}"/>
            </a:ext>
          </a:extLst>
        </xdr:cNvPr>
        <xdr:cNvSpPr/>
      </xdr:nvSpPr>
      <xdr:spPr>
        <a:xfrm>
          <a:off x="14482232" y="6059112"/>
          <a:ext cx="6457950" cy="3181577"/>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550138</xdr:colOff>
      <xdr:row>7</xdr:row>
      <xdr:rowOff>135465</xdr:rowOff>
    </xdr:from>
    <xdr:to>
      <xdr:col>33</xdr:col>
      <xdr:colOff>915472</xdr:colOff>
      <xdr:row>14</xdr:row>
      <xdr:rowOff>67731</xdr:rowOff>
    </xdr:to>
    <xdr:sp macro="" textlink="">
      <xdr:nvSpPr>
        <xdr:cNvPr id="20" name="Rectangle: Rounded Corners 19">
          <a:extLst>
            <a:ext uri="{FF2B5EF4-FFF2-40B4-BE49-F238E27FC236}">
              <a16:creationId xmlns:a16="http://schemas.microsoft.com/office/drawing/2014/main" id="{F632E364-9B4C-44E2-A9C7-8DE7C298936C}"/>
            </a:ext>
          </a:extLst>
        </xdr:cNvPr>
        <xdr:cNvSpPr/>
      </xdr:nvSpPr>
      <xdr:spPr>
        <a:xfrm>
          <a:off x="18038038" y="1424515"/>
          <a:ext cx="2803734" cy="1221316"/>
        </a:xfrm>
        <a:prstGeom prst="roundRect">
          <a:avLst>
            <a:gd name="adj" fmla="val 9910"/>
          </a:avLst>
        </a:prstGeom>
        <a:solidFill>
          <a:schemeClr val="bg2">
            <a:lumMod val="25000"/>
          </a:schemeClr>
        </a:solidFill>
        <a:ln>
          <a:noFill/>
        </a:ln>
        <a:effectLst>
          <a:glow rad="101600">
            <a:srgbClr val="FFC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550139</xdr:colOff>
      <xdr:row>7</xdr:row>
      <xdr:rowOff>110068</xdr:rowOff>
    </xdr:from>
    <xdr:to>
      <xdr:col>33</xdr:col>
      <xdr:colOff>1013883</xdr:colOff>
      <xdr:row>10</xdr:row>
      <xdr:rowOff>52917</xdr:rowOff>
    </xdr:to>
    <xdr:sp macro="" textlink="">
      <xdr:nvSpPr>
        <xdr:cNvPr id="21" name="TextBox 20">
          <a:extLst>
            <a:ext uri="{FF2B5EF4-FFF2-40B4-BE49-F238E27FC236}">
              <a16:creationId xmlns:a16="http://schemas.microsoft.com/office/drawing/2014/main" id="{11C6E763-C696-44FC-8B3E-E4B072C0099F}"/>
            </a:ext>
          </a:extLst>
        </xdr:cNvPr>
        <xdr:cNvSpPr txBox="1"/>
      </xdr:nvSpPr>
      <xdr:spPr>
        <a:xfrm>
          <a:off x="18038039" y="1399118"/>
          <a:ext cx="2902144"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C000"/>
              </a:solidFill>
            </a:rPr>
            <a:t>Total Revenue</a:t>
          </a:r>
          <a:r>
            <a:rPr lang="en-US" sz="2400" b="1" baseline="0">
              <a:solidFill>
                <a:srgbClr val="FFC000"/>
              </a:solidFill>
            </a:rPr>
            <a:t> Lost </a:t>
          </a:r>
          <a:endParaRPr lang="en-US" sz="2400" b="1">
            <a:solidFill>
              <a:srgbClr val="FFC000"/>
            </a:solidFill>
          </a:endParaRPr>
        </a:p>
      </xdr:txBody>
    </xdr:sp>
    <xdr:clientData/>
  </xdr:twoCellAnchor>
  <xdr:twoCellAnchor>
    <xdr:from>
      <xdr:col>7</xdr:col>
      <xdr:colOff>0</xdr:colOff>
      <xdr:row>11</xdr:row>
      <xdr:rowOff>0</xdr:rowOff>
    </xdr:from>
    <xdr:to>
      <xdr:col>11</xdr:col>
      <xdr:colOff>465667</xdr:colOff>
      <xdr:row>14</xdr:row>
      <xdr:rowOff>148166</xdr:rowOff>
    </xdr:to>
    <xdr:sp macro="" textlink="' Pivot Table &amp; Charts'!F5">
      <xdr:nvSpPr>
        <xdr:cNvPr id="22" name="TextBox 21">
          <a:extLst>
            <a:ext uri="{FF2B5EF4-FFF2-40B4-BE49-F238E27FC236}">
              <a16:creationId xmlns:a16="http://schemas.microsoft.com/office/drawing/2014/main" id="{6BB1457C-3DAE-413E-8575-025800427026}"/>
            </a:ext>
          </a:extLst>
        </xdr:cNvPr>
        <xdr:cNvSpPr txBox="1"/>
      </xdr:nvSpPr>
      <xdr:spPr>
        <a:xfrm>
          <a:off x="4076700" y="2025650"/>
          <a:ext cx="2904067" cy="700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CBBD21-69FD-4391-88A4-E44953685737}" type="TxLink">
            <a:rPr lang="en-US" sz="3600" b="1" i="0" u="none" strike="noStrike">
              <a:solidFill>
                <a:schemeClr val="bg1">
                  <a:lumMod val="95000"/>
                </a:schemeClr>
              </a:solidFill>
              <a:latin typeface="Gadugi" panose="020B0502040204020203" pitchFamily="34" charset="0"/>
              <a:ea typeface="Gadugi" panose="020B0502040204020203" pitchFamily="34" charset="0"/>
            </a:rPr>
            <a:pPr algn="ctr"/>
            <a:t>496</a:t>
          </a:fld>
          <a:endParaRPr lang="en-US" sz="5400" b="1">
            <a:solidFill>
              <a:schemeClr val="bg1">
                <a:lumMod val="95000"/>
              </a:schemeClr>
            </a:solidFill>
            <a:latin typeface="Gadugi" panose="020B0502040204020203" pitchFamily="34" charset="0"/>
            <a:ea typeface="Gadugi" panose="020B0502040204020203" pitchFamily="34" charset="0"/>
          </a:endParaRPr>
        </a:p>
      </xdr:txBody>
    </xdr:sp>
    <xdr:clientData/>
  </xdr:twoCellAnchor>
  <xdr:twoCellAnchor>
    <xdr:from>
      <xdr:col>14</xdr:col>
      <xdr:colOff>0</xdr:colOff>
      <xdr:row>10</xdr:row>
      <xdr:rowOff>148165</xdr:rowOff>
    </xdr:from>
    <xdr:to>
      <xdr:col>17</xdr:col>
      <xdr:colOff>269883</xdr:colOff>
      <xdr:row>14</xdr:row>
      <xdr:rowOff>148166</xdr:rowOff>
    </xdr:to>
    <xdr:sp macro="" textlink="' Pivot Table &amp; Charts'!B6">
      <xdr:nvSpPr>
        <xdr:cNvPr id="23" name="TextBox 22">
          <a:extLst>
            <a:ext uri="{FF2B5EF4-FFF2-40B4-BE49-F238E27FC236}">
              <a16:creationId xmlns:a16="http://schemas.microsoft.com/office/drawing/2014/main" id="{81DC42BA-9188-4E20-B2FE-E1046424266F}"/>
            </a:ext>
          </a:extLst>
        </xdr:cNvPr>
        <xdr:cNvSpPr txBox="1"/>
      </xdr:nvSpPr>
      <xdr:spPr>
        <a:xfrm>
          <a:off x="8343900" y="1989665"/>
          <a:ext cx="2098683" cy="736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AA05F4B-3ACB-4D2C-9804-3F6532188669}" type="TxLink">
            <a:rPr lang="en-US" sz="3600" b="1" i="0" u="none" strike="noStrike">
              <a:solidFill>
                <a:schemeClr val="bg1">
                  <a:lumMod val="95000"/>
                </a:schemeClr>
              </a:solidFill>
              <a:latin typeface="Gadugi" panose="020B0502040204020203" pitchFamily="34" charset="0"/>
              <a:ea typeface="Gadugi" panose="020B0502040204020203" pitchFamily="34" charset="0"/>
              <a:cs typeface="+mn-cs"/>
            </a:rPr>
            <a:pPr marL="0" indent="0" algn="ctr"/>
            <a:t>146</a:t>
          </a:fld>
          <a:endParaRPr lang="en-US" sz="3600" b="1" i="0" u="none" strike="noStrike">
            <a:solidFill>
              <a:schemeClr val="bg1">
                <a:lumMod val="95000"/>
              </a:schemeClr>
            </a:solidFill>
            <a:latin typeface="Gadugi" panose="020B0502040204020203" pitchFamily="34" charset="0"/>
            <a:ea typeface="Gadugi" panose="020B0502040204020203" pitchFamily="34" charset="0"/>
            <a:cs typeface="+mn-cs"/>
          </a:endParaRPr>
        </a:p>
      </xdr:txBody>
    </xdr:sp>
    <xdr:clientData/>
  </xdr:twoCellAnchor>
  <xdr:twoCellAnchor>
    <xdr:from>
      <xdr:col>19</xdr:col>
      <xdr:colOff>392264</xdr:colOff>
      <xdr:row>10</xdr:row>
      <xdr:rowOff>148166</xdr:rowOff>
    </xdr:from>
    <xdr:to>
      <xdr:col>23</xdr:col>
      <xdr:colOff>111454</xdr:colOff>
      <xdr:row>14</xdr:row>
      <xdr:rowOff>148166</xdr:rowOff>
    </xdr:to>
    <xdr:sp macro="" textlink="' Pivot Table &amp; Charts'!C6">
      <xdr:nvSpPr>
        <xdr:cNvPr id="24" name="TextBox 23">
          <a:extLst>
            <a:ext uri="{FF2B5EF4-FFF2-40B4-BE49-F238E27FC236}">
              <a16:creationId xmlns:a16="http://schemas.microsoft.com/office/drawing/2014/main" id="{308283A9-91D7-4681-8123-DCD09E7A4A00}"/>
            </a:ext>
          </a:extLst>
        </xdr:cNvPr>
        <xdr:cNvSpPr txBox="1"/>
      </xdr:nvSpPr>
      <xdr:spPr>
        <a:xfrm>
          <a:off x="11784164" y="1989666"/>
          <a:ext cx="2157590" cy="736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F1664FB-77FD-4185-96E6-CC92E5359332}" type="TxLink">
            <a:rPr lang="en-US" sz="3600" b="1" i="0" u="none" strike="noStrike">
              <a:solidFill>
                <a:schemeClr val="bg1">
                  <a:lumMod val="95000"/>
                </a:schemeClr>
              </a:solidFill>
              <a:latin typeface="Gadugi" panose="020B0502040204020203" pitchFamily="34" charset="0"/>
              <a:ea typeface="Gadugi" panose="020B0502040204020203" pitchFamily="34" charset="0"/>
              <a:cs typeface="+mn-cs"/>
            </a:rPr>
            <a:pPr marL="0" indent="0" algn="ctr"/>
            <a:t>29.44%</a:t>
          </a:fld>
          <a:endParaRPr lang="en-US" sz="3600" b="1" i="0" u="none" strike="noStrike">
            <a:solidFill>
              <a:schemeClr val="bg1">
                <a:lumMod val="95000"/>
              </a:schemeClr>
            </a:solidFill>
            <a:latin typeface="Gadugi" panose="020B0502040204020203" pitchFamily="34" charset="0"/>
            <a:ea typeface="Gadugi" panose="020B0502040204020203" pitchFamily="34" charset="0"/>
            <a:cs typeface="+mn-cs"/>
          </a:endParaRPr>
        </a:p>
      </xdr:txBody>
    </xdr:sp>
    <xdr:clientData/>
  </xdr:twoCellAnchor>
  <xdr:twoCellAnchor>
    <xdr:from>
      <xdr:col>25</xdr:col>
      <xdr:colOff>0</xdr:colOff>
      <xdr:row>10</xdr:row>
      <xdr:rowOff>148167</xdr:rowOff>
    </xdr:from>
    <xdr:to>
      <xdr:col>28</xdr:col>
      <xdr:colOff>515158</xdr:colOff>
      <xdr:row>14</xdr:row>
      <xdr:rowOff>148166</xdr:rowOff>
    </xdr:to>
    <xdr:sp macro="" textlink="' Pivot Table &amp; Charts'!C5">
      <xdr:nvSpPr>
        <xdr:cNvPr id="25" name="TextBox 24">
          <a:extLst>
            <a:ext uri="{FF2B5EF4-FFF2-40B4-BE49-F238E27FC236}">
              <a16:creationId xmlns:a16="http://schemas.microsoft.com/office/drawing/2014/main" id="{58DF402B-93C7-4694-A7EA-367B5CE799E3}"/>
            </a:ext>
          </a:extLst>
        </xdr:cNvPr>
        <xdr:cNvSpPr txBox="1"/>
      </xdr:nvSpPr>
      <xdr:spPr>
        <a:xfrm>
          <a:off x="15049500" y="1989667"/>
          <a:ext cx="2343958" cy="736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6500570-7038-48E4-82E0-F5A774D370CA}" type="TxLink">
            <a:rPr lang="en-US" sz="3600" b="1" i="0" u="none" strike="noStrike">
              <a:solidFill>
                <a:schemeClr val="bg1">
                  <a:lumMod val="95000"/>
                </a:schemeClr>
              </a:solidFill>
              <a:latin typeface="Gadugi" panose="020B0502040204020203" pitchFamily="34" charset="0"/>
              <a:ea typeface="Gadugi" panose="020B0502040204020203" pitchFamily="34" charset="0"/>
              <a:cs typeface="+mn-cs"/>
            </a:rPr>
            <a:pPr marL="0" indent="0" algn="ctr"/>
            <a:t>70.56%</a:t>
          </a:fld>
          <a:endParaRPr lang="en-US" sz="3600" b="1" i="0" u="none" strike="noStrike">
            <a:solidFill>
              <a:schemeClr val="bg1">
                <a:lumMod val="95000"/>
              </a:schemeClr>
            </a:solidFill>
            <a:latin typeface="Gadugi" panose="020B0502040204020203" pitchFamily="34" charset="0"/>
            <a:ea typeface="Gadugi" panose="020B0502040204020203" pitchFamily="34" charset="0"/>
            <a:cs typeface="+mn-cs"/>
          </a:endParaRPr>
        </a:p>
      </xdr:txBody>
    </xdr:sp>
    <xdr:clientData/>
  </xdr:twoCellAnchor>
  <xdr:twoCellAnchor>
    <xdr:from>
      <xdr:col>30</xdr:col>
      <xdr:colOff>31747</xdr:colOff>
      <xdr:row>10</xdr:row>
      <xdr:rowOff>148166</xdr:rowOff>
    </xdr:from>
    <xdr:to>
      <xdr:col>33</xdr:col>
      <xdr:colOff>984248</xdr:colOff>
      <xdr:row>14</xdr:row>
      <xdr:rowOff>148166</xdr:rowOff>
    </xdr:to>
    <xdr:sp macro="" textlink="' Pivot Table &amp; Charts'!B36">
      <xdr:nvSpPr>
        <xdr:cNvPr id="26" name="TextBox 25">
          <a:extLst>
            <a:ext uri="{FF2B5EF4-FFF2-40B4-BE49-F238E27FC236}">
              <a16:creationId xmlns:a16="http://schemas.microsoft.com/office/drawing/2014/main" id="{C3765DEF-4783-4C10-9FC1-88E8E9A32160}"/>
            </a:ext>
          </a:extLst>
        </xdr:cNvPr>
        <xdr:cNvSpPr txBox="1"/>
      </xdr:nvSpPr>
      <xdr:spPr>
        <a:xfrm>
          <a:off x="18129247" y="1989666"/>
          <a:ext cx="2781301" cy="736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BA41172-1E45-46BB-9021-060933DB046D}" type="TxLink">
            <a:rPr lang="en-US" sz="3600" b="1" i="0" u="none" strike="noStrike">
              <a:solidFill>
                <a:schemeClr val="bg1">
                  <a:lumMod val="95000"/>
                </a:schemeClr>
              </a:solidFill>
              <a:latin typeface="Gadugi" panose="020B0502040204020203" pitchFamily="34" charset="0"/>
              <a:ea typeface="Gadugi" panose="020B0502040204020203" pitchFamily="34" charset="0"/>
              <a:cs typeface="+mn-cs"/>
            </a:rPr>
            <a:pPr marL="0" indent="0" algn="ctr"/>
            <a:t>₦58M</a:t>
          </a:fld>
          <a:endParaRPr lang="en-US" sz="3600" b="1" i="0" u="none" strike="noStrike">
            <a:solidFill>
              <a:schemeClr val="bg1">
                <a:lumMod val="95000"/>
              </a:schemeClr>
            </a:solidFill>
            <a:latin typeface="Gadugi" panose="020B0502040204020203" pitchFamily="34" charset="0"/>
            <a:ea typeface="Gadugi" panose="020B0502040204020203" pitchFamily="34" charset="0"/>
            <a:cs typeface="+mn-cs"/>
          </a:endParaRPr>
        </a:p>
      </xdr:txBody>
    </xdr:sp>
    <xdr:clientData/>
  </xdr:twoCellAnchor>
  <xdr:twoCellAnchor>
    <xdr:from>
      <xdr:col>6</xdr:col>
      <xdr:colOff>469902</xdr:colOff>
      <xdr:row>32</xdr:row>
      <xdr:rowOff>179262</xdr:rowOff>
    </xdr:from>
    <xdr:to>
      <xdr:col>15</xdr:col>
      <xdr:colOff>0</xdr:colOff>
      <xdr:row>50</xdr:row>
      <xdr:rowOff>33190</xdr:rowOff>
    </xdr:to>
    <xdr:graphicFrame macro="">
      <xdr:nvGraphicFramePr>
        <xdr:cNvPr id="27" name="Chart 26">
          <a:extLst>
            <a:ext uri="{FF2B5EF4-FFF2-40B4-BE49-F238E27FC236}">
              <a16:creationId xmlns:a16="http://schemas.microsoft.com/office/drawing/2014/main" id="{E63D62E5-EF7F-44B5-B20D-C5FDBE52E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15</xdr:row>
      <xdr:rowOff>83820</xdr:rowOff>
    </xdr:from>
    <xdr:to>
      <xdr:col>20</xdr:col>
      <xdr:colOff>439421</xdr:colOff>
      <xdr:row>32</xdr:row>
      <xdr:rowOff>0</xdr:rowOff>
    </xdr:to>
    <xdr:graphicFrame macro="">
      <xdr:nvGraphicFramePr>
        <xdr:cNvPr id="28" name="Chart 27">
          <a:extLst>
            <a:ext uri="{FF2B5EF4-FFF2-40B4-BE49-F238E27FC236}">
              <a16:creationId xmlns:a16="http://schemas.microsoft.com/office/drawing/2014/main" id="{BA17D59B-56BF-4F71-A16C-3F246AB7A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196850</xdr:colOff>
      <xdr:row>32</xdr:row>
      <xdr:rowOff>179262</xdr:rowOff>
    </xdr:from>
    <xdr:to>
      <xdr:col>23</xdr:col>
      <xdr:colOff>466091</xdr:colOff>
      <xdr:row>49</xdr:row>
      <xdr:rowOff>111721</xdr:rowOff>
    </xdr:to>
    <xdr:graphicFrame macro="">
      <xdr:nvGraphicFramePr>
        <xdr:cNvPr id="29" name="Chart 28">
          <a:extLst>
            <a:ext uri="{FF2B5EF4-FFF2-40B4-BE49-F238E27FC236}">
              <a16:creationId xmlns:a16="http://schemas.microsoft.com/office/drawing/2014/main" id="{E4968A6B-D6CD-4E7B-A79D-47A9FBAD1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345290</xdr:colOff>
      <xdr:row>8</xdr:row>
      <xdr:rowOff>85585</xdr:rowOff>
    </xdr:from>
    <xdr:to>
      <xdr:col>4</xdr:col>
      <xdr:colOff>345290</xdr:colOff>
      <xdr:row>11</xdr:row>
      <xdr:rowOff>85584</xdr:rowOff>
    </xdr:to>
    <xdr:sp macro="" textlink="">
      <xdr:nvSpPr>
        <xdr:cNvPr id="30" name="TextBox 29">
          <a:extLst>
            <a:ext uri="{FF2B5EF4-FFF2-40B4-BE49-F238E27FC236}">
              <a16:creationId xmlns:a16="http://schemas.microsoft.com/office/drawing/2014/main" id="{27C2FA5C-7BDA-4573-8FF3-03905E1D8AF6}"/>
            </a:ext>
          </a:extLst>
        </xdr:cNvPr>
        <xdr:cNvSpPr txBox="1"/>
      </xdr:nvSpPr>
      <xdr:spPr>
        <a:xfrm>
          <a:off x="764390" y="1558785"/>
          <a:ext cx="1828800" cy="552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FFC000"/>
              </a:solidFill>
            </a:rPr>
            <a:t>Filter Pane</a:t>
          </a:r>
        </a:p>
      </xdr:txBody>
    </xdr:sp>
    <xdr:clientData/>
  </xdr:twoCellAnchor>
  <xdr:twoCellAnchor>
    <xdr:from>
      <xdr:col>19</xdr:col>
      <xdr:colOff>607389</xdr:colOff>
      <xdr:row>50</xdr:row>
      <xdr:rowOff>133945</xdr:rowOff>
    </xdr:from>
    <xdr:to>
      <xdr:col>33</xdr:col>
      <xdr:colOff>976604</xdr:colOff>
      <xdr:row>70</xdr:row>
      <xdr:rowOff>-1</xdr:rowOff>
    </xdr:to>
    <xdr:sp macro="" textlink="">
      <xdr:nvSpPr>
        <xdr:cNvPr id="31" name="Rectangle: Rounded Corners 30">
          <a:extLst>
            <a:ext uri="{FF2B5EF4-FFF2-40B4-BE49-F238E27FC236}">
              <a16:creationId xmlns:a16="http://schemas.microsoft.com/office/drawing/2014/main" id="{D571D3E0-F379-4CD2-856E-7AAF4DC712EE}"/>
            </a:ext>
          </a:extLst>
        </xdr:cNvPr>
        <xdr:cNvSpPr/>
      </xdr:nvSpPr>
      <xdr:spPr>
        <a:xfrm>
          <a:off x="11999289" y="9341445"/>
          <a:ext cx="8903615" cy="3549054"/>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607390</xdr:colOff>
      <xdr:row>51</xdr:row>
      <xdr:rowOff>2</xdr:rowOff>
    </xdr:from>
    <xdr:to>
      <xdr:col>33</xdr:col>
      <xdr:colOff>915471</xdr:colOff>
      <xdr:row>70</xdr:row>
      <xdr:rowOff>0</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11693479-F48F-48F1-B76F-F29AD78C91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999290" y="9391652"/>
              <a:ext cx="8842481" cy="34988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0</xdr:colOff>
      <xdr:row>17</xdr:row>
      <xdr:rowOff>1</xdr:rowOff>
    </xdr:from>
    <xdr:to>
      <xdr:col>33</xdr:col>
      <xdr:colOff>836212</xdr:colOff>
      <xdr:row>31</xdr:row>
      <xdr:rowOff>0</xdr:rowOff>
    </xdr:to>
    <xdr:graphicFrame macro="">
      <xdr:nvGraphicFramePr>
        <xdr:cNvPr id="33" name="Chart 32">
          <a:extLst>
            <a:ext uri="{FF2B5EF4-FFF2-40B4-BE49-F238E27FC236}">
              <a16:creationId xmlns:a16="http://schemas.microsoft.com/office/drawing/2014/main" id="{2863CEEF-C515-4659-9D20-607670B6B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529167</xdr:colOff>
      <xdr:row>17</xdr:row>
      <xdr:rowOff>1</xdr:rowOff>
    </xdr:from>
    <xdr:to>
      <xdr:col>27</xdr:col>
      <xdr:colOff>271141</xdr:colOff>
      <xdr:row>31</xdr:row>
      <xdr:rowOff>182626</xdr:rowOff>
    </xdr:to>
    <xdr:graphicFrame macro="">
      <xdr:nvGraphicFramePr>
        <xdr:cNvPr id="34" name="Chart 33">
          <a:extLst>
            <a:ext uri="{FF2B5EF4-FFF2-40B4-BE49-F238E27FC236}">
              <a16:creationId xmlns:a16="http://schemas.microsoft.com/office/drawing/2014/main" id="{0FA409A4-6F4C-4753-A301-810FE55BF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146436</xdr:colOff>
      <xdr:row>15</xdr:row>
      <xdr:rowOff>83821</xdr:rowOff>
    </xdr:from>
    <xdr:to>
      <xdr:col>30</xdr:col>
      <xdr:colOff>153263</xdr:colOff>
      <xdr:row>18</xdr:row>
      <xdr:rowOff>0</xdr:rowOff>
    </xdr:to>
    <xdr:sp macro="" textlink="">
      <xdr:nvSpPr>
        <xdr:cNvPr id="35" name="TextBox 34">
          <a:extLst>
            <a:ext uri="{FF2B5EF4-FFF2-40B4-BE49-F238E27FC236}">
              <a16:creationId xmlns:a16="http://schemas.microsoft.com/office/drawing/2014/main" id="{09AC275E-2F4B-4D4C-A431-25B8B60213AD}"/>
            </a:ext>
          </a:extLst>
        </xdr:cNvPr>
        <xdr:cNvSpPr txBox="1"/>
      </xdr:nvSpPr>
      <xdr:spPr>
        <a:xfrm>
          <a:off x="14586336" y="2846071"/>
          <a:ext cx="3664427" cy="468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rPr>
            <a:t>Customer Churn by Gender and Device</a:t>
          </a:r>
        </a:p>
      </xdr:txBody>
    </xdr:sp>
    <xdr:clientData/>
  </xdr:twoCellAnchor>
  <xdr:twoCellAnchor>
    <xdr:from>
      <xdr:col>6</xdr:col>
      <xdr:colOff>469902</xdr:colOff>
      <xdr:row>50</xdr:row>
      <xdr:rowOff>133944</xdr:rowOff>
    </xdr:from>
    <xdr:to>
      <xdr:col>19</xdr:col>
      <xdr:colOff>483375</xdr:colOff>
      <xdr:row>70</xdr:row>
      <xdr:rowOff>0</xdr:rowOff>
    </xdr:to>
    <xdr:sp macro="" textlink="">
      <xdr:nvSpPr>
        <xdr:cNvPr id="36" name="Rectangle: Rounded Corners 35">
          <a:extLst>
            <a:ext uri="{FF2B5EF4-FFF2-40B4-BE49-F238E27FC236}">
              <a16:creationId xmlns:a16="http://schemas.microsoft.com/office/drawing/2014/main" id="{83FD4D17-8585-4F9F-873C-9CD6436DCD42}"/>
            </a:ext>
          </a:extLst>
        </xdr:cNvPr>
        <xdr:cNvSpPr/>
      </xdr:nvSpPr>
      <xdr:spPr>
        <a:xfrm>
          <a:off x="3937002" y="9341444"/>
          <a:ext cx="7938273" cy="3549056"/>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51</xdr:row>
      <xdr:rowOff>2</xdr:rowOff>
    </xdr:from>
    <xdr:to>
      <xdr:col>19</xdr:col>
      <xdr:colOff>392264</xdr:colOff>
      <xdr:row>69</xdr:row>
      <xdr:rowOff>0</xdr:rowOff>
    </xdr:to>
    <xdr:graphicFrame macro="">
      <xdr:nvGraphicFramePr>
        <xdr:cNvPr id="37" name="Chart 36">
          <a:extLst>
            <a:ext uri="{FF2B5EF4-FFF2-40B4-BE49-F238E27FC236}">
              <a16:creationId xmlns:a16="http://schemas.microsoft.com/office/drawing/2014/main" id="{D7A29B58-D1E8-4889-8B2B-629B7A5C2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345290</xdr:colOff>
      <xdr:row>12</xdr:row>
      <xdr:rowOff>0</xdr:rowOff>
    </xdr:from>
    <xdr:to>
      <xdr:col>6</xdr:col>
      <xdr:colOff>265043</xdr:colOff>
      <xdr:row>21</xdr:row>
      <xdr:rowOff>179455</xdr:rowOff>
    </xdr:to>
    <mc:AlternateContent xmlns:mc="http://schemas.openxmlformats.org/markup-compatibility/2006" xmlns:tsle="http://schemas.microsoft.com/office/drawing/2012/timeslicer">
      <mc:Choice Requires="tsle">
        <xdr:graphicFrame macro="">
          <xdr:nvGraphicFramePr>
            <xdr:cNvPr id="38" name="Date of Purchase 2">
              <a:extLst>
                <a:ext uri="{FF2B5EF4-FFF2-40B4-BE49-F238E27FC236}">
                  <a16:creationId xmlns:a16="http://schemas.microsoft.com/office/drawing/2014/main" id="{FDC07860-AE18-4901-9997-91B54EF8E55B}"/>
                </a:ext>
              </a:extLst>
            </xdr:cNvPr>
            <xdr:cNvGraphicFramePr/>
          </xdr:nvGraphicFramePr>
          <xdr:xfrm>
            <a:off x="0" y="0"/>
            <a:ext cx="0" cy="0"/>
          </xdr:xfrm>
          <a:graphic>
            <a:graphicData uri="http://schemas.microsoft.com/office/drawing/2012/timeslicer">
              <tsle:timeslicer name="Date of Purchase 2"/>
            </a:graphicData>
          </a:graphic>
        </xdr:graphicFrame>
      </mc:Choice>
      <mc:Fallback xmlns="">
        <xdr:sp macro="" textlink="">
          <xdr:nvSpPr>
            <xdr:cNvPr id="0" name=""/>
            <xdr:cNvSpPr>
              <a:spLocks noTextEdit="1"/>
            </xdr:cNvSpPr>
          </xdr:nvSpPr>
          <xdr:spPr>
            <a:xfrm>
              <a:off x="758040" y="2286000"/>
              <a:ext cx="2936003" cy="18939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345290</xdr:colOff>
      <xdr:row>23</xdr:row>
      <xdr:rowOff>1</xdr:rowOff>
    </xdr:from>
    <xdr:to>
      <xdr:col>6</xdr:col>
      <xdr:colOff>265043</xdr:colOff>
      <xdr:row>32</xdr:row>
      <xdr:rowOff>0</xdr:rowOff>
    </xdr:to>
    <mc:AlternateContent xmlns:mc="http://schemas.openxmlformats.org/markup-compatibility/2006" xmlns:a14="http://schemas.microsoft.com/office/drawing/2010/main">
      <mc:Choice Requires="a14">
        <xdr:graphicFrame macro="">
          <xdr:nvGraphicFramePr>
            <xdr:cNvPr id="39" name="Age Group 2">
              <a:extLst>
                <a:ext uri="{FF2B5EF4-FFF2-40B4-BE49-F238E27FC236}">
                  <a16:creationId xmlns:a16="http://schemas.microsoft.com/office/drawing/2014/main" id="{177C34C1-3E91-467C-8C42-EFA26F2055E6}"/>
                </a:ext>
              </a:extLst>
            </xdr:cNvPr>
            <xdr:cNvGraphicFramePr/>
          </xdr:nvGraphicFramePr>
          <xdr:xfrm>
            <a:off x="0" y="0"/>
            <a:ext cx="0" cy="0"/>
          </xdr:xfrm>
          <a:graphic>
            <a:graphicData uri="http://schemas.microsoft.com/office/drawing/2010/slicer">
              <sle:slicer xmlns:sle="http://schemas.microsoft.com/office/drawing/2010/slicer" name="Age Group 2"/>
            </a:graphicData>
          </a:graphic>
        </xdr:graphicFrame>
      </mc:Choice>
      <mc:Fallback xmlns="">
        <xdr:sp macro="" textlink="">
          <xdr:nvSpPr>
            <xdr:cNvPr id="0" name=""/>
            <xdr:cNvSpPr>
              <a:spLocks noTextEdit="1"/>
            </xdr:cNvSpPr>
          </xdr:nvSpPr>
          <xdr:spPr>
            <a:xfrm>
              <a:off x="758040" y="4381501"/>
              <a:ext cx="2936003"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345290</xdr:colOff>
      <xdr:row>34</xdr:row>
      <xdr:rowOff>0</xdr:rowOff>
    </xdr:from>
    <xdr:to>
      <xdr:col>6</xdr:col>
      <xdr:colOff>265044</xdr:colOff>
      <xdr:row>40</xdr:row>
      <xdr:rowOff>0</xdr:rowOff>
    </xdr:to>
    <mc:AlternateContent xmlns:mc="http://schemas.openxmlformats.org/markup-compatibility/2006" xmlns:a14="http://schemas.microsoft.com/office/drawing/2010/main">
      <mc:Choice Requires="a14">
        <xdr:graphicFrame macro="">
          <xdr:nvGraphicFramePr>
            <xdr:cNvPr id="40" name="Gender 2">
              <a:extLst>
                <a:ext uri="{FF2B5EF4-FFF2-40B4-BE49-F238E27FC236}">
                  <a16:creationId xmlns:a16="http://schemas.microsoft.com/office/drawing/2014/main" id="{4D7B51E1-C13E-45F0-B9E5-5175325DB756}"/>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58040" y="6477000"/>
              <a:ext cx="2936004"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295872</xdr:colOff>
      <xdr:row>42</xdr:row>
      <xdr:rowOff>0</xdr:rowOff>
    </xdr:from>
    <xdr:to>
      <xdr:col>6</xdr:col>
      <xdr:colOff>265043</xdr:colOff>
      <xdr:row>56</xdr:row>
      <xdr:rowOff>0</xdr:rowOff>
    </xdr:to>
    <mc:AlternateContent xmlns:mc="http://schemas.openxmlformats.org/markup-compatibility/2006" xmlns:a14="http://schemas.microsoft.com/office/drawing/2010/main">
      <mc:Choice Requires="a14">
        <xdr:graphicFrame macro="">
          <xdr:nvGraphicFramePr>
            <xdr:cNvPr id="41" name="Device Type 2">
              <a:extLst>
                <a:ext uri="{FF2B5EF4-FFF2-40B4-BE49-F238E27FC236}">
                  <a16:creationId xmlns:a16="http://schemas.microsoft.com/office/drawing/2014/main" id="{7F53A52D-62F7-4846-AEAB-3C6DDCCBA2C7}"/>
                </a:ext>
              </a:extLst>
            </xdr:cNvPr>
            <xdr:cNvGraphicFramePr/>
          </xdr:nvGraphicFramePr>
          <xdr:xfrm>
            <a:off x="0" y="0"/>
            <a:ext cx="0" cy="0"/>
          </xdr:xfrm>
          <a:graphic>
            <a:graphicData uri="http://schemas.microsoft.com/office/drawing/2010/slicer">
              <sle:slicer xmlns:sle="http://schemas.microsoft.com/office/drawing/2010/slicer" name="Device Type 2"/>
            </a:graphicData>
          </a:graphic>
        </xdr:graphicFrame>
      </mc:Choice>
      <mc:Fallback xmlns="">
        <xdr:sp macro="" textlink="">
          <xdr:nvSpPr>
            <xdr:cNvPr id="0" name=""/>
            <xdr:cNvSpPr>
              <a:spLocks noTextEdit="1"/>
            </xdr:cNvSpPr>
          </xdr:nvSpPr>
          <xdr:spPr>
            <a:xfrm>
              <a:off x="708622" y="8001000"/>
              <a:ext cx="2985421"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295872</xdr:colOff>
      <xdr:row>55</xdr:row>
      <xdr:rowOff>179455</xdr:rowOff>
    </xdr:from>
    <xdr:to>
      <xdr:col>6</xdr:col>
      <xdr:colOff>265043</xdr:colOff>
      <xdr:row>68</xdr:row>
      <xdr:rowOff>184149</xdr:rowOff>
    </xdr:to>
    <mc:AlternateContent xmlns:mc="http://schemas.openxmlformats.org/markup-compatibility/2006" xmlns:a14="http://schemas.microsoft.com/office/drawing/2010/main">
      <mc:Choice Requires="a14">
        <xdr:graphicFrame macro="">
          <xdr:nvGraphicFramePr>
            <xdr:cNvPr id="42" name="Tenure Group 2">
              <a:extLst>
                <a:ext uri="{FF2B5EF4-FFF2-40B4-BE49-F238E27FC236}">
                  <a16:creationId xmlns:a16="http://schemas.microsoft.com/office/drawing/2014/main" id="{B055532A-AB24-4F10-B9B4-986A92A15B32}"/>
                </a:ext>
              </a:extLst>
            </xdr:cNvPr>
            <xdr:cNvGraphicFramePr/>
          </xdr:nvGraphicFramePr>
          <xdr:xfrm>
            <a:off x="0" y="0"/>
            <a:ext cx="0" cy="0"/>
          </xdr:xfrm>
          <a:graphic>
            <a:graphicData uri="http://schemas.microsoft.com/office/drawing/2010/slicer">
              <sle:slicer xmlns:sle="http://schemas.microsoft.com/office/drawing/2010/slicer" name="Tenure Group 2"/>
            </a:graphicData>
          </a:graphic>
        </xdr:graphicFrame>
      </mc:Choice>
      <mc:Fallback xmlns="">
        <xdr:sp macro="" textlink="">
          <xdr:nvSpPr>
            <xdr:cNvPr id="0" name=""/>
            <xdr:cNvSpPr>
              <a:spLocks noTextEdit="1"/>
            </xdr:cNvSpPr>
          </xdr:nvSpPr>
          <xdr:spPr>
            <a:xfrm>
              <a:off x="708622" y="10656955"/>
              <a:ext cx="2985421" cy="24811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xdr:colOff>
      <xdr:row>10</xdr:row>
      <xdr:rowOff>52917</xdr:rowOff>
    </xdr:from>
    <xdr:to>
      <xdr:col>14</xdr:col>
      <xdr:colOff>36829</xdr:colOff>
      <xdr:row>13</xdr:row>
      <xdr:rowOff>159011</xdr:rowOff>
    </xdr:to>
    <xdr:pic>
      <xdr:nvPicPr>
        <xdr:cNvPr id="43" name="Picture 42">
          <a:extLst>
            <a:ext uri="{FF2B5EF4-FFF2-40B4-BE49-F238E27FC236}">
              <a16:creationId xmlns:a16="http://schemas.microsoft.com/office/drawing/2014/main" id="{E7EEDC1C-918E-490B-9CF0-B94FBC6ECC3D}"/>
            </a:ext>
          </a:extLst>
        </xdr:cNvPr>
        <xdr:cNvPicPr>
          <a:picLocks noChangeAspect="1"/>
        </xdr:cNvPicPr>
      </xdr:nvPicPr>
      <xdr:blipFill>
        <a:blip xmlns:r="http://schemas.openxmlformats.org/officeDocument/2006/relationships" r:embed="rId10"/>
        <a:stretch>
          <a:fillRect/>
        </a:stretch>
      </xdr:blipFill>
      <xdr:spPr>
        <a:xfrm>
          <a:off x="7734299" y="1894417"/>
          <a:ext cx="646430" cy="658544"/>
        </a:xfrm>
        <a:prstGeom prst="rect">
          <a:avLst/>
        </a:prstGeom>
      </xdr:spPr>
    </xdr:pic>
    <xdr:clientData/>
  </xdr:twoCellAnchor>
  <xdr:twoCellAnchor editAs="oneCell">
    <xdr:from>
      <xdr:col>18</xdr:col>
      <xdr:colOff>359575</xdr:colOff>
      <xdr:row>10</xdr:row>
      <xdr:rowOff>100183</xdr:rowOff>
    </xdr:from>
    <xdr:to>
      <xdr:col>19</xdr:col>
      <xdr:colOff>392264</xdr:colOff>
      <xdr:row>14</xdr:row>
      <xdr:rowOff>22437</xdr:rowOff>
    </xdr:to>
    <xdr:pic>
      <xdr:nvPicPr>
        <xdr:cNvPr id="44" name="Picture 43">
          <a:extLst>
            <a:ext uri="{FF2B5EF4-FFF2-40B4-BE49-F238E27FC236}">
              <a16:creationId xmlns:a16="http://schemas.microsoft.com/office/drawing/2014/main" id="{31A1330F-B5C2-4752-81A0-6B1CFC1A36F6}"/>
            </a:ext>
          </a:extLst>
        </xdr:cNvPr>
        <xdr:cNvPicPr>
          <a:picLocks noChangeAspect="1"/>
        </xdr:cNvPicPr>
      </xdr:nvPicPr>
      <xdr:blipFill>
        <a:blip xmlns:r="http://schemas.openxmlformats.org/officeDocument/2006/relationships" r:embed="rId11">
          <a:alphaModFix amt="85000"/>
        </a:blip>
        <a:stretch>
          <a:fillRect/>
        </a:stretch>
      </xdr:blipFill>
      <xdr:spPr>
        <a:xfrm>
          <a:off x="11141875" y="1941683"/>
          <a:ext cx="642289" cy="658854"/>
        </a:xfrm>
        <a:prstGeom prst="rect">
          <a:avLst/>
        </a:prstGeom>
      </xdr:spPr>
    </xdr:pic>
    <xdr:clientData/>
  </xdr:twoCellAnchor>
  <xdr:twoCellAnchor editAs="oneCell">
    <xdr:from>
      <xdr:col>24</xdr:col>
      <xdr:colOff>146436</xdr:colOff>
      <xdr:row>9</xdr:row>
      <xdr:rowOff>158750</xdr:rowOff>
    </xdr:from>
    <xdr:to>
      <xdr:col>25</xdr:col>
      <xdr:colOff>179124</xdr:colOff>
      <xdr:row>13</xdr:row>
      <xdr:rowOff>81004</xdr:rowOff>
    </xdr:to>
    <xdr:pic>
      <xdr:nvPicPr>
        <xdr:cNvPr id="45" name="Picture 44">
          <a:extLst>
            <a:ext uri="{FF2B5EF4-FFF2-40B4-BE49-F238E27FC236}">
              <a16:creationId xmlns:a16="http://schemas.microsoft.com/office/drawing/2014/main" id="{4A76A66E-F444-4AE9-8D1B-6B415DA04DB7}"/>
            </a:ext>
          </a:extLst>
        </xdr:cNvPr>
        <xdr:cNvPicPr>
          <a:picLocks noChangeAspect="1"/>
        </xdr:cNvPicPr>
      </xdr:nvPicPr>
      <xdr:blipFill>
        <a:blip xmlns:r="http://schemas.openxmlformats.org/officeDocument/2006/relationships" r:embed="rId12"/>
        <a:stretch>
          <a:fillRect/>
        </a:stretch>
      </xdr:blipFill>
      <xdr:spPr>
        <a:xfrm>
          <a:off x="14586336" y="1816100"/>
          <a:ext cx="642288" cy="658854"/>
        </a:xfrm>
        <a:prstGeom prst="rect">
          <a:avLst/>
        </a:prstGeom>
      </xdr:spPr>
    </xdr:pic>
    <xdr:clientData/>
  </xdr:twoCellAnchor>
  <xdr:twoCellAnchor editAs="oneCell">
    <xdr:from>
      <xdr:col>29</xdr:col>
      <xdr:colOff>570561</xdr:colOff>
      <xdr:row>10</xdr:row>
      <xdr:rowOff>131123</xdr:rowOff>
    </xdr:from>
    <xdr:to>
      <xdr:col>31</xdr:col>
      <xdr:colOff>0</xdr:colOff>
      <xdr:row>14</xdr:row>
      <xdr:rowOff>42333</xdr:rowOff>
    </xdr:to>
    <xdr:pic>
      <xdr:nvPicPr>
        <xdr:cNvPr id="46" name="Picture 45">
          <a:extLst>
            <a:ext uri="{FF2B5EF4-FFF2-40B4-BE49-F238E27FC236}">
              <a16:creationId xmlns:a16="http://schemas.microsoft.com/office/drawing/2014/main" id="{AF08E229-A00E-444D-80BF-8983E5BF1624}"/>
            </a:ext>
          </a:extLst>
        </xdr:cNvPr>
        <xdr:cNvPicPr>
          <a:picLocks noChangeAspect="1"/>
        </xdr:cNvPicPr>
      </xdr:nvPicPr>
      <xdr:blipFill>
        <a:blip xmlns:r="http://schemas.openxmlformats.org/officeDocument/2006/relationships" r:embed="rId13"/>
        <a:stretch>
          <a:fillRect/>
        </a:stretch>
      </xdr:blipFill>
      <xdr:spPr>
        <a:xfrm>
          <a:off x="18058461" y="1972623"/>
          <a:ext cx="648639" cy="647810"/>
        </a:xfrm>
        <a:prstGeom prst="rect">
          <a:avLst/>
        </a:prstGeom>
      </xdr:spPr>
    </xdr:pic>
    <xdr:clientData/>
  </xdr:twoCellAnchor>
  <xdr:twoCellAnchor>
    <xdr:from>
      <xdr:col>24</xdr:col>
      <xdr:colOff>42332</xdr:colOff>
      <xdr:row>32</xdr:row>
      <xdr:rowOff>166312</xdr:rowOff>
    </xdr:from>
    <xdr:to>
      <xdr:col>33</xdr:col>
      <xdr:colOff>984248</xdr:colOff>
      <xdr:row>50</xdr:row>
      <xdr:rowOff>0</xdr:rowOff>
    </xdr:to>
    <xdr:graphicFrame macro="">
      <xdr:nvGraphicFramePr>
        <xdr:cNvPr id="47" name="Chart 46">
          <a:extLst>
            <a:ext uri="{FF2B5EF4-FFF2-40B4-BE49-F238E27FC236}">
              <a16:creationId xmlns:a16="http://schemas.microsoft.com/office/drawing/2014/main" id="{6CB4F656-78D0-4911-92B1-E70AB08B4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7</xdr:col>
      <xdr:colOff>73027</xdr:colOff>
      <xdr:row>10</xdr:row>
      <xdr:rowOff>0</xdr:rowOff>
    </xdr:from>
    <xdr:to>
      <xdr:col>8</xdr:col>
      <xdr:colOff>109857</xdr:colOff>
      <xdr:row>13</xdr:row>
      <xdr:rowOff>74136</xdr:rowOff>
    </xdr:to>
    <xdr:pic>
      <xdr:nvPicPr>
        <xdr:cNvPr id="48" name="Picture 47">
          <a:extLst>
            <a:ext uri="{FF2B5EF4-FFF2-40B4-BE49-F238E27FC236}">
              <a16:creationId xmlns:a16="http://schemas.microsoft.com/office/drawing/2014/main" id="{AF70B4C9-4707-4C96-A7B9-42E92FFEB198}"/>
            </a:ext>
          </a:extLst>
        </xdr:cNvPr>
        <xdr:cNvPicPr>
          <a:picLocks noChangeAspect="1"/>
        </xdr:cNvPicPr>
      </xdr:nvPicPr>
      <xdr:blipFill>
        <a:blip xmlns:r="http://schemas.openxmlformats.org/officeDocument/2006/relationships" r:embed="rId15">
          <a:duotone>
            <a:schemeClr val="accent2">
              <a:shade val="45000"/>
              <a:satMod val="135000"/>
            </a:schemeClr>
            <a:prstClr val="white"/>
          </a:duotone>
        </a:blip>
        <a:stretch>
          <a:fillRect/>
        </a:stretch>
      </xdr:blipFill>
      <xdr:spPr>
        <a:xfrm>
          <a:off x="4149727" y="1841500"/>
          <a:ext cx="646430" cy="6265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34</xdr:col>
      <xdr:colOff>0</xdr:colOff>
      <xdr:row>78</xdr:row>
      <xdr:rowOff>0</xdr:rowOff>
    </xdr:to>
    <xdr:sp macro="" textlink="">
      <xdr:nvSpPr>
        <xdr:cNvPr id="2" name="Rectangle: Rounded Corners 1">
          <a:extLst>
            <a:ext uri="{FF2B5EF4-FFF2-40B4-BE49-F238E27FC236}">
              <a16:creationId xmlns:a16="http://schemas.microsoft.com/office/drawing/2014/main" id="{CCEE8E9C-9DB2-0E7D-4B23-1ECC0FBBC409}"/>
            </a:ext>
          </a:extLst>
        </xdr:cNvPr>
        <xdr:cNvSpPr/>
      </xdr:nvSpPr>
      <xdr:spPr>
        <a:xfrm>
          <a:off x="0" y="190500"/>
          <a:ext cx="21320125" cy="14668500"/>
        </a:xfrm>
        <a:prstGeom prst="roundRect">
          <a:avLst>
            <a:gd name="adj" fmla="val 2790"/>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7</xdr:row>
      <xdr:rowOff>-1</xdr:rowOff>
    </xdr:from>
    <xdr:to>
      <xdr:col>33</xdr:col>
      <xdr:colOff>1139190</xdr:colOff>
      <xdr:row>71</xdr:row>
      <xdr:rowOff>-1</xdr:rowOff>
    </xdr:to>
    <xdr:sp macro="" textlink="">
      <xdr:nvSpPr>
        <xdr:cNvPr id="3" name="Rectangle: Rounded Corners 2">
          <a:extLst>
            <a:ext uri="{FF2B5EF4-FFF2-40B4-BE49-F238E27FC236}">
              <a16:creationId xmlns:a16="http://schemas.microsoft.com/office/drawing/2014/main" id="{15202822-52D4-8FCF-6623-EE695CC7FE34}"/>
            </a:ext>
          </a:extLst>
        </xdr:cNvPr>
        <xdr:cNvSpPr/>
      </xdr:nvSpPr>
      <xdr:spPr>
        <a:xfrm>
          <a:off x="414130" y="1256195"/>
          <a:ext cx="20575712" cy="11485217"/>
        </a:xfrm>
        <a:prstGeom prst="roundRect">
          <a:avLst>
            <a:gd name="adj" fmla="val 1761"/>
          </a:avLst>
        </a:prstGeom>
        <a:solidFill>
          <a:schemeClr val="tx1"/>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7</xdr:row>
      <xdr:rowOff>110067</xdr:rowOff>
    </xdr:from>
    <xdr:to>
      <xdr:col>11</xdr:col>
      <xdr:colOff>465667</xdr:colOff>
      <xdr:row>14</xdr:row>
      <xdr:rowOff>42333</xdr:rowOff>
    </xdr:to>
    <xdr:sp macro="" textlink="">
      <xdr:nvSpPr>
        <xdr:cNvPr id="4" name="Rectangle: Rounded Corners 3">
          <a:extLst>
            <a:ext uri="{FF2B5EF4-FFF2-40B4-BE49-F238E27FC236}">
              <a16:creationId xmlns:a16="http://schemas.microsoft.com/office/drawing/2014/main" id="{18571F9F-C9C2-D080-AB88-BD8465859620}"/>
            </a:ext>
          </a:extLst>
        </xdr:cNvPr>
        <xdr:cNvSpPr/>
      </xdr:nvSpPr>
      <xdr:spPr>
        <a:xfrm>
          <a:off x="3619500" y="1443567"/>
          <a:ext cx="2878667" cy="1265766"/>
        </a:xfrm>
        <a:prstGeom prst="roundRect">
          <a:avLst>
            <a:gd name="adj" fmla="val 9910"/>
          </a:avLst>
        </a:prstGeom>
        <a:solidFill>
          <a:schemeClr val="bg2">
            <a:lumMod val="25000"/>
          </a:schemeClr>
        </a:solidFill>
        <a:ln>
          <a:noFill/>
        </a:ln>
        <a:effectLst>
          <a:glow rad="101600">
            <a:srgbClr val="FFC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116418</xdr:colOff>
      <xdr:row>2</xdr:row>
      <xdr:rowOff>52917</xdr:rowOff>
    </xdr:from>
    <xdr:to>
      <xdr:col>33</xdr:col>
      <xdr:colOff>1110382</xdr:colOff>
      <xdr:row>6</xdr:row>
      <xdr:rowOff>84666</xdr:rowOff>
    </xdr:to>
    <xdr:sp macro="" textlink="">
      <xdr:nvSpPr>
        <xdr:cNvPr id="5" name="TextBox 4">
          <a:extLst>
            <a:ext uri="{FF2B5EF4-FFF2-40B4-BE49-F238E27FC236}">
              <a16:creationId xmlns:a16="http://schemas.microsoft.com/office/drawing/2014/main" id="{ACB985F1-6223-401D-6D69-A996A58AC4A6}"/>
            </a:ext>
          </a:extLst>
        </xdr:cNvPr>
        <xdr:cNvSpPr txBox="1"/>
      </xdr:nvSpPr>
      <xdr:spPr>
        <a:xfrm>
          <a:off x="530548" y="411830"/>
          <a:ext cx="20430486" cy="749575"/>
        </a:xfrm>
        <a:prstGeom prst="roundRect">
          <a:avLst/>
        </a:prstGeom>
        <a:solidFill>
          <a:srgbClr val="FFC000"/>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b="1" baseline="0"/>
            <a:t>		 	CUSTOMER CHURN ANALYTICS DASHBOARD</a:t>
          </a:r>
          <a:endParaRPr lang="en-US" sz="3600" b="1"/>
        </a:p>
      </xdr:txBody>
    </xdr:sp>
    <xdr:clientData/>
  </xdr:twoCellAnchor>
  <xdr:twoCellAnchor>
    <xdr:from>
      <xdr:col>12</xdr:col>
      <xdr:colOff>541294</xdr:colOff>
      <xdr:row>7</xdr:row>
      <xdr:rowOff>110067</xdr:rowOff>
    </xdr:from>
    <xdr:to>
      <xdr:col>17</xdr:col>
      <xdr:colOff>311001</xdr:colOff>
      <xdr:row>14</xdr:row>
      <xdr:rowOff>42333</xdr:rowOff>
    </xdr:to>
    <xdr:sp macro="" textlink="">
      <xdr:nvSpPr>
        <xdr:cNvPr id="10" name="Rectangle: Rounded Corners 9">
          <a:extLst>
            <a:ext uri="{FF2B5EF4-FFF2-40B4-BE49-F238E27FC236}">
              <a16:creationId xmlns:a16="http://schemas.microsoft.com/office/drawing/2014/main" id="{1CB31633-5D48-E5B6-B057-CF3E22A2293E}"/>
            </a:ext>
          </a:extLst>
        </xdr:cNvPr>
        <xdr:cNvSpPr/>
      </xdr:nvSpPr>
      <xdr:spPr>
        <a:xfrm>
          <a:off x="7177044" y="1443567"/>
          <a:ext cx="2785957" cy="1265766"/>
        </a:xfrm>
        <a:prstGeom prst="roundRect">
          <a:avLst>
            <a:gd name="adj" fmla="val 9910"/>
          </a:avLst>
        </a:prstGeom>
        <a:solidFill>
          <a:schemeClr val="bg2">
            <a:lumMod val="25000"/>
          </a:schemeClr>
        </a:solidFill>
        <a:ln>
          <a:noFill/>
        </a:ln>
        <a:effectLst>
          <a:glow rad="101600">
            <a:srgbClr val="FFC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345982</xdr:colOff>
      <xdr:row>7</xdr:row>
      <xdr:rowOff>110067</xdr:rowOff>
    </xdr:from>
    <xdr:to>
      <xdr:col>23</xdr:col>
      <xdr:colOff>111455</xdr:colOff>
      <xdr:row>14</xdr:row>
      <xdr:rowOff>42333</xdr:rowOff>
    </xdr:to>
    <xdr:sp macro="" textlink="">
      <xdr:nvSpPr>
        <xdr:cNvPr id="11" name="Rectangle: Rounded Corners 10">
          <a:extLst>
            <a:ext uri="{FF2B5EF4-FFF2-40B4-BE49-F238E27FC236}">
              <a16:creationId xmlns:a16="http://schemas.microsoft.com/office/drawing/2014/main" id="{47E5B342-ADD6-02A1-67AF-A6E41A59A152}"/>
            </a:ext>
          </a:extLst>
        </xdr:cNvPr>
        <xdr:cNvSpPr/>
      </xdr:nvSpPr>
      <xdr:spPr>
        <a:xfrm>
          <a:off x="10601232" y="1443567"/>
          <a:ext cx="2781723" cy="1265766"/>
        </a:xfrm>
        <a:prstGeom prst="roundRect">
          <a:avLst>
            <a:gd name="adj" fmla="val 9910"/>
          </a:avLst>
        </a:prstGeom>
        <a:solidFill>
          <a:schemeClr val="bg2">
            <a:lumMod val="25000"/>
          </a:schemeClr>
        </a:solidFill>
        <a:ln>
          <a:noFill/>
        </a:ln>
        <a:effectLst>
          <a:glow rad="101600">
            <a:srgbClr val="FFC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146436</xdr:colOff>
      <xdr:row>7</xdr:row>
      <xdr:rowOff>110067</xdr:rowOff>
    </xdr:from>
    <xdr:to>
      <xdr:col>28</xdr:col>
      <xdr:colOff>515159</xdr:colOff>
      <xdr:row>14</xdr:row>
      <xdr:rowOff>42333</xdr:rowOff>
    </xdr:to>
    <xdr:sp macro="" textlink="">
      <xdr:nvSpPr>
        <xdr:cNvPr id="12" name="Rectangle: Rounded Corners 11">
          <a:extLst>
            <a:ext uri="{FF2B5EF4-FFF2-40B4-BE49-F238E27FC236}">
              <a16:creationId xmlns:a16="http://schemas.microsoft.com/office/drawing/2014/main" id="{889A724E-BBCF-0C09-7212-523DE6F4B586}"/>
            </a:ext>
          </a:extLst>
        </xdr:cNvPr>
        <xdr:cNvSpPr/>
      </xdr:nvSpPr>
      <xdr:spPr>
        <a:xfrm>
          <a:off x="14021186" y="1443567"/>
          <a:ext cx="2781723" cy="1265766"/>
        </a:xfrm>
        <a:prstGeom prst="roundRect">
          <a:avLst>
            <a:gd name="adj" fmla="val 9910"/>
          </a:avLst>
        </a:prstGeom>
        <a:solidFill>
          <a:schemeClr val="bg2">
            <a:lumMod val="25000"/>
          </a:schemeClr>
        </a:solidFill>
        <a:ln>
          <a:noFill/>
        </a:ln>
        <a:effectLst>
          <a:glow rad="101600">
            <a:srgbClr val="FFC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0</xdr:colOff>
      <xdr:row>2</xdr:row>
      <xdr:rowOff>52915</xdr:rowOff>
    </xdr:from>
    <xdr:to>
      <xdr:col>5</xdr:col>
      <xdr:colOff>338664</xdr:colOff>
      <xdr:row>6</xdr:row>
      <xdr:rowOff>95249</xdr:rowOff>
    </xdr:to>
    <xdr:pic>
      <xdr:nvPicPr>
        <xdr:cNvPr id="9" name="Picture 8">
          <a:extLst>
            <a:ext uri="{FF2B5EF4-FFF2-40B4-BE49-F238E27FC236}">
              <a16:creationId xmlns:a16="http://schemas.microsoft.com/office/drawing/2014/main" id="{BCC9BFE7-B3CC-118C-D988-D349DEE97715}"/>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rightnessContrast contrast="-20000"/>
                  </a14:imgEffect>
                </a14:imgLayer>
              </a14:imgProps>
            </a:ext>
            <a:ext uri="{28A0092B-C50C-407E-A947-70E740481C1C}">
              <a14:useLocalDpi xmlns:a14="http://schemas.microsoft.com/office/drawing/2010/main" val="0"/>
            </a:ext>
          </a:extLst>
        </a:blip>
        <a:srcRect l="9183" t="19388" r="9183" b="18367"/>
        <a:stretch/>
      </xdr:blipFill>
      <xdr:spPr>
        <a:xfrm>
          <a:off x="1219200" y="433915"/>
          <a:ext cx="1557865" cy="804334"/>
        </a:xfrm>
        <a:prstGeom prst="rect">
          <a:avLst/>
        </a:prstGeom>
      </xdr:spPr>
    </xdr:pic>
    <xdr:clientData/>
  </xdr:twoCellAnchor>
  <xdr:twoCellAnchor>
    <xdr:from>
      <xdr:col>1</xdr:col>
      <xdr:colOff>116418</xdr:colOff>
      <xdr:row>7</xdr:row>
      <xdr:rowOff>110067</xdr:rowOff>
    </xdr:from>
    <xdr:to>
      <xdr:col>6</xdr:col>
      <xdr:colOff>370417</xdr:colOff>
      <xdr:row>70</xdr:row>
      <xdr:rowOff>4525</xdr:rowOff>
    </xdr:to>
    <xdr:sp macro="" textlink="">
      <xdr:nvSpPr>
        <xdr:cNvPr id="13" name="Rectangle: Rounded Corners 12">
          <a:extLst>
            <a:ext uri="{FF2B5EF4-FFF2-40B4-BE49-F238E27FC236}">
              <a16:creationId xmlns:a16="http://schemas.microsoft.com/office/drawing/2014/main" id="{8B5D1A06-FDE4-887E-31A6-BB60AF2855B7}"/>
            </a:ext>
          </a:extLst>
        </xdr:cNvPr>
        <xdr:cNvSpPr/>
      </xdr:nvSpPr>
      <xdr:spPr>
        <a:xfrm>
          <a:off x="116418" y="1366263"/>
          <a:ext cx="3290956" cy="11200219"/>
        </a:xfrm>
        <a:prstGeom prst="roundRect">
          <a:avLst>
            <a:gd name="adj" fmla="val 5850"/>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7</xdr:row>
      <xdr:rowOff>110068</xdr:rowOff>
    </xdr:from>
    <xdr:to>
      <xdr:col>11</xdr:col>
      <xdr:colOff>465667</xdr:colOff>
      <xdr:row>10</xdr:row>
      <xdr:rowOff>97367</xdr:rowOff>
    </xdr:to>
    <xdr:sp macro="" textlink="">
      <xdr:nvSpPr>
        <xdr:cNvPr id="14" name="TextBox 13">
          <a:extLst>
            <a:ext uri="{FF2B5EF4-FFF2-40B4-BE49-F238E27FC236}">
              <a16:creationId xmlns:a16="http://schemas.microsoft.com/office/drawing/2014/main" id="{5D48CC42-BCF7-4DD5-21A4-E9090CD564E0}"/>
            </a:ext>
          </a:extLst>
        </xdr:cNvPr>
        <xdr:cNvSpPr txBox="1"/>
      </xdr:nvSpPr>
      <xdr:spPr>
        <a:xfrm>
          <a:off x="4635500" y="1443568"/>
          <a:ext cx="2275417" cy="558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C000"/>
              </a:solidFill>
            </a:rPr>
            <a:t>Total Customers</a:t>
          </a:r>
        </a:p>
      </xdr:txBody>
    </xdr:sp>
    <xdr:clientData/>
  </xdr:twoCellAnchor>
  <xdr:twoCellAnchor>
    <xdr:from>
      <xdr:col>12</xdr:col>
      <xdr:colOff>541294</xdr:colOff>
      <xdr:row>7</xdr:row>
      <xdr:rowOff>76479</xdr:rowOff>
    </xdr:from>
    <xdr:to>
      <xdr:col>17</xdr:col>
      <xdr:colOff>311001</xdr:colOff>
      <xdr:row>10</xdr:row>
      <xdr:rowOff>175822</xdr:rowOff>
    </xdr:to>
    <xdr:sp macro="" textlink="">
      <xdr:nvSpPr>
        <xdr:cNvPr id="15" name="TextBox 14">
          <a:extLst>
            <a:ext uri="{FF2B5EF4-FFF2-40B4-BE49-F238E27FC236}">
              <a16:creationId xmlns:a16="http://schemas.microsoft.com/office/drawing/2014/main" id="{7AB182EE-EB1D-CB2B-B676-2E4823F6292E}"/>
            </a:ext>
          </a:extLst>
        </xdr:cNvPr>
        <xdr:cNvSpPr txBox="1"/>
      </xdr:nvSpPr>
      <xdr:spPr>
        <a:xfrm>
          <a:off x="7589794" y="1409979"/>
          <a:ext cx="2785957" cy="670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C000"/>
              </a:solidFill>
            </a:rPr>
            <a:t>Churned Customers</a:t>
          </a:r>
        </a:p>
      </xdr:txBody>
    </xdr:sp>
    <xdr:clientData/>
  </xdr:twoCellAnchor>
  <xdr:twoCellAnchor>
    <xdr:from>
      <xdr:col>18</xdr:col>
      <xdr:colOff>359575</xdr:colOff>
      <xdr:row>7</xdr:row>
      <xdr:rowOff>110068</xdr:rowOff>
    </xdr:from>
    <xdr:to>
      <xdr:col>23</xdr:col>
      <xdr:colOff>205767</xdr:colOff>
      <xdr:row>10</xdr:row>
      <xdr:rowOff>-1</xdr:rowOff>
    </xdr:to>
    <xdr:sp macro="" textlink="">
      <xdr:nvSpPr>
        <xdr:cNvPr id="16" name="TextBox 15">
          <a:extLst>
            <a:ext uri="{FF2B5EF4-FFF2-40B4-BE49-F238E27FC236}">
              <a16:creationId xmlns:a16="http://schemas.microsoft.com/office/drawing/2014/main" id="{4A0A3E47-03AF-CDAC-7E03-3068FD558AD9}"/>
            </a:ext>
          </a:extLst>
        </xdr:cNvPr>
        <xdr:cNvSpPr txBox="1"/>
      </xdr:nvSpPr>
      <xdr:spPr>
        <a:xfrm>
          <a:off x="11027575" y="1443568"/>
          <a:ext cx="2862442" cy="461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C000"/>
              </a:solidFill>
            </a:rPr>
            <a:t>Churn Rate</a:t>
          </a:r>
          <a:r>
            <a:rPr lang="en-US" sz="2400" b="1" baseline="0">
              <a:solidFill>
                <a:srgbClr val="FFC000"/>
              </a:solidFill>
            </a:rPr>
            <a:t> (%)</a:t>
          </a:r>
          <a:endParaRPr lang="en-US" sz="2400" b="1">
            <a:solidFill>
              <a:srgbClr val="FFC000"/>
            </a:solidFill>
          </a:endParaRPr>
        </a:p>
      </xdr:txBody>
    </xdr:sp>
    <xdr:clientData/>
  </xdr:twoCellAnchor>
  <xdr:twoCellAnchor>
    <xdr:from>
      <xdr:col>24</xdr:col>
      <xdr:colOff>248707</xdr:colOff>
      <xdr:row>7</xdr:row>
      <xdr:rowOff>110069</xdr:rowOff>
    </xdr:from>
    <xdr:to>
      <xdr:col>28</xdr:col>
      <xdr:colOff>455659</xdr:colOff>
      <xdr:row>9</xdr:row>
      <xdr:rowOff>158751</xdr:rowOff>
    </xdr:to>
    <xdr:sp macro="" textlink="">
      <xdr:nvSpPr>
        <xdr:cNvPr id="17" name="TextBox 16">
          <a:extLst>
            <a:ext uri="{FF2B5EF4-FFF2-40B4-BE49-F238E27FC236}">
              <a16:creationId xmlns:a16="http://schemas.microsoft.com/office/drawing/2014/main" id="{B75ECC88-FAF6-F0AF-32B1-C39272A7FF9B}"/>
            </a:ext>
          </a:extLst>
        </xdr:cNvPr>
        <xdr:cNvSpPr txBox="1"/>
      </xdr:nvSpPr>
      <xdr:spPr>
        <a:xfrm>
          <a:off x="14536207" y="1443569"/>
          <a:ext cx="2619952" cy="429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C000"/>
              </a:solidFill>
            </a:rPr>
            <a:t>Retention Rate (%)</a:t>
          </a:r>
        </a:p>
      </xdr:txBody>
    </xdr:sp>
    <xdr:clientData/>
  </xdr:twoCellAnchor>
  <xdr:twoCellAnchor>
    <xdr:from>
      <xdr:col>6</xdr:col>
      <xdr:colOff>469902</xdr:colOff>
      <xdr:row>14</xdr:row>
      <xdr:rowOff>184148</xdr:rowOff>
    </xdr:from>
    <xdr:to>
      <xdr:col>20</xdr:col>
      <xdr:colOff>485142</xdr:colOff>
      <xdr:row>32</xdr:row>
      <xdr:rowOff>46988</xdr:rowOff>
    </xdr:to>
    <xdr:sp macro="" textlink="">
      <xdr:nvSpPr>
        <xdr:cNvPr id="18" name="Rectangle: Rounded Corners 17">
          <a:extLst>
            <a:ext uri="{FF2B5EF4-FFF2-40B4-BE49-F238E27FC236}">
              <a16:creationId xmlns:a16="http://schemas.microsoft.com/office/drawing/2014/main" id="{5A2BE1B2-3748-FF07-EC61-691999C755CA}"/>
            </a:ext>
          </a:extLst>
        </xdr:cNvPr>
        <xdr:cNvSpPr/>
      </xdr:nvSpPr>
      <xdr:spPr>
        <a:xfrm>
          <a:off x="3898902" y="2851148"/>
          <a:ext cx="8460740" cy="3291840"/>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21</xdr:col>
      <xdr:colOff>-1</xdr:colOff>
      <xdr:row>15</xdr:row>
      <xdr:rowOff>0</xdr:rowOff>
    </xdr:from>
    <xdr:to>
      <xdr:col>33</xdr:col>
      <xdr:colOff>984248</xdr:colOff>
      <xdr:row>32</xdr:row>
      <xdr:rowOff>53340</xdr:rowOff>
    </xdr:to>
    <xdr:sp macro="" textlink="">
      <xdr:nvSpPr>
        <xdr:cNvPr id="20" name="Rectangle: Rounded Corners 19">
          <a:extLst>
            <a:ext uri="{FF2B5EF4-FFF2-40B4-BE49-F238E27FC236}">
              <a16:creationId xmlns:a16="http://schemas.microsoft.com/office/drawing/2014/main" id="{4A98F574-C1CC-B29A-77B4-A10F0F6C5856}"/>
            </a:ext>
          </a:extLst>
        </xdr:cNvPr>
        <xdr:cNvSpPr/>
      </xdr:nvSpPr>
      <xdr:spPr>
        <a:xfrm>
          <a:off x="12477749" y="2857500"/>
          <a:ext cx="8223249" cy="3291840"/>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469902</xdr:colOff>
      <xdr:row>32</xdr:row>
      <xdr:rowOff>166313</xdr:rowOff>
    </xdr:from>
    <xdr:to>
      <xdr:col>15</xdr:col>
      <xdr:colOff>131574</xdr:colOff>
      <xdr:row>50</xdr:row>
      <xdr:rowOff>33190</xdr:rowOff>
    </xdr:to>
    <xdr:sp macro="" textlink="">
      <xdr:nvSpPr>
        <xdr:cNvPr id="21" name="Rectangle: Rounded Corners 20">
          <a:extLst>
            <a:ext uri="{FF2B5EF4-FFF2-40B4-BE49-F238E27FC236}">
              <a16:creationId xmlns:a16="http://schemas.microsoft.com/office/drawing/2014/main" id="{E3723E7B-CF02-F05B-2A81-2DB9D300570A}"/>
            </a:ext>
          </a:extLst>
        </xdr:cNvPr>
        <xdr:cNvSpPr/>
      </xdr:nvSpPr>
      <xdr:spPr>
        <a:xfrm>
          <a:off x="3517902" y="6262313"/>
          <a:ext cx="5148072" cy="3295877"/>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256118</xdr:colOff>
      <xdr:row>32</xdr:row>
      <xdr:rowOff>166313</xdr:rowOff>
    </xdr:from>
    <xdr:to>
      <xdr:col>23</xdr:col>
      <xdr:colOff>527390</xdr:colOff>
      <xdr:row>50</xdr:row>
      <xdr:rowOff>33190</xdr:rowOff>
    </xdr:to>
    <xdr:sp macro="" textlink="">
      <xdr:nvSpPr>
        <xdr:cNvPr id="22" name="Rectangle: Rounded Corners 21">
          <a:extLst>
            <a:ext uri="{FF2B5EF4-FFF2-40B4-BE49-F238E27FC236}">
              <a16:creationId xmlns:a16="http://schemas.microsoft.com/office/drawing/2014/main" id="{6DBFE9E5-2B31-7873-512C-1ECC046F38F4}"/>
            </a:ext>
          </a:extLst>
        </xdr:cNvPr>
        <xdr:cNvSpPr/>
      </xdr:nvSpPr>
      <xdr:spPr>
        <a:xfrm>
          <a:off x="8790518" y="6262313"/>
          <a:ext cx="5148072" cy="3295877"/>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42332</xdr:colOff>
      <xdr:row>32</xdr:row>
      <xdr:rowOff>166312</xdr:rowOff>
    </xdr:from>
    <xdr:to>
      <xdr:col>33</xdr:col>
      <xdr:colOff>1013882</xdr:colOff>
      <xdr:row>50</xdr:row>
      <xdr:rowOff>33189</xdr:rowOff>
    </xdr:to>
    <xdr:sp macro="" textlink="">
      <xdr:nvSpPr>
        <xdr:cNvPr id="23" name="Rectangle: Rounded Corners 22">
          <a:extLst>
            <a:ext uri="{FF2B5EF4-FFF2-40B4-BE49-F238E27FC236}">
              <a16:creationId xmlns:a16="http://schemas.microsoft.com/office/drawing/2014/main" id="{2A8CB73D-5D6A-D3BF-8D9E-EB2FD3A045D3}"/>
            </a:ext>
          </a:extLst>
        </xdr:cNvPr>
        <xdr:cNvSpPr/>
      </xdr:nvSpPr>
      <xdr:spPr>
        <a:xfrm>
          <a:off x="13917082" y="6262312"/>
          <a:ext cx="6400800" cy="3295877"/>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550138</xdr:colOff>
      <xdr:row>7</xdr:row>
      <xdr:rowOff>135465</xdr:rowOff>
    </xdr:from>
    <xdr:to>
      <xdr:col>33</xdr:col>
      <xdr:colOff>915472</xdr:colOff>
      <xdr:row>14</xdr:row>
      <xdr:rowOff>67731</xdr:rowOff>
    </xdr:to>
    <xdr:sp macro="" textlink="">
      <xdr:nvSpPr>
        <xdr:cNvPr id="26" name="Rectangle: Rounded Corners 25">
          <a:extLst>
            <a:ext uri="{FF2B5EF4-FFF2-40B4-BE49-F238E27FC236}">
              <a16:creationId xmlns:a16="http://schemas.microsoft.com/office/drawing/2014/main" id="{2FE6FCA6-92F2-F551-D1C9-210681DC31FE}"/>
            </a:ext>
          </a:extLst>
        </xdr:cNvPr>
        <xdr:cNvSpPr/>
      </xdr:nvSpPr>
      <xdr:spPr>
        <a:xfrm>
          <a:off x="17441138" y="1468965"/>
          <a:ext cx="2778334" cy="1265766"/>
        </a:xfrm>
        <a:prstGeom prst="roundRect">
          <a:avLst>
            <a:gd name="adj" fmla="val 9910"/>
          </a:avLst>
        </a:prstGeom>
        <a:solidFill>
          <a:schemeClr val="bg2">
            <a:lumMod val="25000"/>
          </a:schemeClr>
        </a:solidFill>
        <a:ln>
          <a:noFill/>
        </a:ln>
        <a:effectLst>
          <a:glow rad="101600">
            <a:srgbClr val="FFC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550139</xdr:colOff>
      <xdr:row>7</xdr:row>
      <xdr:rowOff>110068</xdr:rowOff>
    </xdr:from>
    <xdr:to>
      <xdr:col>33</xdr:col>
      <xdr:colOff>1013883</xdr:colOff>
      <xdr:row>10</xdr:row>
      <xdr:rowOff>52917</xdr:rowOff>
    </xdr:to>
    <xdr:sp macro="" textlink="">
      <xdr:nvSpPr>
        <xdr:cNvPr id="27" name="TextBox 26">
          <a:extLst>
            <a:ext uri="{FF2B5EF4-FFF2-40B4-BE49-F238E27FC236}">
              <a16:creationId xmlns:a16="http://schemas.microsoft.com/office/drawing/2014/main" id="{4BAA8EF0-BD02-5870-B46C-3A06F2C8327C}"/>
            </a:ext>
          </a:extLst>
        </xdr:cNvPr>
        <xdr:cNvSpPr txBox="1"/>
      </xdr:nvSpPr>
      <xdr:spPr>
        <a:xfrm>
          <a:off x="17853889" y="1443568"/>
          <a:ext cx="2876744" cy="514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C000"/>
              </a:solidFill>
            </a:rPr>
            <a:t>Total Revenue</a:t>
          </a:r>
          <a:r>
            <a:rPr lang="en-US" sz="2400" b="1" baseline="0">
              <a:solidFill>
                <a:srgbClr val="FFC000"/>
              </a:solidFill>
            </a:rPr>
            <a:t> Lost </a:t>
          </a:r>
          <a:endParaRPr lang="en-US" sz="2400" b="1">
            <a:solidFill>
              <a:srgbClr val="FFC000"/>
            </a:solidFill>
          </a:endParaRPr>
        </a:p>
      </xdr:txBody>
    </xdr:sp>
    <xdr:clientData/>
  </xdr:twoCellAnchor>
  <xdr:twoCellAnchor>
    <xdr:from>
      <xdr:col>7</xdr:col>
      <xdr:colOff>0</xdr:colOff>
      <xdr:row>11</xdr:row>
      <xdr:rowOff>0</xdr:rowOff>
    </xdr:from>
    <xdr:to>
      <xdr:col>11</xdr:col>
      <xdr:colOff>465667</xdr:colOff>
      <xdr:row>14</xdr:row>
      <xdr:rowOff>148166</xdr:rowOff>
    </xdr:to>
    <xdr:sp macro="" textlink="' Pivot Table &amp; Charts'!F5">
      <xdr:nvSpPr>
        <xdr:cNvPr id="28" name="TextBox 27">
          <a:extLst>
            <a:ext uri="{FF2B5EF4-FFF2-40B4-BE49-F238E27FC236}">
              <a16:creationId xmlns:a16="http://schemas.microsoft.com/office/drawing/2014/main" id="{23A2063E-7FBD-3B18-9DAD-0EE9C5B6726B}"/>
            </a:ext>
          </a:extLst>
        </xdr:cNvPr>
        <xdr:cNvSpPr txBox="1"/>
      </xdr:nvSpPr>
      <xdr:spPr>
        <a:xfrm>
          <a:off x="4058478" y="1974022"/>
          <a:ext cx="2895232" cy="686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CBBD21-69FD-4391-88A4-E44953685737}" type="TxLink">
            <a:rPr lang="en-US" sz="3600" b="1" i="0" u="none" strike="noStrike">
              <a:solidFill>
                <a:schemeClr val="bg1">
                  <a:lumMod val="95000"/>
                </a:schemeClr>
              </a:solidFill>
              <a:latin typeface="Gadugi" panose="020B0502040204020203" pitchFamily="34" charset="0"/>
              <a:ea typeface="Gadugi" panose="020B0502040204020203" pitchFamily="34" charset="0"/>
            </a:rPr>
            <a:pPr algn="ctr"/>
            <a:t>496</a:t>
          </a:fld>
          <a:endParaRPr lang="en-US" sz="5400" b="1">
            <a:solidFill>
              <a:schemeClr val="bg1">
                <a:lumMod val="95000"/>
              </a:schemeClr>
            </a:solidFill>
            <a:latin typeface="Gadugi" panose="020B0502040204020203" pitchFamily="34" charset="0"/>
            <a:ea typeface="Gadugi" panose="020B0502040204020203" pitchFamily="34" charset="0"/>
          </a:endParaRPr>
        </a:p>
      </xdr:txBody>
    </xdr:sp>
    <xdr:clientData/>
  </xdr:twoCellAnchor>
  <xdr:twoCellAnchor>
    <xdr:from>
      <xdr:col>14</xdr:col>
      <xdr:colOff>0</xdr:colOff>
      <xdr:row>10</xdr:row>
      <xdr:rowOff>148165</xdr:rowOff>
    </xdr:from>
    <xdr:to>
      <xdr:col>17</xdr:col>
      <xdr:colOff>269883</xdr:colOff>
      <xdr:row>14</xdr:row>
      <xdr:rowOff>148166</xdr:rowOff>
    </xdr:to>
    <xdr:sp macro="" textlink="' Pivot Table &amp; Charts'!B6">
      <xdr:nvSpPr>
        <xdr:cNvPr id="29" name="TextBox 28">
          <a:extLst>
            <a:ext uri="{FF2B5EF4-FFF2-40B4-BE49-F238E27FC236}">
              <a16:creationId xmlns:a16="http://schemas.microsoft.com/office/drawing/2014/main" id="{8E4B6727-FBCD-A369-6C8C-42B3C326F18A}"/>
            </a:ext>
          </a:extLst>
        </xdr:cNvPr>
        <xdr:cNvSpPr txBox="1"/>
      </xdr:nvSpPr>
      <xdr:spPr>
        <a:xfrm>
          <a:off x="8310217" y="1942730"/>
          <a:ext cx="2092057" cy="717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AA05F4B-3ACB-4D2C-9804-3F6532188669}" type="TxLink">
            <a:rPr lang="en-US" sz="3600" b="1" i="0" u="none" strike="noStrike">
              <a:solidFill>
                <a:schemeClr val="bg1">
                  <a:lumMod val="95000"/>
                </a:schemeClr>
              </a:solidFill>
              <a:latin typeface="Gadugi" panose="020B0502040204020203" pitchFamily="34" charset="0"/>
              <a:ea typeface="Gadugi" panose="020B0502040204020203" pitchFamily="34" charset="0"/>
              <a:cs typeface="+mn-cs"/>
            </a:rPr>
            <a:pPr marL="0" indent="0" algn="ctr"/>
            <a:t>146</a:t>
          </a:fld>
          <a:endParaRPr lang="en-US" sz="3600" b="1" i="0" u="none" strike="noStrike">
            <a:solidFill>
              <a:schemeClr val="bg1">
                <a:lumMod val="95000"/>
              </a:schemeClr>
            </a:solidFill>
            <a:latin typeface="Gadugi" panose="020B0502040204020203" pitchFamily="34" charset="0"/>
            <a:ea typeface="Gadugi" panose="020B0502040204020203" pitchFamily="34" charset="0"/>
            <a:cs typeface="+mn-cs"/>
          </a:endParaRPr>
        </a:p>
      </xdr:txBody>
    </xdr:sp>
    <xdr:clientData/>
  </xdr:twoCellAnchor>
  <xdr:twoCellAnchor>
    <xdr:from>
      <xdr:col>19</xdr:col>
      <xdr:colOff>392264</xdr:colOff>
      <xdr:row>10</xdr:row>
      <xdr:rowOff>148166</xdr:rowOff>
    </xdr:from>
    <xdr:to>
      <xdr:col>23</xdr:col>
      <xdr:colOff>111454</xdr:colOff>
      <xdr:row>14</xdr:row>
      <xdr:rowOff>148166</xdr:rowOff>
    </xdr:to>
    <xdr:sp macro="" textlink="' Pivot Table &amp; Charts'!C6">
      <xdr:nvSpPr>
        <xdr:cNvPr id="30" name="TextBox 29">
          <a:extLst>
            <a:ext uri="{FF2B5EF4-FFF2-40B4-BE49-F238E27FC236}">
              <a16:creationId xmlns:a16="http://schemas.microsoft.com/office/drawing/2014/main" id="{AE93F3D4-997A-1F68-804C-8920ADDD1E21}"/>
            </a:ext>
          </a:extLst>
        </xdr:cNvPr>
        <xdr:cNvSpPr txBox="1"/>
      </xdr:nvSpPr>
      <xdr:spPr>
        <a:xfrm>
          <a:off x="11739438" y="1942731"/>
          <a:ext cx="2148755" cy="717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F1664FB-77FD-4185-96E6-CC92E5359332}" type="TxLink">
            <a:rPr lang="en-US" sz="3600" b="1" i="0" u="none" strike="noStrike">
              <a:solidFill>
                <a:schemeClr val="bg1">
                  <a:lumMod val="95000"/>
                </a:schemeClr>
              </a:solidFill>
              <a:latin typeface="Gadugi" panose="020B0502040204020203" pitchFamily="34" charset="0"/>
              <a:ea typeface="Gadugi" panose="020B0502040204020203" pitchFamily="34" charset="0"/>
              <a:cs typeface="+mn-cs"/>
            </a:rPr>
            <a:pPr marL="0" indent="0" algn="ctr"/>
            <a:t>29.44%</a:t>
          </a:fld>
          <a:endParaRPr lang="en-US" sz="3600" b="1" i="0" u="none" strike="noStrike">
            <a:solidFill>
              <a:schemeClr val="bg1">
                <a:lumMod val="95000"/>
              </a:schemeClr>
            </a:solidFill>
            <a:latin typeface="Gadugi" panose="020B0502040204020203" pitchFamily="34" charset="0"/>
            <a:ea typeface="Gadugi" panose="020B0502040204020203" pitchFamily="34" charset="0"/>
            <a:cs typeface="+mn-cs"/>
          </a:endParaRPr>
        </a:p>
      </xdr:txBody>
    </xdr:sp>
    <xdr:clientData/>
  </xdr:twoCellAnchor>
  <xdr:twoCellAnchor>
    <xdr:from>
      <xdr:col>25</xdr:col>
      <xdr:colOff>0</xdr:colOff>
      <xdr:row>10</xdr:row>
      <xdr:rowOff>148167</xdr:rowOff>
    </xdr:from>
    <xdr:to>
      <xdr:col>28</xdr:col>
      <xdr:colOff>515158</xdr:colOff>
      <xdr:row>14</xdr:row>
      <xdr:rowOff>148166</xdr:rowOff>
    </xdr:to>
    <xdr:sp macro="" textlink="' Pivot Table &amp; Charts'!C5">
      <xdr:nvSpPr>
        <xdr:cNvPr id="31" name="TextBox 30">
          <a:extLst>
            <a:ext uri="{FF2B5EF4-FFF2-40B4-BE49-F238E27FC236}">
              <a16:creationId xmlns:a16="http://schemas.microsoft.com/office/drawing/2014/main" id="{199AB8CF-3D05-3EC2-FB03-12E5CDCD7651}"/>
            </a:ext>
          </a:extLst>
        </xdr:cNvPr>
        <xdr:cNvSpPr txBox="1"/>
      </xdr:nvSpPr>
      <xdr:spPr>
        <a:xfrm>
          <a:off x="14991522" y="1942732"/>
          <a:ext cx="2337332" cy="71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6500570-7038-48E4-82E0-F5A774D370CA}" type="TxLink">
            <a:rPr lang="en-US" sz="3600" b="1" i="0" u="none" strike="noStrike">
              <a:solidFill>
                <a:schemeClr val="bg1">
                  <a:lumMod val="95000"/>
                </a:schemeClr>
              </a:solidFill>
              <a:latin typeface="Gadugi" panose="020B0502040204020203" pitchFamily="34" charset="0"/>
              <a:ea typeface="Gadugi" panose="020B0502040204020203" pitchFamily="34" charset="0"/>
              <a:cs typeface="+mn-cs"/>
            </a:rPr>
            <a:pPr marL="0" indent="0" algn="ctr"/>
            <a:t>70.56%</a:t>
          </a:fld>
          <a:endParaRPr lang="en-US" sz="3600" b="1" i="0" u="none" strike="noStrike">
            <a:solidFill>
              <a:schemeClr val="bg1">
                <a:lumMod val="95000"/>
              </a:schemeClr>
            </a:solidFill>
            <a:latin typeface="Gadugi" panose="020B0502040204020203" pitchFamily="34" charset="0"/>
            <a:ea typeface="Gadugi" panose="020B0502040204020203" pitchFamily="34" charset="0"/>
            <a:cs typeface="+mn-cs"/>
          </a:endParaRPr>
        </a:p>
      </xdr:txBody>
    </xdr:sp>
    <xdr:clientData/>
  </xdr:twoCellAnchor>
  <xdr:twoCellAnchor>
    <xdr:from>
      <xdr:col>30</xdr:col>
      <xdr:colOff>31747</xdr:colOff>
      <xdr:row>10</xdr:row>
      <xdr:rowOff>148166</xdr:rowOff>
    </xdr:from>
    <xdr:to>
      <xdr:col>33</xdr:col>
      <xdr:colOff>984248</xdr:colOff>
      <xdr:row>14</xdr:row>
      <xdr:rowOff>148166</xdr:rowOff>
    </xdr:to>
    <xdr:sp macro="" textlink="' Pivot Table &amp; Charts'!B36">
      <xdr:nvSpPr>
        <xdr:cNvPr id="32" name="TextBox 31">
          <a:extLst>
            <a:ext uri="{FF2B5EF4-FFF2-40B4-BE49-F238E27FC236}">
              <a16:creationId xmlns:a16="http://schemas.microsoft.com/office/drawing/2014/main" id="{5394737A-BE27-32CF-A6EF-300A2739D6C1}"/>
            </a:ext>
          </a:extLst>
        </xdr:cNvPr>
        <xdr:cNvSpPr txBox="1"/>
      </xdr:nvSpPr>
      <xdr:spPr>
        <a:xfrm>
          <a:off x="17525997" y="2053166"/>
          <a:ext cx="2762251"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BA41172-1E45-46BB-9021-060933DB046D}" type="TxLink">
            <a:rPr lang="en-US" sz="3600" b="1" i="0" u="none" strike="noStrike">
              <a:solidFill>
                <a:schemeClr val="bg1">
                  <a:lumMod val="95000"/>
                </a:schemeClr>
              </a:solidFill>
              <a:latin typeface="Gadugi" panose="020B0502040204020203" pitchFamily="34" charset="0"/>
              <a:ea typeface="Gadugi" panose="020B0502040204020203" pitchFamily="34" charset="0"/>
              <a:cs typeface="+mn-cs"/>
            </a:rPr>
            <a:pPr marL="0" indent="0" algn="ctr"/>
            <a:t>₦58M</a:t>
          </a:fld>
          <a:endParaRPr lang="en-US" sz="3600" b="1" i="0" u="none" strike="noStrike">
            <a:solidFill>
              <a:schemeClr val="bg1">
                <a:lumMod val="95000"/>
              </a:schemeClr>
            </a:solidFill>
            <a:latin typeface="Gadugi" panose="020B0502040204020203" pitchFamily="34" charset="0"/>
            <a:ea typeface="Gadugi" panose="020B0502040204020203" pitchFamily="34" charset="0"/>
            <a:cs typeface="+mn-cs"/>
          </a:endParaRPr>
        </a:p>
      </xdr:txBody>
    </xdr:sp>
    <xdr:clientData/>
  </xdr:twoCellAnchor>
  <xdr:twoCellAnchor>
    <xdr:from>
      <xdr:col>6</xdr:col>
      <xdr:colOff>469902</xdr:colOff>
      <xdr:row>32</xdr:row>
      <xdr:rowOff>179262</xdr:rowOff>
    </xdr:from>
    <xdr:to>
      <xdr:col>15</xdr:col>
      <xdr:colOff>0</xdr:colOff>
      <xdr:row>50</xdr:row>
      <xdr:rowOff>33190</xdr:rowOff>
    </xdr:to>
    <xdr:graphicFrame macro="">
      <xdr:nvGraphicFramePr>
        <xdr:cNvPr id="39" name="Chart 38">
          <a:extLst>
            <a:ext uri="{FF2B5EF4-FFF2-40B4-BE49-F238E27FC236}">
              <a16:creationId xmlns:a16="http://schemas.microsoft.com/office/drawing/2014/main" id="{40260CA8-FC52-4D43-887E-510287365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15</xdr:row>
      <xdr:rowOff>83820</xdr:rowOff>
    </xdr:from>
    <xdr:to>
      <xdr:col>20</xdr:col>
      <xdr:colOff>439421</xdr:colOff>
      <xdr:row>32</xdr:row>
      <xdr:rowOff>0</xdr:rowOff>
    </xdr:to>
    <xdr:graphicFrame macro="">
      <xdr:nvGraphicFramePr>
        <xdr:cNvPr id="42" name="Chart 41">
          <a:extLst>
            <a:ext uri="{FF2B5EF4-FFF2-40B4-BE49-F238E27FC236}">
              <a16:creationId xmlns:a16="http://schemas.microsoft.com/office/drawing/2014/main" id="{502F5C6A-2AC1-4E38-B160-8C9B6837D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196850</xdr:colOff>
      <xdr:row>32</xdr:row>
      <xdr:rowOff>179262</xdr:rowOff>
    </xdr:from>
    <xdr:to>
      <xdr:col>23</xdr:col>
      <xdr:colOff>466091</xdr:colOff>
      <xdr:row>49</xdr:row>
      <xdr:rowOff>111721</xdr:rowOff>
    </xdr:to>
    <xdr:graphicFrame macro="">
      <xdr:nvGraphicFramePr>
        <xdr:cNvPr id="45" name="Chart 44">
          <a:extLst>
            <a:ext uri="{FF2B5EF4-FFF2-40B4-BE49-F238E27FC236}">
              <a16:creationId xmlns:a16="http://schemas.microsoft.com/office/drawing/2014/main" id="{B0617B6C-C297-4DA6-BF4F-1E5CEE0E6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345290</xdr:colOff>
      <xdr:row>8</xdr:row>
      <xdr:rowOff>85585</xdr:rowOff>
    </xdr:from>
    <xdr:to>
      <xdr:col>4</xdr:col>
      <xdr:colOff>345290</xdr:colOff>
      <xdr:row>11</xdr:row>
      <xdr:rowOff>85584</xdr:rowOff>
    </xdr:to>
    <xdr:sp macro="" textlink="">
      <xdr:nvSpPr>
        <xdr:cNvPr id="50" name="TextBox 49">
          <a:extLst>
            <a:ext uri="{FF2B5EF4-FFF2-40B4-BE49-F238E27FC236}">
              <a16:creationId xmlns:a16="http://schemas.microsoft.com/office/drawing/2014/main" id="{C74EBF8D-F2E5-46D9-A2C7-08013AD07E8B}"/>
            </a:ext>
          </a:extLst>
        </xdr:cNvPr>
        <xdr:cNvSpPr txBox="1"/>
      </xdr:nvSpPr>
      <xdr:spPr>
        <a:xfrm>
          <a:off x="345290" y="1521237"/>
          <a:ext cx="1822174" cy="538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FFC000"/>
              </a:solidFill>
            </a:rPr>
            <a:t>Filter Pane</a:t>
          </a:r>
        </a:p>
      </xdr:txBody>
    </xdr:sp>
    <xdr:clientData/>
  </xdr:twoCellAnchor>
  <xdr:twoCellAnchor>
    <xdr:from>
      <xdr:col>19</xdr:col>
      <xdr:colOff>607389</xdr:colOff>
      <xdr:row>50</xdr:row>
      <xdr:rowOff>133945</xdr:rowOff>
    </xdr:from>
    <xdr:to>
      <xdr:col>33</xdr:col>
      <xdr:colOff>976604</xdr:colOff>
      <xdr:row>70</xdr:row>
      <xdr:rowOff>-1</xdr:rowOff>
    </xdr:to>
    <xdr:sp macro="" textlink="">
      <xdr:nvSpPr>
        <xdr:cNvPr id="53" name="Rectangle: Rounded Corners 52">
          <a:extLst>
            <a:ext uri="{FF2B5EF4-FFF2-40B4-BE49-F238E27FC236}">
              <a16:creationId xmlns:a16="http://schemas.microsoft.com/office/drawing/2014/main" id="{48F0FD4A-1FCE-90C4-032F-50FA845AB942}"/>
            </a:ext>
          </a:extLst>
        </xdr:cNvPr>
        <xdr:cNvSpPr/>
      </xdr:nvSpPr>
      <xdr:spPr>
        <a:xfrm>
          <a:off x="11954563" y="9106771"/>
          <a:ext cx="8872693" cy="3455185"/>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607390</xdr:colOff>
      <xdr:row>51</xdr:row>
      <xdr:rowOff>2</xdr:rowOff>
    </xdr:from>
    <xdr:to>
      <xdr:col>33</xdr:col>
      <xdr:colOff>915471</xdr:colOff>
      <xdr:row>70</xdr:row>
      <xdr:rowOff>0</xdr:rowOff>
    </xdr:to>
    <mc:AlternateContent xmlns:mc="http://schemas.openxmlformats.org/markup-compatibility/2006">
      <mc:Choice xmlns:cx4="http://schemas.microsoft.com/office/drawing/2016/5/10/chartex" Requires="cx4">
        <xdr:graphicFrame macro="">
          <xdr:nvGraphicFramePr>
            <xdr:cNvPr id="52" name="Chart 51">
              <a:extLst>
                <a:ext uri="{FF2B5EF4-FFF2-40B4-BE49-F238E27FC236}">
                  <a16:creationId xmlns:a16="http://schemas.microsoft.com/office/drawing/2014/main" id="{950D4F0E-89B6-44EC-8E33-D5F62A88C3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999290" y="9391652"/>
              <a:ext cx="8842481" cy="34988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0</xdr:colOff>
      <xdr:row>17</xdr:row>
      <xdr:rowOff>1</xdr:rowOff>
    </xdr:from>
    <xdr:to>
      <xdr:col>33</xdr:col>
      <xdr:colOff>836212</xdr:colOff>
      <xdr:row>31</xdr:row>
      <xdr:rowOff>0</xdr:rowOff>
    </xdr:to>
    <xdr:graphicFrame macro="">
      <xdr:nvGraphicFramePr>
        <xdr:cNvPr id="54" name="Chart 53">
          <a:extLst>
            <a:ext uri="{FF2B5EF4-FFF2-40B4-BE49-F238E27FC236}">
              <a16:creationId xmlns:a16="http://schemas.microsoft.com/office/drawing/2014/main" id="{349EFC6A-7434-4674-91E3-9835CEA76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529167</xdr:colOff>
      <xdr:row>17</xdr:row>
      <xdr:rowOff>1</xdr:rowOff>
    </xdr:from>
    <xdr:to>
      <xdr:col>27</xdr:col>
      <xdr:colOff>271141</xdr:colOff>
      <xdr:row>31</xdr:row>
      <xdr:rowOff>182626</xdr:rowOff>
    </xdr:to>
    <xdr:graphicFrame macro="">
      <xdr:nvGraphicFramePr>
        <xdr:cNvPr id="55" name="Chart 54">
          <a:extLst>
            <a:ext uri="{FF2B5EF4-FFF2-40B4-BE49-F238E27FC236}">
              <a16:creationId xmlns:a16="http://schemas.microsoft.com/office/drawing/2014/main" id="{C711D280-FA8F-4491-9495-E235C64BE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146436</xdr:colOff>
      <xdr:row>15</xdr:row>
      <xdr:rowOff>83821</xdr:rowOff>
    </xdr:from>
    <xdr:to>
      <xdr:col>30</xdr:col>
      <xdr:colOff>153263</xdr:colOff>
      <xdr:row>18</xdr:row>
      <xdr:rowOff>0</xdr:rowOff>
    </xdr:to>
    <xdr:sp macro="" textlink="">
      <xdr:nvSpPr>
        <xdr:cNvPr id="56" name="TextBox 55">
          <a:extLst>
            <a:ext uri="{FF2B5EF4-FFF2-40B4-BE49-F238E27FC236}">
              <a16:creationId xmlns:a16="http://schemas.microsoft.com/office/drawing/2014/main" id="{4B47C6AA-BCBA-23F8-9CE5-642CEC2253AE}"/>
            </a:ext>
          </a:extLst>
        </xdr:cNvPr>
        <xdr:cNvSpPr txBox="1"/>
      </xdr:nvSpPr>
      <xdr:spPr>
        <a:xfrm>
          <a:off x="14530566" y="2775669"/>
          <a:ext cx="3651175" cy="454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rPr>
            <a:t>Customer Churn by Gender and Device</a:t>
          </a:r>
        </a:p>
      </xdr:txBody>
    </xdr:sp>
    <xdr:clientData/>
  </xdr:twoCellAnchor>
  <xdr:twoCellAnchor>
    <xdr:from>
      <xdr:col>6</xdr:col>
      <xdr:colOff>469902</xdr:colOff>
      <xdr:row>50</xdr:row>
      <xdr:rowOff>133944</xdr:rowOff>
    </xdr:from>
    <xdr:to>
      <xdr:col>19</xdr:col>
      <xdr:colOff>483375</xdr:colOff>
      <xdr:row>70</xdr:row>
      <xdr:rowOff>0</xdr:rowOff>
    </xdr:to>
    <xdr:sp macro="" textlink="">
      <xdr:nvSpPr>
        <xdr:cNvPr id="57" name="Rectangle: Rounded Corners 56">
          <a:extLst>
            <a:ext uri="{FF2B5EF4-FFF2-40B4-BE49-F238E27FC236}">
              <a16:creationId xmlns:a16="http://schemas.microsoft.com/office/drawing/2014/main" id="{A9184392-6619-9762-B243-03D4F23127B5}"/>
            </a:ext>
          </a:extLst>
        </xdr:cNvPr>
        <xdr:cNvSpPr/>
      </xdr:nvSpPr>
      <xdr:spPr>
        <a:xfrm>
          <a:off x="3920989" y="9106770"/>
          <a:ext cx="7909560" cy="3455187"/>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51</xdr:row>
      <xdr:rowOff>2</xdr:rowOff>
    </xdr:from>
    <xdr:to>
      <xdr:col>19</xdr:col>
      <xdr:colOff>392264</xdr:colOff>
      <xdr:row>69</xdr:row>
      <xdr:rowOff>0</xdr:rowOff>
    </xdr:to>
    <xdr:graphicFrame macro="">
      <xdr:nvGraphicFramePr>
        <xdr:cNvPr id="59" name="Chart 58">
          <a:extLst>
            <a:ext uri="{FF2B5EF4-FFF2-40B4-BE49-F238E27FC236}">
              <a16:creationId xmlns:a16="http://schemas.microsoft.com/office/drawing/2014/main" id="{CD4363AF-F0AD-4104-B72C-C8B1A31C2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345290</xdr:colOff>
      <xdr:row>12</xdr:row>
      <xdr:rowOff>0</xdr:rowOff>
    </xdr:from>
    <xdr:to>
      <xdr:col>6</xdr:col>
      <xdr:colOff>265043</xdr:colOff>
      <xdr:row>21</xdr:row>
      <xdr:rowOff>179455</xdr:rowOff>
    </xdr:to>
    <mc:AlternateContent xmlns:mc="http://schemas.openxmlformats.org/markup-compatibility/2006" xmlns:tsle="http://schemas.microsoft.com/office/drawing/2012/timeslicer">
      <mc:Choice Requires="tsle">
        <xdr:graphicFrame macro="">
          <xdr:nvGraphicFramePr>
            <xdr:cNvPr id="61" name="Date of Purchase">
              <a:extLst>
                <a:ext uri="{FF2B5EF4-FFF2-40B4-BE49-F238E27FC236}">
                  <a16:creationId xmlns:a16="http://schemas.microsoft.com/office/drawing/2014/main" id="{4656114E-F035-46D2-BEE4-17C718C41ECD}"/>
                </a:ext>
              </a:extLst>
            </xdr:cNvPr>
            <xdr:cNvGraphicFramePr/>
          </xdr:nvGraphicFramePr>
          <xdr:xfrm>
            <a:off x="0" y="0"/>
            <a:ext cx="0" cy="0"/>
          </xdr:xfrm>
          <a:graphic>
            <a:graphicData uri="http://schemas.microsoft.com/office/drawing/2012/timeslicer">
              <tsle:timeslicer name="Date of Purchase"/>
            </a:graphicData>
          </a:graphic>
        </xdr:graphicFrame>
      </mc:Choice>
      <mc:Fallback xmlns="">
        <xdr:sp macro="" textlink="">
          <xdr:nvSpPr>
            <xdr:cNvPr id="0" name=""/>
            <xdr:cNvSpPr>
              <a:spLocks noTextEdit="1"/>
            </xdr:cNvSpPr>
          </xdr:nvSpPr>
          <xdr:spPr>
            <a:xfrm>
              <a:off x="758040" y="2286000"/>
              <a:ext cx="2936003" cy="18939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345290</xdr:colOff>
      <xdr:row>23</xdr:row>
      <xdr:rowOff>1</xdr:rowOff>
    </xdr:from>
    <xdr:to>
      <xdr:col>6</xdr:col>
      <xdr:colOff>265043</xdr:colOff>
      <xdr:row>32</xdr:row>
      <xdr:rowOff>0</xdr:rowOff>
    </xdr:to>
    <mc:AlternateContent xmlns:mc="http://schemas.openxmlformats.org/markup-compatibility/2006" xmlns:a14="http://schemas.microsoft.com/office/drawing/2010/main">
      <mc:Choice Requires="a14">
        <xdr:graphicFrame macro="">
          <xdr:nvGraphicFramePr>
            <xdr:cNvPr id="62" name="Age Group">
              <a:extLst>
                <a:ext uri="{FF2B5EF4-FFF2-40B4-BE49-F238E27FC236}">
                  <a16:creationId xmlns:a16="http://schemas.microsoft.com/office/drawing/2014/main" id="{BBA81BFA-9E5D-446D-96E2-19E7DDCC2EE1}"/>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758040" y="4381501"/>
              <a:ext cx="2936003"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345290</xdr:colOff>
      <xdr:row>34</xdr:row>
      <xdr:rowOff>0</xdr:rowOff>
    </xdr:from>
    <xdr:to>
      <xdr:col>6</xdr:col>
      <xdr:colOff>265044</xdr:colOff>
      <xdr:row>40</xdr:row>
      <xdr:rowOff>0</xdr:rowOff>
    </xdr:to>
    <mc:AlternateContent xmlns:mc="http://schemas.openxmlformats.org/markup-compatibility/2006" xmlns:a14="http://schemas.microsoft.com/office/drawing/2010/main">
      <mc:Choice Requires="a14">
        <xdr:graphicFrame macro="">
          <xdr:nvGraphicFramePr>
            <xdr:cNvPr id="63" name="Gender">
              <a:extLst>
                <a:ext uri="{FF2B5EF4-FFF2-40B4-BE49-F238E27FC236}">
                  <a16:creationId xmlns:a16="http://schemas.microsoft.com/office/drawing/2014/main" id="{F288F957-54C2-4ECC-8B53-99192D3084C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8040" y="6477000"/>
              <a:ext cx="2936004"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295872</xdr:colOff>
      <xdr:row>42</xdr:row>
      <xdr:rowOff>0</xdr:rowOff>
    </xdr:from>
    <xdr:to>
      <xdr:col>6</xdr:col>
      <xdr:colOff>265043</xdr:colOff>
      <xdr:row>56</xdr:row>
      <xdr:rowOff>0</xdr:rowOff>
    </xdr:to>
    <mc:AlternateContent xmlns:mc="http://schemas.openxmlformats.org/markup-compatibility/2006" xmlns:a14="http://schemas.microsoft.com/office/drawing/2010/main">
      <mc:Choice Requires="a14">
        <xdr:graphicFrame macro="">
          <xdr:nvGraphicFramePr>
            <xdr:cNvPr id="64" name="Device Type">
              <a:extLst>
                <a:ext uri="{FF2B5EF4-FFF2-40B4-BE49-F238E27FC236}">
                  <a16:creationId xmlns:a16="http://schemas.microsoft.com/office/drawing/2014/main" id="{26C1ABE2-0646-44F5-A152-427046D015D9}"/>
                </a:ext>
              </a:extLst>
            </xdr:cNvPr>
            <xdr:cNvGraphicFramePr/>
          </xdr:nvGraphicFramePr>
          <xdr:xfrm>
            <a:off x="0" y="0"/>
            <a:ext cx="0" cy="0"/>
          </xdr:xfrm>
          <a:graphic>
            <a:graphicData uri="http://schemas.microsoft.com/office/drawing/2010/slicer">
              <sle:slicer xmlns:sle="http://schemas.microsoft.com/office/drawing/2010/slicer" name="Device Type"/>
            </a:graphicData>
          </a:graphic>
        </xdr:graphicFrame>
      </mc:Choice>
      <mc:Fallback xmlns="">
        <xdr:sp macro="" textlink="">
          <xdr:nvSpPr>
            <xdr:cNvPr id="0" name=""/>
            <xdr:cNvSpPr>
              <a:spLocks noTextEdit="1"/>
            </xdr:cNvSpPr>
          </xdr:nvSpPr>
          <xdr:spPr>
            <a:xfrm>
              <a:off x="708622" y="8001000"/>
              <a:ext cx="2985421"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295872</xdr:colOff>
      <xdr:row>55</xdr:row>
      <xdr:rowOff>179455</xdr:rowOff>
    </xdr:from>
    <xdr:to>
      <xdr:col>6</xdr:col>
      <xdr:colOff>265043</xdr:colOff>
      <xdr:row>69</xdr:row>
      <xdr:rowOff>-1</xdr:rowOff>
    </xdr:to>
    <mc:AlternateContent xmlns:mc="http://schemas.openxmlformats.org/markup-compatibility/2006" xmlns:a14="http://schemas.microsoft.com/office/drawing/2010/main">
      <mc:Choice Requires="a14">
        <xdr:graphicFrame macro="">
          <xdr:nvGraphicFramePr>
            <xdr:cNvPr id="65" name="Tenure Group">
              <a:extLst>
                <a:ext uri="{FF2B5EF4-FFF2-40B4-BE49-F238E27FC236}">
                  <a16:creationId xmlns:a16="http://schemas.microsoft.com/office/drawing/2014/main" id="{1DCC8CF1-5601-4ABC-9860-B15F2136896A}"/>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mlns="">
        <xdr:sp macro="" textlink="">
          <xdr:nvSpPr>
            <xdr:cNvPr id="0" name=""/>
            <xdr:cNvSpPr>
              <a:spLocks noTextEdit="1"/>
            </xdr:cNvSpPr>
          </xdr:nvSpPr>
          <xdr:spPr>
            <a:xfrm>
              <a:off x="708622" y="10656955"/>
              <a:ext cx="2985421" cy="2487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xdr:colOff>
      <xdr:row>10</xdr:row>
      <xdr:rowOff>52917</xdr:rowOff>
    </xdr:from>
    <xdr:to>
      <xdr:col>14</xdr:col>
      <xdr:colOff>36829</xdr:colOff>
      <xdr:row>13</xdr:row>
      <xdr:rowOff>159011</xdr:rowOff>
    </xdr:to>
    <xdr:pic>
      <xdr:nvPicPr>
        <xdr:cNvPr id="71" name="Picture 70">
          <a:extLst>
            <a:ext uri="{FF2B5EF4-FFF2-40B4-BE49-F238E27FC236}">
              <a16:creationId xmlns:a16="http://schemas.microsoft.com/office/drawing/2014/main" id="{B1D8A707-88B1-4188-8E87-BB0A2075BEEE}"/>
            </a:ext>
          </a:extLst>
        </xdr:cNvPr>
        <xdr:cNvPicPr>
          <a:picLocks noChangeAspect="1"/>
        </xdr:cNvPicPr>
      </xdr:nvPicPr>
      <xdr:blipFill>
        <a:blip xmlns:r="http://schemas.openxmlformats.org/officeDocument/2006/relationships" r:embed="rId10"/>
        <a:stretch>
          <a:fillRect/>
        </a:stretch>
      </xdr:blipFill>
      <xdr:spPr>
        <a:xfrm>
          <a:off x="7651749" y="1957917"/>
          <a:ext cx="640080" cy="677594"/>
        </a:xfrm>
        <a:prstGeom prst="rect">
          <a:avLst/>
        </a:prstGeom>
      </xdr:spPr>
    </xdr:pic>
    <xdr:clientData/>
  </xdr:twoCellAnchor>
  <xdr:twoCellAnchor editAs="oneCell">
    <xdr:from>
      <xdr:col>18</xdr:col>
      <xdr:colOff>359575</xdr:colOff>
      <xdr:row>10</xdr:row>
      <xdr:rowOff>100183</xdr:rowOff>
    </xdr:from>
    <xdr:to>
      <xdr:col>19</xdr:col>
      <xdr:colOff>392264</xdr:colOff>
      <xdr:row>14</xdr:row>
      <xdr:rowOff>22437</xdr:rowOff>
    </xdr:to>
    <xdr:pic>
      <xdr:nvPicPr>
        <xdr:cNvPr id="72" name="Picture 71">
          <a:extLst>
            <a:ext uri="{FF2B5EF4-FFF2-40B4-BE49-F238E27FC236}">
              <a16:creationId xmlns:a16="http://schemas.microsoft.com/office/drawing/2014/main" id="{066359B0-4469-9931-D9B9-FEBCE48492A5}"/>
            </a:ext>
          </a:extLst>
        </xdr:cNvPr>
        <xdr:cNvPicPr>
          <a:picLocks noChangeAspect="1"/>
        </xdr:cNvPicPr>
      </xdr:nvPicPr>
      <xdr:blipFill>
        <a:blip xmlns:r="http://schemas.openxmlformats.org/officeDocument/2006/relationships" r:embed="rId11">
          <a:alphaModFix amt="85000"/>
        </a:blip>
        <a:stretch>
          <a:fillRect/>
        </a:stretch>
      </xdr:blipFill>
      <xdr:spPr>
        <a:xfrm>
          <a:off x="11027575" y="2005183"/>
          <a:ext cx="635939" cy="684254"/>
        </a:xfrm>
        <a:prstGeom prst="rect">
          <a:avLst/>
        </a:prstGeom>
      </xdr:spPr>
    </xdr:pic>
    <xdr:clientData/>
  </xdr:twoCellAnchor>
  <xdr:twoCellAnchor editAs="oneCell">
    <xdr:from>
      <xdr:col>24</xdr:col>
      <xdr:colOff>146436</xdr:colOff>
      <xdr:row>9</xdr:row>
      <xdr:rowOff>158750</xdr:rowOff>
    </xdr:from>
    <xdr:to>
      <xdr:col>25</xdr:col>
      <xdr:colOff>179124</xdr:colOff>
      <xdr:row>13</xdr:row>
      <xdr:rowOff>81004</xdr:rowOff>
    </xdr:to>
    <xdr:pic>
      <xdr:nvPicPr>
        <xdr:cNvPr id="75" name="Picture 74">
          <a:extLst>
            <a:ext uri="{FF2B5EF4-FFF2-40B4-BE49-F238E27FC236}">
              <a16:creationId xmlns:a16="http://schemas.microsoft.com/office/drawing/2014/main" id="{571C2945-73C5-9F07-2D39-4415BCD7CB59}"/>
            </a:ext>
          </a:extLst>
        </xdr:cNvPr>
        <xdr:cNvPicPr>
          <a:picLocks noChangeAspect="1"/>
        </xdr:cNvPicPr>
      </xdr:nvPicPr>
      <xdr:blipFill>
        <a:blip xmlns:r="http://schemas.openxmlformats.org/officeDocument/2006/relationships" r:embed="rId12"/>
        <a:stretch>
          <a:fillRect/>
        </a:stretch>
      </xdr:blipFill>
      <xdr:spPr>
        <a:xfrm>
          <a:off x="14433936" y="1873250"/>
          <a:ext cx="635938" cy="684254"/>
        </a:xfrm>
        <a:prstGeom prst="rect">
          <a:avLst/>
        </a:prstGeom>
      </xdr:spPr>
    </xdr:pic>
    <xdr:clientData/>
  </xdr:twoCellAnchor>
  <xdr:twoCellAnchor editAs="oneCell">
    <xdr:from>
      <xdr:col>29</xdr:col>
      <xdr:colOff>570561</xdr:colOff>
      <xdr:row>10</xdr:row>
      <xdr:rowOff>131123</xdr:rowOff>
    </xdr:from>
    <xdr:to>
      <xdr:col>31</xdr:col>
      <xdr:colOff>0</xdr:colOff>
      <xdr:row>14</xdr:row>
      <xdr:rowOff>42333</xdr:rowOff>
    </xdr:to>
    <xdr:pic>
      <xdr:nvPicPr>
        <xdr:cNvPr id="76" name="Picture 75">
          <a:extLst>
            <a:ext uri="{FF2B5EF4-FFF2-40B4-BE49-F238E27FC236}">
              <a16:creationId xmlns:a16="http://schemas.microsoft.com/office/drawing/2014/main" id="{5667CDDD-DC9E-36C0-C661-FF32B18FF392}"/>
            </a:ext>
          </a:extLst>
        </xdr:cNvPr>
        <xdr:cNvPicPr>
          <a:picLocks noChangeAspect="1"/>
        </xdr:cNvPicPr>
      </xdr:nvPicPr>
      <xdr:blipFill>
        <a:blip xmlns:r="http://schemas.openxmlformats.org/officeDocument/2006/relationships" r:embed="rId13"/>
        <a:stretch>
          <a:fillRect/>
        </a:stretch>
      </xdr:blipFill>
      <xdr:spPr>
        <a:xfrm>
          <a:off x="17874311" y="2036123"/>
          <a:ext cx="635939" cy="673210"/>
        </a:xfrm>
        <a:prstGeom prst="rect">
          <a:avLst/>
        </a:prstGeom>
      </xdr:spPr>
    </xdr:pic>
    <xdr:clientData/>
  </xdr:twoCellAnchor>
  <xdr:twoCellAnchor>
    <xdr:from>
      <xdr:col>24</xdr:col>
      <xdr:colOff>42332</xdr:colOff>
      <xdr:row>32</xdr:row>
      <xdr:rowOff>166312</xdr:rowOff>
    </xdr:from>
    <xdr:to>
      <xdr:col>33</xdr:col>
      <xdr:colOff>984248</xdr:colOff>
      <xdr:row>50</xdr:row>
      <xdr:rowOff>0</xdr:rowOff>
    </xdr:to>
    <xdr:graphicFrame macro="">
      <xdr:nvGraphicFramePr>
        <xdr:cNvPr id="80" name="Chart 79">
          <a:extLst>
            <a:ext uri="{FF2B5EF4-FFF2-40B4-BE49-F238E27FC236}">
              <a16:creationId xmlns:a16="http://schemas.microsoft.com/office/drawing/2014/main" id="{0A124B21-DAF0-4F4D-BA3F-7A68023AA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7</xdr:col>
      <xdr:colOff>73027</xdr:colOff>
      <xdr:row>10</xdr:row>
      <xdr:rowOff>0</xdr:rowOff>
    </xdr:from>
    <xdr:to>
      <xdr:col>8</xdr:col>
      <xdr:colOff>109857</xdr:colOff>
      <xdr:row>13</xdr:row>
      <xdr:rowOff>74136</xdr:rowOff>
    </xdr:to>
    <xdr:pic>
      <xdr:nvPicPr>
        <xdr:cNvPr id="82" name="Picture 81">
          <a:extLst>
            <a:ext uri="{FF2B5EF4-FFF2-40B4-BE49-F238E27FC236}">
              <a16:creationId xmlns:a16="http://schemas.microsoft.com/office/drawing/2014/main" id="{6315B7F3-CD3A-4364-9FBB-6272CE20DF18}"/>
            </a:ext>
          </a:extLst>
        </xdr:cNvPr>
        <xdr:cNvPicPr>
          <a:picLocks noChangeAspect="1"/>
        </xdr:cNvPicPr>
      </xdr:nvPicPr>
      <xdr:blipFill>
        <a:blip xmlns:r="http://schemas.openxmlformats.org/officeDocument/2006/relationships" r:embed="rId15">
          <a:duotone>
            <a:schemeClr val="accent2">
              <a:shade val="45000"/>
              <a:satMod val="135000"/>
            </a:schemeClr>
            <a:prstClr val="white"/>
          </a:duotone>
        </a:blip>
        <a:stretch>
          <a:fillRect/>
        </a:stretch>
      </xdr:blipFill>
      <xdr:spPr>
        <a:xfrm>
          <a:off x="4105277" y="1905000"/>
          <a:ext cx="640080" cy="6456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31</xdr:col>
      <xdr:colOff>565150</xdr:colOff>
      <xdr:row>53</xdr:row>
      <xdr:rowOff>107950</xdr:rowOff>
    </xdr:to>
    <xdr:sp macro="" textlink="">
      <xdr:nvSpPr>
        <xdr:cNvPr id="2" name="Rectangle: Rounded Corners 1">
          <a:extLst>
            <a:ext uri="{FF2B5EF4-FFF2-40B4-BE49-F238E27FC236}">
              <a16:creationId xmlns:a16="http://schemas.microsoft.com/office/drawing/2014/main" id="{E6EBD969-D8A3-493A-8C6E-24E5065FF020}"/>
            </a:ext>
          </a:extLst>
        </xdr:cNvPr>
        <xdr:cNvSpPr/>
      </xdr:nvSpPr>
      <xdr:spPr>
        <a:xfrm>
          <a:off x="0" y="184150"/>
          <a:ext cx="19462750" cy="9683750"/>
        </a:xfrm>
        <a:prstGeom prst="roundRect">
          <a:avLst>
            <a:gd name="adj" fmla="val 2790"/>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120650</xdr:colOff>
      <xdr:row>6</xdr:row>
      <xdr:rowOff>25399</xdr:rowOff>
    </xdr:from>
    <xdr:to>
      <xdr:col>31</xdr:col>
      <xdr:colOff>395816</xdr:colOff>
      <xdr:row>52</xdr:row>
      <xdr:rowOff>143933</xdr:rowOff>
    </xdr:to>
    <xdr:sp macro="" textlink="">
      <xdr:nvSpPr>
        <xdr:cNvPr id="3" name="Rectangle: Rounded Corners 2">
          <a:extLst>
            <a:ext uri="{FF2B5EF4-FFF2-40B4-BE49-F238E27FC236}">
              <a16:creationId xmlns:a16="http://schemas.microsoft.com/office/drawing/2014/main" id="{DEF96EFC-157C-4D1B-868F-0D177D3DE6A6}"/>
            </a:ext>
          </a:extLst>
        </xdr:cNvPr>
        <xdr:cNvSpPr/>
      </xdr:nvSpPr>
      <xdr:spPr>
        <a:xfrm>
          <a:off x="120650" y="1130299"/>
          <a:ext cx="19172766" cy="8589434"/>
        </a:xfrm>
        <a:prstGeom prst="roundRect">
          <a:avLst>
            <a:gd name="adj" fmla="val 1761"/>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35989</xdr:colOff>
      <xdr:row>6</xdr:row>
      <xdr:rowOff>141817</xdr:rowOff>
    </xdr:from>
    <xdr:to>
      <xdr:col>10</xdr:col>
      <xdr:colOff>432229</xdr:colOff>
      <xdr:row>13</xdr:row>
      <xdr:rowOff>44449</xdr:rowOff>
    </xdr:to>
    <xdr:sp macro="" textlink="">
      <xdr:nvSpPr>
        <xdr:cNvPr id="4" name="Rectangle: Rounded Corners 3">
          <a:extLst>
            <a:ext uri="{FF2B5EF4-FFF2-40B4-BE49-F238E27FC236}">
              <a16:creationId xmlns:a16="http://schemas.microsoft.com/office/drawing/2014/main" id="{ECF3D446-C608-403A-881B-5DC0B00EE99E}"/>
            </a:ext>
          </a:extLst>
        </xdr:cNvPr>
        <xdr:cNvSpPr/>
      </xdr:nvSpPr>
      <xdr:spPr>
        <a:xfrm>
          <a:off x="3693589" y="1246717"/>
          <a:ext cx="2834640" cy="1191682"/>
        </a:xfrm>
        <a:prstGeom prst="roundRect">
          <a:avLst>
            <a:gd name="adj" fmla="val 9910"/>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222249</xdr:colOff>
      <xdr:row>1</xdr:row>
      <xdr:rowOff>105833</xdr:rowOff>
    </xdr:from>
    <xdr:to>
      <xdr:col>31</xdr:col>
      <xdr:colOff>321732</xdr:colOff>
      <xdr:row>5</xdr:row>
      <xdr:rowOff>120649</xdr:rowOff>
    </xdr:to>
    <xdr:sp macro="" textlink="">
      <xdr:nvSpPr>
        <xdr:cNvPr id="5" name="TextBox 4">
          <a:extLst>
            <a:ext uri="{FF2B5EF4-FFF2-40B4-BE49-F238E27FC236}">
              <a16:creationId xmlns:a16="http://schemas.microsoft.com/office/drawing/2014/main" id="{07D2700B-B240-4ED7-9369-000F8A14BFD9}"/>
            </a:ext>
          </a:extLst>
        </xdr:cNvPr>
        <xdr:cNvSpPr txBox="1"/>
      </xdr:nvSpPr>
      <xdr:spPr>
        <a:xfrm>
          <a:off x="222249" y="289983"/>
          <a:ext cx="18997083" cy="751416"/>
        </a:xfrm>
        <a:prstGeom prst="roundRect">
          <a:avLst/>
        </a:prstGeom>
        <a:solidFill>
          <a:srgbClr val="FFC000"/>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baseline="0"/>
            <a:t>		 MARKET SEGMENTATION AND CUSTOMER BEHAVIOR ANALYSIS</a:t>
          </a:r>
          <a:endParaRPr lang="en-US" sz="3200" b="1"/>
        </a:p>
      </xdr:txBody>
    </xdr:sp>
    <xdr:clientData/>
  </xdr:twoCellAnchor>
  <xdr:twoCellAnchor>
    <xdr:from>
      <xdr:col>11</xdr:col>
      <xdr:colOff>131768</xdr:colOff>
      <xdr:row>6</xdr:row>
      <xdr:rowOff>141817</xdr:rowOff>
    </xdr:from>
    <xdr:to>
      <xdr:col>15</xdr:col>
      <xdr:colOff>521658</xdr:colOff>
      <xdr:row>13</xdr:row>
      <xdr:rowOff>44449</xdr:rowOff>
    </xdr:to>
    <xdr:sp macro="" textlink="">
      <xdr:nvSpPr>
        <xdr:cNvPr id="6" name="Rectangle: Rounded Corners 5">
          <a:extLst>
            <a:ext uri="{FF2B5EF4-FFF2-40B4-BE49-F238E27FC236}">
              <a16:creationId xmlns:a16="http://schemas.microsoft.com/office/drawing/2014/main" id="{56F1E5AC-F44A-403B-83DA-6EC4480587D8}"/>
            </a:ext>
          </a:extLst>
        </xdr:cNvPr>
        <xdr:cNvSpPr/>
      </xdr:nvSpPr>
      <xdr:spPr>
        <a:xfrm>
          <a:off x="6837368" y="1246717"/>
          <a:ext cx="2828290" cy="1191682"/>
        </a:xfrm>
        <a:prstGeom prst="roundRect">
          <a:avLst>
            <a:gd name="adj" fmla="val 9910"/>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221197</xdr:colOff>
      <xdr:row>6</xdr:row>
      <xdr:rowOff>141817</xdr:rowOff>
    </xdr:from>
    <xdr:to>
      <xdr:col>21</xdr:col>
      <xdr:colOff>7837</xdr:colOff>
      <xdr:row>13</xdr:row>
      <xdr:rowOff>44449</xdr:rowOff>
    </xdr:to>
    <xdr:sp macro="" textlink="">
      <xdr:nvSpPr>
        <xdr:cNvPr id="7" name="Rectangle: Rounded Corners 6">
          <a:extLst>
            <a:ext uri="{FF2B5EF4-FFF2-40B4-BE49-F238E27FC236}">
              <a16:creationId xmlns:a16="http://schemas.microsoft.com/office/drawing/2014/main" id="{E2553DC5-C2A8-4910-BDBE-D879BEA3BD91}"/>
            </a:ext>
          </a:extLst>
        </xdr:cNvPr>
        <xdr:cNvSpPr/>
      </xdr:nvSpPr>
      <xdr:spPr>
        <a:xfrm>
          <a:off x="9974797" y="1246717"/>
          <a:ext cx="2834640" cy="1191682"/>
        </a:xfrm>
        <a:prstGeom prst="roundRect">
          <a:avLst>
            <a:gd name="adj" fmla="val 9910"/>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497424</xdr:colOff>
      <xdr:row>1</xdr:row>
      <xdr:rowOff>105831</xdr:rowOff>
    </xdr:from>
    <xdr:to>
      <xdr:col>3</xdr:col>
      <xdr:colOff>234956</xdr:colOff>
      <xdr:row>5</xdr:row>
      <xdr:rowOff>131232</xdr:rowOff>
    </xdr:to>
    <xdr:pic>
      <xdr:nvPicPr>
        <xdr:cNvPr id="8" name="Picture 7">
          <a:extLst>
            <a:ext uri="{FF2B5EF4-FFF2-40B4-BE49-F238E27FC236}">
              <a16:creationId xmlns:a16="http://schemas.microsoft.com/office/drawing/2014/main" id="{9EADFEB1-F90F-4D8C-BEB2-435D6B2052EF}"/>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rightnessContrast contrast="-20000"/>
                  </a14:imgEffect>
                </a14:imgLayer>
              </a14:imgProps>
            </a:ext>
            <a:ext uri="{28A0092B-C50C-407E-A947-70E740481C1C}">
              <a14:useLocalDpi xmlns:a14="http://schemas.microsoft.com/office/drawing/2010/main" val="0"/>
            </a:ext>
          </a:extLst>
        </a:blip>
        <a:srcRect l="9183" t="19388" r="9183" b="18367"/>
        <a:stretch/>
      </xdr:blipFill>
      <xdr:spPr>
        <a:xfrm>
          <a:off x="497424" y="289981"/>
          <a:ext cx="1566332" cy="762001"/>
        </a:xfrm>
        <a:prstGeom prst="rect">
          <a:avLst/>
        </a:prstGeom>
      </xdr:spPr>
    </xdr:pic>
    <xdr:clientData/>
  </xdr:twoCellAnchor>
  <xdr:twoCellAnchor>
    <xdr:from>
      <xdr:col>14</xdr:col>
      <xdr:colOff>178860</xdr:colOff>
      <xdr:row>14</xdr:row>
      <xdr:rowOff>27518</xdr:rowOff>
    </xdr:from>
    <xdr:to>
      <xdr:col>22</xdr:col>
      <xdr:colOff>422700</xdr:colOff>
      <xdr:row>32</xdr:row>
      <xdr:rowOff>141817</xdr:rowOff>
    </xdr:to>
    <xdr:sp macro="" textlink="">
      <xdr:nvSpPr>
        <xdr:cNvPr id="9" name="Rectangle: Rounded Corners 8">
          <a:extLst>
            <a:ext uri="{FF2B5EF4-FFF2-40B4-BE49-F238E27FC236}">
              <a16:creationId xmlns:a16="http://schemas.microsoft.com/office/drawing/2014/main" id="{14088634-3B6C-4C2A-B65B-F535E662A4A2}"/>
            </a:ext>
          </a:extLst>
        </xdr:cNvPr>
        <xdr:cNvSpPr/>
      </xdr:nvSpPr>
      <xdr:spPr>
        <a:xfrm>
          <a:off x="8713260" y="2605618"/>
          <a:ext cx="5120640" cy="3428999"/>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603252</xdr:colOff>
      <xdr:row>14</xdr:row>
      <xdr:rowOff>27518</xdr:rowOff>
    </xdr:from>
    <xdr:to>
      <xdr:col>31</xdr:col>
      <xdr:colOff>237492</xdr:colOff>
      <xdr:row>32</xdr:row>
      <xdr:rowOff>141817</xdr:rowOff>
    </xdr:to>
    <xdr:sp macro="" textlink="">
      <xdr:nvSpPr>
        <xdr:cNvPr id="10" name="Rectangle: Rounded Corners 9">
          <a:extLst>
            <a:ext uri="{FF2B5EF4-FFF2-40B4-BE49-F238E27FC236}">
              <a16:creationId xmlns:a16="http://schemas.microsoft.com/office/drawing/2014/main" id="{0C98EB79-50DB-43FB-9224-2A6161A18851}"/>
            </a:ext>
          </a:extLst>
        </xdr:cNvPr>
        <xdr:cNvSpPr/>
      </xdr:nvSpPr>
      <xdr:spPr>
        <a:xfrm>
          <a:off x="14014452" y="2605618"/>
          <a:ext cx="5120640" cy="3428999"/>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23284</xdr:colOff>
      <xdr:row>33</xdr:row>
      <xdr:rowOff>44450</xdr:rowOff>
    </xdr:from>
    <xdr:to>
      <xdr:col>31</xdr:col>
      <xdr:colOff>267124</xdr:colOff>
      <xdr:row>51</xdr:row>
      <xdr:rowOff>158750</xdr:rowOff>
    </xdr:to>
    <xdr:sp macro="" textlink="">
      <xdr:nvSpPr>
        <xdr:cNvPr id="11" name="Rectangle: Rounded Corners 10">
          <a:extLst>
            <a:ext uri="{FF2B5EF4-FFF2-40B4-BE49-F238E27FC236}">
              <a16:creationId xmlns:a16="http://schemas.microsoft.com/office/drawing/2014/main" id="{BD8A269F-7EF3-47B1-BBC8-C9CC9A84EE3D}"/>
            </a:ext>
          </a:extLst>
        </xdr:cNvPr>
        <xdr:cNvSpPr/>
      </xdr:nvSpPr>
      <xdr:spPr>
        <a:xfrm>
          <a:off x="14044084" y="6121400"/>
          <a:ext cx="5120640" cy="3429000"/>
        </a:xfrm>
        <a:prstGeom prst="roundRect">
          <a:avLst>
            <a:gd name="adj" fmla="val 4424"/>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1.768327199075" createdVersion="8" refreshedVersion="8" minRefreshableVersion="3" recordCount="974" xr:uid="{FAAC5A4C-68A1-444B-BB0B-1BE3E4E15D4F}">
  <cacheSource type="worksheet">
    <worksheetSource ref="A1:T975" sheet="mtn_customer_churn"/>
  </cacheSource>
  <cacheFields count="22">
    <cacheField name="Customer ID" numFmtId="49">
      <sharedItems/>
    </cacheField>
    <cacheField name="Unique Customers" numFmtId="0">
      <sharedItems containsSemiMixedTypes="0" containsString="0" containsNumber="1" containsInteger="1" minValue="0" maxValue="1"/>
    </cacheField>
    <cacheField name="Full Name" numFmtId="0">
      <sharedItems/>
    </cacheField>
    <cacheField name="Date of Purchase" numFmtId="14">
      <sharedItems containsSemiMixedTypes="0" containsNonDate="0" containsDate="1" containsString="0" minDate="2025-01-25T00:00:00" maxDate="2025-03-26T00:00:00" count="3">
        <d v="2025-01-25T00:00:00"/>
        <d v="2025-03-25T00:00:00"/>
        <d v="2025-02-25T00:00:00"/>
      </sharedItems>
      <fieldGroup par="21"/>
    </cacheField>
    <cacheField name="Age" numFmtId="0">
      <sharedItems containsSemiMixedTypes="0" containsString="0" containsNumber="1" containsInteger="1" minValue="16" maxValue="80"/>
    </cacheField>
    <cacheField name="Age Group" numFmtId="0">
      <sharedItems count="9">
        <s v="18-29"/>
        <s v="&lt;18"/>
        <s v="30-44"/>
        <s v="45-59"/>
        <s v="60+"/>
        <s v="Youth" u="1"/>
        <s v="Under 18" u="1"/>
        <s v="Adult" u="1"/>
        <s v="Older" u="1"/>
      </sharedItems>
    </cacheField>
    <cacheField name="State" numFmtId="0">
      <sharedItems count="35">
        <s v="Kwara"/>
        <s v="Abuja (FCT)"/>
        <s v="Sokoto"/>
        <s v="Gombe"/>
        <s v="Oyo"/>
        <s v="Plateau"/>
        <s v="Jigawa"/>
        <s v="Imo"/>
        <s v="Bauchi"/>
        <s v="Ondo"/>
        <s v="Kebbi"/>
        <s v="Adamawa"/>
        <s v="Yobe"/>
        <s v="Anambra"/>
        <s v="Cross River"/>
        <s v="Kogi"/>
        <s v="Osun"/>
        <s v="Kano"/>
        <s v="Benue"/>
        <s v="Rivers"/>
        <s v="Enugu"/>
        <s v="Borno"/>
        <s v="Edo"/>
        <s v="Kaduna"/>
        <s v="Abia"/>
        <s v="Ekiti"/>
        <s v="Bayelsa"/>
        <s v="Delta"/>
        <s v="Zamfara"/>
        <s v="Akwa Ibom"/>
        <s v="Nasarawa"/>
        <s v="Taraba"/>
        <s v="Niger"/>
        <s v="Katsina"/>
        <s v="Lagos"/>
      </sharedItems>
    </cacheField>
    <cacheField name="MTN Device" numFmtId="0">
      <sharedItems count="4">
        <s v="4G Router"/>
        <s v="Mobile SIM Card"/>
        <s v="5G Broadband Router"/>
        <s v="Broadband MiFi"/>
      </sharedItems>
    </cacheField>
    <cacheField name="Gender" numFmtId="0">
      <sharedItems count="2">
        <s v="Male"/>
        <s v="Female"/>
      </sharedItems>
    </cacheField>
    <cacheField name="Satisfaction Rate" numFmtId="0">
      <sharedItems containsSemiMixedTypes="0" containsString="0" containsNumber="1" containsInteger="1" minValue="1" maxValue="5" count="5">
        <n v="2"/>
        <n v="1"/>
        <n v="3"/>
        <n v="5"/>
        <n v="4"/>
      </sharedItems>
    </cacheField>
    <cacheField name="Customer Review" numFmtId="0">
      <sharedItems count="5">
        <s v="Fair"/>
        <s v="Poor"/>
        <s v="Good"/>
        <s v="Excellent"/>
        <s v="Very Good"/>
      </sharedItems>
    </cacheField>
    <cacheField name="Customer Tenure Group" numFmtId="0">
      <sharedItems count="8">
        <s v="0-6 months"/>
        <s v="1-2 years"/>
        <s v="2+ years"/>
        <s v="7-12 months"/>
        <s v="New" u="1"/>
        <s v="Established" u="1"/>
        <s v="Loyal" u="1"/>
        <s v="Short-term" u="1"/>
      </sharedItems>
    </cacheField>
    <cacheField name="Customer Tenure in months" numFmtId="0">
      <sharedItems containsSemiMixedTypes="0" containsString="0" containsNumber="1" containsInteger="1" minValue="1" maxValue="60"/>
    </cacheField>
    <cacheField name="Subscription Plan" numFmtId="0">
      <sharedItems count="21">
        <s v="165GB Monthly Plan"/>
        <s v="12.5GB Monthly Plan"/>
        <s v="150GB FUP Monthly Unlimited"/>
        <s v="1GB+1.5mins Daily Plan"/>
        <s v="30GB Monthly Broadband Plan"/>
        <s v="10GB+10mins Monthly Plan"/>
        <s v="25GB Monthly Plan"/>
        <s v="7GB Monthly Plan"/>
        <s v="1.5TB Yearly Broadband Plan"/>
        <s v="65GB Monthly Plan"/>
        <s v="120GB Monthly Broadband Plan"/>
        <s v="300GB FUP Monthly Unlimited"/>
        <s v="60GB Monthly Broadband Plan"/>
        <s v="500MB Daily Plan"/>
        <s v="3.2GB 2-Day Plan"/>
        <s v="20GB Monthly Plan"/>
        <s v="2.5GB 2-Day Plan"/>
        <s v="450GB 3-Month Broadband Plan"/>
        <s v="200GB Monthly Broadband Plan"/>
        <s v="1.5GB 2-Day Plan"/>
        <s v="16.5GB+10mins Monthly Plan"/>
      </sharedItems>
    </cacheField>
    <cacheField name="Unit Price" numFmtId="164">
      <sharedItems containsSemiMixedTypes="0" containsString="0" containsNumber="1" containsInteger="1" minValue="350" maxValue="150000"/>
    </cacheField>
    <cacheField name="Number of Times Purchased" numFmtId="0">
      <sharedItems containsSemiMixedTypes="0" containsString="0" containsNumber="1" containsInteger="1" minValue="1" maxValue="20"/>
    </cacheField>
    <cacheField name="Total Revenue" numFmtId="164">
      <sharedItems containsSemiMixedTypes="0" containsString="0" containsNumber="1" containsInteger="1" minValue="350" maxValue="3000000"/>
    </cacheField>
    <cacheField name="Data Usage" numFmtId="0">
      <sharedItems containsSemiMixedTypes="0" containsString="0" containsNumber="1" minValue="0.82" maxValue="200"/>
    </cacheField>
    <cacheField name="Reasons for Churn" numFmtId="0">
      <sharedItems count="8">
        <s v="Relocation"/>
        <s v="Better Offers from Competitors"/>
        <s v="N/A"/>
        <s v="Poor Network"/>
        <s v="Costly Data Plans"/>
        <s v="Fast Data Consumption"/>
        <s v="Poor Customer Service"/>
        <s v="High Call Tarriffs"/>
      </sharedItems>
    </cacheField>
    <cacheField name="Customer Churn Status" numFmtId="0">
      <sharedItems count="2">
        <s v="Yes"/>
        <s v="No"/>
      </sharedItems>
    </cacheField>
    <cacheField name="Days (Date of Purchase)" numFmtId="0" databaseField="0">
      <fieldGroup base="3">
        <rangePr groupBy="days" startDate="2025-01-25T00:00:00" endDate="2025-03-26T00:00:00"/>
        <groupItems count="368">
          <s v="&lt;1/25/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26/2025"/>
        </groupItems>
      </fieldGroup>
    </cacheField>
    <cacheField name="Months (Date of Purchase)" numFmtId="0" databaseField="0">
      <fieldGroup base="3">
        <rangePr groupBy="months" startDate="2025-01-25T00:00:00" endDate="2025-03-26T00:00:00"/>
        <groupItems count="14">
          <s v="&lt;1/25/2025"/>
          <s v="Jan"/>
          <s v="Feb"/>
          <s v="Mar"/>
          <s v="Apr"/>
          <s v="May"/>
          <s v="Jun"/>
          <s v="Jul"/>
          <s v="Aug"/>
          <s v="Sep"/>
          <s v="Oct"/>
          <s v="Nov"/>
          <s v="Dec"/>
          <s v="&gt;3/26/2025"/>
        </groupItems>
      </fieldGroup>
    </cacheField>
  </cacheFields>
  <extLst>
    <ext xmlns:x14="http://schemas.microsoft.com/office/spreadsheetml/2009/9/main" uri="{725AE2AE-9491-48be-B2B4-4EB974FC3084}">
      <x14:pivotCacheDefinition pivotCacheId="16677007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4">
  <r>
    <s v="CUST0001"/>
    <n v="1"/>
    <s v="Ngozi Berry"/>
    <x v="0"/>
    <n v="27"/>
    <x v="0"/>
    <x v="0"/>
    <x v="0"/>
    <x v="0"/>
    <x v="0"/>
    <x v="0"/>
    <x v="0"/>
    <n v="2"/>
    <x v="0"/>
    <n v="35000"/>
    <n v="19"/>
    <n v="665000"/>
    <n v="44.48"/>
    <x v="0"/>
    <x v="0"/>
  </r>
  <r>
    <s v="CUST0002"/>
    <n v="1"/>
    <s v="Zainab Baker"/>
    <x v="1"/>
    <n v="16"/>
    <x v="1"/>
    <x v="1"/>
    <x v="1"/>
    <x v="1"/>
    <x v="0"/>
    <x v="0"/>
    <x v="1"/>
    <n v="22"/>
    <x v="1"/>
    <n v="5500"/>
    <n v="12"/>
    <n v="66000"/>
    <n v="19.79"/>
    <x v="1"/>
    <x v="0"/>
  </r>
  <r>
    <s v="CUST0003"/>
    <n v="1"/>
    <s v="Saidu Evans"/>
    <x v="1"/>
    <n v="21"/>
    <x v="0"/>
    <x v="2"/>
    <x v="2"/>
    <x v="0"/>
    <x v="1"/>
    <x v="1"/>
    <x v="2"/>
    <n v="60"/>
    <x v="2"/>
    <n v="20000"/>
    <n v="8"/>
    <n v="160000"/>
    <n v="9.64"/>
    <x v="2"/>
    <x v="1"/>
  </r>
  <r>
    <s v="CUST0003"/>
    <n v="0"/>
    <s v="Saidu Evans"/>
    <x v="1"/>
    <n v="21"/>
    <x v="0"/>
    <x v="2"/>
    <x v="1"/>
    <x v="0"/>
    <x v="1"/>
    <x v="1"/>
    <x v="2"/>
    <n v="60"/>
    <x v="3"/>
    <n v="500"/>
    <n v="8"/>
    <n v="4000"/>
    <n v="197.05"/>
    <x v="2"/>
    <x v="1"/>
  </r>
  <r>
    <s v="CUST0003"/>
    <n v="0"/>
    <s v="Saidu Evans"/>
    <x v="1"/>
    <n v="21"/>
    <x v="0"/>
    <x v="2"/>
    <x v="3"/>
    <x v="0"/>
    <x v="1"/>
    <x v="1"/>
    <x v="2"/>
    <n v="60"/>
    <x v="4"/>
    <n v="9000"/>
    <n v="15"/>
    <n v="135000"/>
    <n v="76.34"/>
    <x v="2"/>
    <x v="1"/>
  </r>
  <r>
    <s v="CUST0004"/>
    <n v="1"/>
    <s v="Ejiro Walker"/>
    <x v="1"/>
    <n v="36"/>
    <x v="2"/>
    <x v="3"/>
    <x v="0"/>
    <x v="1"/>
    <x v="1"/>
    <x v="1"/>
    <x v="1"/>
    <n v="14"/>
    <x v="5"/>
    <n v="4500"/>
    <n v="9"/>
    <n v="40500"/>
    <n v="92.72"/>
    <x v="2"/>
    <x v="1"/>
  </r>
  <r>
    <s v="CUST0005"/>
    <n v="1"/>
    <s v="Nura Mann"/>
    <x v="0"/>
    <n v="57"/>
    <x v="3"/>
    <x v="4"/>
    <x v="0"/>
    <x v="0"/>
    <x v="2"/>
    <x v="2"/>
    <x v="2"/>
    <n v="53"/>
    <x v="6"/>
    <n v="9000"/>
    <n v="16"/>
    <n v="144000"/>
    <n v="42.92"/>
    <x v="2"/>
    <x v="1"/>
  </r>
  <r>
    <s v="CUST0006"/>
    <n v="1"/>
    <s v="Tamuno Lewis"/>
    <x v="2"/>
    <n v="74"/>
    <x v="4"/>
    <x v="5"/>
    <x v="1"/>
    <x v="1"/>
    <x v="3"/>
    <x v="3"/>
    <x v="3"/>
    <n v="9"/>
    <x v="7"/>
    <n v="3500"/>
    <n v="5"/>
    <n v="17500"/>
    <n v="44.25"/>
    <x v="2"/>
    <x v="1"/>
  </r>
  <r>
    <s v="CUST0006"/>
    <n v="0"/>
    <s v="Tamuno Lewis"/>
    <x v="2"/>
    <n v="74"/>
    <x v="4"/>
    <x v="5"/>
    <x v="2"/>
    <x v="1"/>
    <x v="3"/>
    <x v="3"/>
    <x v="3"/>
    <n v="9"/>
    <x v="8"/>
    <n v="150000"/>
    <n v="2"/>
    <n v="300000"/>
    <n v="18.64"/>
    <x v="2"/>
    <x v="1"/>
  </r>
  <r>
    <s v="CUST0006"/>
    <n v="0"/>
    <s v="Tamuno Lewis"/>
    <x v="2"/>
    <n v="74"/>
    <x v="4"/>
    <x v="5"/>
    <x v="0"/>
    <x v="1"/>
    <x v="3"/>
    <x v="3"/>
    <x v="3"/>
    <n v="9"/>
    <x v="9"/>
    <n v="16000"/>
    <n v="6"/>
    <n v="96000"/>
    <n v="30.99"/>
    <x v="2"/>
    <x v="1"/>
  </r>
  <r>
    <s v="CUST0007"/>
    <n v="1"/>
    <s v="Boma Stewart"/>
    <x v="1"/>
    <n v="24"/>
    <x v="0"/>
    <x v="6"/>
    <x v="3"/>
    <x v="1"/>
    <x v="3"/>
    <x v="3"/>
    <x v="2"/>
    <n v="39"/>
    <x v="10"/>
    <n v="24000"/>
    <n v="11"/>
    <n v="264000"/>
    <n v="150.30000000000001"/>
    <x v="0"/>
    <x v="0"/>
  </r>
  <r>
    <s v="CUST0008"/>
    <n v="1"/>
    <s v="Ifeanyi Park"/>
    <x v="0"/>
    <n v="53"/>
    <x v="3"/>
    <x v="0"/>
    <x v="3"/>
    <x v="0"/>
    <x v="2"/>
    <x v="2"/>
    <x v="2"/>
    <n v="30"/>
    <x v="11"/>
    <n v="30000"/>
    <n v="17"/>
    <n v="510000"/>
    <n v="168.41"/>
    <x v="2"/>
    <x v="1"/>
  </r>
  <r>
    <s v="CUST0009"/>
    <n v="1"/>
    <s v="Bala Robbins"/>
    <x v="0"/>
    <n v="35"/>
    <x v="2"/>
    <x v="3"/>
    <x v="3"/>
    <x v="0"/>
    <x v="3"/>
    <x v="3"/>
    <x v="2"/>
    <n v="35"/>
    <x v="11"/>
    <n v="30000"/>
    <n v="10"/>
    <n v="300000"/>
    <n v="175.81"/>
    <x v="2"/>
    <x v="1"/>
  </r>
  <r>
    <s v="CUST0010"/>
    <n v="1"/>
    <s v="Halima Ochoa"/>
    <x v="1"/>
    <n v="23"/>
    <x v="0"/>
    <x v="7"/>
    <x v="0"/>
    <x v="0"/>
    <x v="1"/>
    <x v="1"/>
    <x v="0"/>
    <n v="6"/>
    <x v="5"/>
    <n v="4500"/>
    <n v="20"/>
    <n v="90000"/>
    <n v="53.38"/>
    <x v="2"/>
    <x v="1"/>
  </r>
  <r>
    <s v="CUST0010"/>
    <n v="0"/>
    <s v="Halima Ochoa"/>
    <x v="1"/>
    <n v="23"/>
    <x v="0"/>
    <x v="7"/>
    <x v="3"/>
    <x v="0"/>
    <x v="1"/>
    <x v="1"/>
    <x v="0"/>
    <n v="6"/>
    <x v="12"/>
    <n v="14500"/>
    <n v="18"/>
    <n v="261000"/>
    <n v="192.89"/>
    <x v="2"/>
    <x v="1"/>
  </r>
  <r>
    <s v="CUST0010"/>
    <n v="0"/>
    <s v="Halima Ochoa"/>
    <x v="1"/>
    <n v="23"/>
    <x v="0"/>
    <x v="7"/>
    <x v="1"/>
    <x v="0"/>
    <x v="1"/>
    <x v="1"/>
    <x v="0"/>
    <n v="6"/>
    <x v="13"/>
    <n v="350"/>
    <n v="13"/>
    <n v="4550"/>
    <n v="142.72999999999999"/>
    <x v="2"/>
    <x v="1"/>
  </r>
  <r>
    <s v="CUST0011"/>
    <n v="1"/>
    <s v="Ejiro Griffith"/>
    <x v="2"/>
    <n v="72"/>
    <x v="4"/>
    <x v="8"/>
    <x v="0"/>
    <x v="1"/>
    <x v="0"/>
    <x v="0"/>
    <x v="3"/>
    <n v="8"/>
    <x v="9"/>
    <n v="16000"/>
    <n v="2"/>
    <n v="32000"/>
    <n v="14.66"/>
    <x v="3"/>
    <x v="0"/>
  </r>
  <r>
    <s v="CUST0011"/>
    <n v="0"/>
    <s v="Ejiro Griffith"/>
    <x v="2"/>
    <n v="72"/>
    <x v="4"/>
    <x v="8"/>
    <x v="2"/>
    <x v="1"/>
    <x v="0"/>
    <x v="0"/>
    <x v="3"/>
    <n v="8"/>
    <x v="12"/>
    <n v="14500"/>
    <n v="2"/>
    <n v="29000"/>
    <n v="13.95"/>
    <x v="3"/>
    <x v="0"/>
  </r>
  <r>
    <s v="CUST0011"/>
    <n v="0"/>
    <s v="Ejiro Griffith"/>
    <x v="2"/>
    <n v="72"/>
    <x v="4"/>
    <x v="8"/>
    <x v="3"/>
    <x v="1"/>
    <x v="0"/>
    <x v="0"/>
    <x v="3"/>
    <n v="8"/>
    <x v="11"/>
    <n v="30000"/>
    <n v="8"/>
    <n v="240000"/>
    <n v="14.64"/>
    <x v="3"/>
    <x v="0"/>
  </r>
  <r>
    <s v="CUST0012"/>
    <n v="1"/>
    <s v="Zainab Morton"/>
    <x v="1"/>
    <n v="78"/>
    <x v="4"/>
    <x v="9"/>
    <x v="0"/>
    <x v="0"/>
    <x v="0"/>
    <x v="0"/>
    <x v="2"/>
    <n v="47"/>
    <x v="9"/>
    <n v="16000"/>
    <n v="12"/>
    <n v="192000"/>
    <n v="131.97"/>
    <x v="2"/>
    <x v="1"/>
  </r>
  <r>
    <s v="CUST0012"/>
    <n v="0"/>
    <s v="Zainab Morton"/>
    <x v="1"/>
    <n v="78"/>
    <x v="4"/>
    <x v="9"/>
    <x v="3"/>
    <x v="0"/>
    <x v="0"/>
    <x v="0"/>
    <x v="2"/>
    <n v="47"/>
    <x v="12"/>
    <n v="14500"/>
    <n v="2"/>
    <n v="29000"/>
    <n v="82.51"/>
    <x v="2"/>
    <x v="1"/>
  </r>
  <r>
    <s v="CUST0013"/>
    <n v="1"/>
    <s v="Ngozi Moreno"/>
    <x v="0"/>
    <n v="23"/>
    <x v="0"/>
    <x v="10"/>
    <x v="0"/>
    <x v="1"/>
    <x v="0"/>
    <x v="0"/>
    <x v="2"/>
    <n v="52"/>
    <x v="5"/>
    <n v="4500"/>
    <n v="8"/>
    <n v="36000"/>
    <n v="56.07"/>
    <x v="0"/>
    <x v="0"/>
  </r>
  <r>
    <s v="CUST0013"/>
    <n v="0"/>
    <s v="Ngozi Moreno"/>
    <x v="0"/>
    <n v="23"/>
    <x v="0"/>
    <x v="10"/>
    <x v="1"/>
    <x v="1"/>
    <x v="0"/>
    <x v="0"/>
    <x v="2"/>
    <n v="52"/>
    <x v="14"/>
    <n v="1000"/>
    <n v="18"/>
    <n v="18000"/>
    <n v="88.9"/>
    <x v="0"/>
    <x v="0"/>
  </r>
  <r>
    <s v="CUST0014"/>
    <n v="1"/>
    <s v="Ngozi Crawford"/>
    <x v="2"/>
    <n v="22"/>
    <x v="0"/>
    <x v="11"/>
    <x v="0"/>
    <x v="0"/>
    <x v="0"/>
    <x v="0"/>
    <x v="0"/>
    <n v="6"/>
    <x v="9"/>
    <n v="16000"/>
    <n v="1"/>
    <n v="16000"/>
    <n v="33.35"/>
    <x v="2"/>
    <x v="1"/>
  </r>
  <r>
    <s v="CUST0014"/>
    <n v="0"/>
    <s v="Ngozi Crawford"/>
    <x v="2"/>
    <n v="22"/>
    <x v="0"/>
    <x v="11"/>
    <x v="1"/>
    <x v="0"/>
    <x v="0"/>
    <x v="0"/>
    <x v="0"/>
    <n v="6"/>
    <x v="15"/>
    <n v="7500"/>
    <n v="15"/>
    <n v="112500"/>
    <n v="53.41"/>
    <x v="2"/>
    <x v="1"/>
  </r>
  <r>
    <s v="CUST0015"/>
    <n v="1"/>
    <s v="Abubakar Garner"/>
    <x v="1"/>
    <n v="70"/>
    <x v="4"/>
    <x v="12"/>
    <x v="3"/>
    <x v="0"/>
    <x v="0"/>
    <x v="0"/>
    <x v="1"/>
    <n v="13"/>
    <x v="4"/>
    <n v="9000"/>
    <n v="16"/>
    <n v="144000"/>
    <n v="10.5"/>
    <x v="2"/>
    <x v="1"/>
  </r>
  <r>
    <s v="CUST0015"/>
    <n v="0"/>
    <s v="Abubakar Garner"/>
    <x v="1"/>
    <n v="70"/>
    <x v="4"/>
    <x v="12"/>
    <x v="2"/>
    <x v="0"/>
    <x v="0"/>
    <x v="0"/>
    <x v="1"/>
    <n v="13"/>
    <x v="11"/>
    <n v="30000"/>
    <n v="17"/>
    <n v="510000"/>
    <n v="11.85"/>
    <x v="2"/>
    <x v="1"/>
  </r>
  <r>
    <s v="CUST0015"/>
    <n v="0"/>
    <s v="Abubakar Garner"/>
    <x v="1"/>
    <n v="70"/>
    <x v="4"/>
    <x v="12"/>
    <x v="0"/>
    <x v="0"/>
    <x v="0"/>
    <x v="0"/>
    <x v="1"/>
    <n v="13"/>
    <x v="9"/>
    <n v="16000"/>
    <n v="3"/>
    <n v="48000"/>
    <n v="170.34"/>
    <x v="2"/>
    <x v="1"/>
  </r>
  <r>
    <s v="CUST0016"/>
    <n v="1"/>
    <s v="Kunle Ford"/>
    <x v="2"/>
    <n v="46"/>
    <x v="3"/>
    <x v="10"/>
    <x v="3"/>
    <x v="0"/>
    <x v="3"/>
    <x v="3"/>
    <x v="2"/>
    <n v="57"/>
    <x v="11"/>
    <n v="30000"/>
    <n v="11"/>
    <n v="330000"/>
    <n v="41.25"/>
    <x v="2"/>
    <x v="1"/>
  </r>
  <r>
    <s v="CUST0016"/>
    <n v="0"/>
    <s v="Kunle Ford"/>
    <x v="2"/>
    <n v="46"/>
    <x v="3"/>
    <x v="10"/>
    <x v="0"/>
    <x v="0"/>
    <x v="3"/>
    <x v="3"/>
    <x v="2"/>
    <n v="57"/>
    <x v="5"/>
    <n v="4500"/>
    <n v="5"/>
    <n v="22500"/>
    <n v="53.49"/>
    <x v="2"/>
    <x v="1"/>
  </r>
  <r>
    <s v="CUST0016"/>
    <n v="0"/>
    <s v="Kunle Ford"/>
    <x v="2"/>
    <n v="46"/>
    <x v="3"/>
    <x v="10"/>
    <x v="2"/>
    <x v="0"/>
    <x v="3"/>
    <x v="3"/>
    <x v="2"/>
    <n v="57"/>
    <x v="10"/>
    <n v="24000"/>
    <n v="3"/>
    <n v="72000"/>
    <n v="91.72"/>
    <x v="2"/>
    <x v="1"/>
  </r>
  <r>
    <s v="CUST0017"/>
    <n v="1"/>
    <s v="Tunde Hayes"/>
    <x v="2"/>
    <n v="74"/>
    <x v="4"/>
    <x v="13"/>
    <x v="0"/>
    <x v="0"/>
    <x v="3"/>
    <x v="3"/>
    <x v="2"/>
    <n v="35"/>
    <x v="6"/>
    <n v="9000"/>
    <n v="15"/>
    <n v="135000"/>
    <n v="57.35"/>
    <x v="4"/>
    <x v="0"/>
  </r>
  <r>
    <s v="CUST0018"/>
    <n v="1"/>
    <s v="David Fletcher"/>
    <x v="1"/>
    <n v="54"/>
    <x v="3"/>
    <x v="8"/>
    <x v="2"/>
    <x v="0"/>
    <x v="1"/>
    <x v="1"/>
    <x v="2"/>
    <n v="43"/>
    <x v="2"/>
    <n v="20000"/>
    <n v="18"/>
    <n v="360000"/>
    <n v="178"/>
    <x v="2"/>
    <x v="1"/>
  </r>
  <r>
    <s v="CUST0019"/>
    <n v="1"/>
    <s v="Obinna Wright"/>
    <x v="1"/>
    <n v="50"/>
    <x v="3"/>
    <x v="14"/>
    <x v="1"/>
    <x v="0"/>
    <x v="0"/>
    <x v="0"/>
    <x v="2"/>
    <n v="46"/>
    <x v="16"/>
    <n v="900"/>
    <n v="14"/>
    <n v="12600"/>
    <n v="18.91"/>
    <x v="2"/>
    <x v="1"/>
  </r>
  <r>
    <s v="CUST0019"/>
    <n v="0"/>
    <s v="Obinna Wright"/>
    <x v="1"/>
    <n v="50"/>
    <x v="3"/>
    <x v="14"/>
    <x v="0"/>
    <x v="0"/>
    <x v="0"/>
    <x v="0"/>
    <x v="2"/>
    <n v="46"/>
    <x v="6"/>
    <n v="9000"/>
    <n v="11"/>
    <n v="99000"/>
    <n v="9.3000000000000007"/>
    <x v="2"/>
    <x v="1"/>
  </r>
  <r>
    <s v="CUST0020"/>
    <n v="1"/>
    <s v="Amaka Reed"/>
    <x v="1"/>
    <n v="49"/>
    <x v="3"/>
    <x v="1"/>
    <x v="0"/>
    <x v="1"/>
    <x v="3"/>
    <x v="3"/>
    <x v="2"/>
    <n v="36"/>
    <x v="6"/>
    <n v="9000"/>
    <n v="5"/>
    <n v="45000"/>
    <n v="116.71"/>
    <x v="3"/>
    <x v="0"/>
  </r>
  <r>
    <s v="CUST0020"/>
    <n v="0"/>
    <s v="Amaka Reed"/>
    <x v="1"/>
    <n v="49"/>
    <x v="3"/>
    <x v="1"/>
    <x v="2"/>
    <x v="1"/>
    <x v="3"/>
    <x v="3"/>
    <x v="2"/>
    <n v="36"/>
    <x v="17"/>
    <n v="75000"/>
    <n v="10"/>
    <n v="750000"/>
    <n v="25.93"/>
    <x v="3"/>
    <x v="0"/>
  </r>
  <r>
    <s v="CUST0020"/>
    <n v="0"/>
    <s v="Amaka Reed"/>
    <x v="1"/>
    <n v="49"/>
    <x v="3"/>
    <x v="1"/>
    <x v="3"/>
    <x v="1"/>
    <x v="3"/>
    <x v="3"/>
    <x v="2"/>
    <n v="36"/>
    <x v="11"/>
    <n v="30000"/>
    <n v="2"/>
    <n v="60000"/>
    <n v="179.85"/>
    <x v="3"/>
    <x v="0"/>
  </r>
  <r>
    <s v="CUST0021"/>
    <n v="1"/>
    <s v="Oghene Brown"/>
    <x v="1"/>
    <n v="42"/>
    <x v="2"/>
    <x v="7"/>
    <x v="1"/>
    <x v="0"/>
    <x v="3"/>
    <x v="3"/>
    <x v="1"/>
    <n v="23"/>
    <x v="5"/>
    <n v="4500"/>
    <n v="1"/>
    <n v="4500"/>
    <n v="176.34"/>
    <x v="2"/>
    <x v="1"/>
  </r>
  <r>
    <s v="CUST0022"/>
    <n v="1"/>
    <s v="Shehu Ferguson"/>
    <x v="2"/>
    <n v="58"/>
    <x v="3"/>
    <x v="15"/>
    <x v="1"/>
    <x v="0"/>
    <x v="1"/>
    <x v="1"/>
    <x v="1"/>
    <n v="18"/>
    <x v="13"/>
    <n v="350"/>
    <n v="15"/>
    <n v="5250"/>
    <n v="40.31"/>
    <x v="2"/>
    <x v="1"/>
  </r>
  <r>
    <s v="CUST0023"/>
    <n v="1"/>
    <s v="Oghene Vazquez"/>
    <x v="2"/>
    <n v="55"/>
    <x v="3"/>
    <x v="16"/>
    <x v="2"/>
    <x v="0"/>
    <x v="4"/>
    <x v="4"/>
    <x v="0"/>
    <n v="2"/>
    <x v="18"/>
    <n v="25000"/>
    <n v="13"/>
    <n v="325000"/>
    <n v="128.47999999999999"/>
    <x v="2"/>
    <x v="1"/>
  </r>
  <r>
    <s v="CUST0024"/>
    <n v="1"/>
    <s v="David Johnson"/>
    <x v="1"/>
    <n v="58"/>
    <x v="3"/>
    <x v="17"/>
    <x v="3"/>
    <x v="0"/>
    <x v="0"/>
    <x v="0"/>
    <x v="2"/>
    <n v="57"/>
    <x v="10"/>
    <n v="24000"/>
    <n v="11"/>
    <n v="264000"/>
    <n v="87.2"/>
    <x v="2"/>
    <x v="1"/>
  </r>
  <r>
    <s v="CUST0024"/>
    <n v="0"/>
    <s v="David Johnson"/>
    <x v="1"/>
    <n v="58"/>
    <x v="3"/>
    <x v="17"/>
    <x v="1"/>
    <x v="0"/>
    <x v="0"/>
    <x v="0"/>
    <x v="2"/>
    <n v="57"/>
    <x v="15"/>
    <n v="7500"/>
    <n v="17"/>
    <n v="127500"/>
    <n v="121.44"/>
    <x v="2"/>
    <x v="1"/>
  </r>
  <r>
    <s v="CUST0025"/>
    <n v="1"/>
    <s v="Ifeanyi Brown"/>
    <x v="1"/>
    <n v="65"/>
    <x v="4"/>
    <x v="18"/>
    <x v="0"/>
    <x v="1"/>
    <x v="1"/>
    <x v="1"/>
    <x v="0"/>
    <n v="3"/>
    <x v="9"/>
    <n v="16000"/>
    <n v="11"/>
    <n v="176000"/>
    <n v="189.8"/>
    <x v="2"/>
    <x v="1"/>
  </r>
  <r>
    <s v="CUST0025"/>
    <n v="0"/>
    <s v="Ifeanyi Brown"/>
    <x v="1"/>
    <n v="65"/>
    <x v="4"/>
    <x v="18"/>
    <x v="1"/>
    <x v="1"/>
    <x v="1"/>
    <x v="1"/>
    <x v="0"/>
    <n v="3"/>
    <x v="7"/>
    <n v="3500"/>
    <n v="4"/>
    <n v="14000"/>
    <n v="132.85"/>
    <x v="2"/>
    <x v="1"/>
  </r>
  <r>
    <s v="CUST0025"/>
    <n v="0"/>
    <s v="Ifeanyi Brown"/>
    <x v="1"/>
    <n v="65"/>
    <x v="4"/>
    <x v="18"/>
    <x v="2"/>
    <x v="1"/>
    <x v="1"/>
    <x v="1"/>
    <x v="0"/>
    <n v="3"/>
    <x v="10"/>
    <n v="24000"/>
    <n v="14"/>
    <n v="336000"/>
    <n v="101.67"/>
    <x v="2"/>
    <x v="1"/>
  </r>
  <r>
    <s v="CUST0026"/>
    <n v="1"/>
    <s v="Ese Simmons"/>
    <x v="1"/>
    <n v="67"/>
    <x v="4"/>
    <x v="14"/>
    <x v="2"/>
    <x v="0"/>
    <x v="4"/>
    <x v="4"/>
    <x v="1"/>
    <n v="13"/>
    <x v="17"/>
    <n v="75000"/>
    <n v="1"/>
    <n v="75000"/>
    <n v="109.81"/>
    <x v="2"/>
    <x v="1"/>
  </r>
  <r>
    <s v="CUST0027"/>
    <n v="1"/>
    <s v="Maryam Reyes"/>
    <x v="1"/>
    <n v="52"/>
    <x v="3"/>
    <x v="9"/>
    <x v="0"/>
    <x v="1"/>
    <x v="4"/>
    <x v="4"/>
    <x v="2"/>
    <n v="51"/>
    <x v="5"/>
    <n v="4500"/>
    <n v="10"/>
    <n v="45000"/>
    <n v="131.94"/>
    <x v="2"/>
    <x v="1"/>
  </r>
  <r>
    <s v="CUST0027"/>
    <n v="0"/>
    <s v="Maryam Reyes"/>
    <x v="1"/>
    <n v="52"/>
    <x v="3"/>
    <x v="9"/>
    <x v="2"/>
    <x v="1"/>
    <x v="4"/>
    <x v="4"/>
    <x v="2"/>
    <n v="51"/>
    <x v="18"/>
    <n v="25000"/>
    <n v="8"/>
    <n v="200000"/>
    <n v="19.13"/>
    <x v="2"/>
    <x v="1"/>
  </r>
  <r>
    <s v="CUST0027"/>
    <n v="0"/>
    <s v="Maryam Reyes"/>
    <x v="1"/>
    <n v="52"/>
    <x v="3"/>
    <x v="9"/>
    <x v="1"/>
    <x v="1"/>
    <x v="4"/>
    <x v="4"/>
    <x v="2"/>
    <n v="51"/>
    <x v="3"/>
    <n v="500"/>
    <n v="7"/>
    <n v="3500"/>
    <n v="45.32"/>
    <x v="2"/>
    <x v="1"/>
  </r>
  <r>
    <s v="CUST0028"/>
    <n v="1"/>
    <s v="Obinna Sanchez"/>
    <x v="0"/>
    <n v="19"/>
    <x v="0"/>
    <x v="19"/>
    <x v="1"/>
    <x v="0"/>
    <x v="4"/>
    <x v="4"/>
    <x v="2"/>
    <n v="31"/>
    <x v="5"/>
    <n v="4500"/>
    <n v="5"/>
    <n v="22500"/>
    <n v="80.23"/>
    <x v="2"/>
    <x v="1"/>
  </r>
  <r>
    <s v="CUST0028"/>
    <n v="0"/>
    <s v="Obinna Sanchez"/>
    <x v="0"/>
    <n v="19"/>
    <x v="0"/>
    <x v="19"/>
    <x v="1"/>
    <x v="0"/>
    <x v="4"/>
    <x v="4"/>
    <x v="2"/>
    <n v="31"/>
    <x v="16"/>
    <n v="900"/>
    <n v="4"/>
    <n v="3600"/>
    <n v="178.59"/>
    <x v="2"/>
    <x v="1"/>
  </r>
  <r>
    <s v="CUST0029"/>
    <n v="1"/>
    <s v="Boma Franco"/>
    <x v="2"/>
    <n v="44"/>
    <x v="2"/>
    <x v="20"/>
    <x v="2"/>
    <x v="1"/>
    <x v="1"/>
    <x v="1"/>
    <x v="0"/>
    <n v="4"/>
    <x v="17"/>
    <n v="75000"/>
    <n v="18"/>
    <n v="1350000"/>
    <n v="166.2"/>
    <x v="2"/>
    <x v="1"/>
  </r>
  <r>
    <s v="CUST0029"/>
    <n v="0"/>
    <s v="Boma Franco"/>
    <x v="2"/>
    <n v="44"/>
    <x v="2"/>
    <x v="20"/>
    <x v="0"/>
    <x v="1"/>
    <x v="1"/>
    <x v="1"/>
    <x v="0"/>
    <n v="4"/>
    <x v="0"/>
    <n v="35000"/>
    <n v="16"/>
    <n v="560000"/>
    <n v="179.49"/>
    <x v="2"/>
    <x v="1"/>
  </r>
  <r>
    <s v="CUST0030"/>
    <n v="1"/>
    <s v="Alabo Davis"/>
    <x v="1"/>
    <n v="49"/>
    <x v="3"/>
    <x v="7"/>
    <x v="2"/>
    <x v="1"/>
    <x v="0"/>
    <x v="0"/>
    <x v="2"/>
    <n v="50"/>
    <x v="18"/>
    <n v="25000"/>
    <n v="18"/>
    <n v="450000"/>
    <n v="64.28"/>
    <x v="3"/>
    <x v="0"/>
  </r>
  <r>
    <s v="CUST0030"/>
    <n v="0"/>
    <s v="Alabo Davis"/>
    <x v="1"/>
    <n v="49"/>
    <x v="3"/>
    <x v="7"/>
    <x v="3"/>
    <x v="1"/>
    <x v="0"/>
    <x v="0"/>
    <x v="2"/>
    <n v="50"/>
    <x v="4"/>
    <n v="9000"/>
    <n v="8"/>
    <n v="72000"/>
    <n v="28.11"/>
    <x v="3"/>
    <x v="0"/>
  </r>
  <r>
    <s v="CUST0030"/>
    <n v="0"/>
    <s v="Alabo Davis"/>
    <x v="1"/>
    <n v="49"/>
    <x v="3"/>
    <x v="7"/>
    <x v="0"/>
    <x v="1"/>
    <x v="0"/>
    <x v="0"/>
    <x v="2"/>
    <n v="50"/>
    <x v="0"/>
    <n v="35000"/>
    <n v="7"/>
    <n v="245000"/>
    <n v="138.94"/>
    <x v="3"/>
    <x v="0"/>
  </r>
  <r>
    <s v="CUST0031"/>
    <n v="1"/>
    <s v="Kunle West"/>
    <x v="1"/>
    <n v="69"/>
    <x v="4"/>
    <x v="15"/>
    <x v="1"/>
    <x v="1"/>
    <x v="4"/>
    <x v="4"/>
    <x v="2"/>
    <n v="35"/>
    <x v="16"/>
    <n v="900"/>
    <n v="19"/>
    <n v="17100"/>
    <n v="171.42"/>
    <x v="1"/>
    <x v="0"/>
  </r>
  <r>
    <s v="CUST0031"/>
    <n v="0"/>
    <s v="Kunle West"/>
    <x v="2"/>
    <n v="69"/>
    <x v="4"/>
    <x v="15"/>
    <x v="2"/>
    <x v="1"/>
    <x v="4"/>
    <x v="4"/>
    <x v="2"/>
    <n v="35"/>
    <x v="17"/>
    <n v="75000"/>
    <n v="12"/>
    <n v="900000"/>
    <n v="95.66"/>
    <x v="1"/>
    <x v="0"/>
  </r>
  <r>
    <s v="CUST0032"/>
    <n v="1"/>
    <s v="Maryam Terry"/>
    <x v="2"/>
    <n v="65"/>
    <x v="4"/>
    <x v="15"/>
    <x v="1"/>
    <x v="0"/>
    <x v="2"/>
    <x v="2"/>
    <x v="2"/>
    <n v="32"/>
    <x v="7"/>
    <n v="3500"/>
    <n v="13"/>
    <n v="45500"/>
    <n v="133.94"/>
    <x v="2"/>
    <x v="1"/>
  </r>
  <r>
    <s v="CUST0033"/>
    <n v="1"/>
    <s v="Amina Mosley"/>
    <x v="2"/>
    <n v="75"/>
    <x v="4"/>
    <x v="21"/>
    <x v="3"/>
    <x v="0"/>
    <x v="3"/>
    <x v="3"/>
    <x v="2"/>
    <n v="59"/>
    <x v="12"/>
    <n v="14500"/>
    <n v="15"/>
    <n v="217500"/>
    <n v="27.57"/>
    <x v="2"/>
    <x v="1"/>
  </r>
  <r>
    <s v="CUST0034"/>
    <n v="1"/>
    <s v="Shehu Anderson"/>
    <x v="2"/>
    <n v="22"/>
    <x v="0"/>
    <x v="22"/>
    <x v="2"/>
    <x v="1"/>
    <x v="4"/>
    <x v="4"/>
    <x v="1"/>
    <n v="21"/>
    <x v="10"/>
    <n v="24000"/>
    <n v="16"/>
    <n v="384000"/>
    <n v="167.06"/>
    <x v="2"/>
    <x v="1"/>
  </r>
  <r>
    <s v="CUST0034"/>
    <n v="0"/>
    <s v="Shehu Anderson"/>
    <x v="2"/>
    <n v="22"/>
    <x v="0"/>
    <x v="22"/>
    <x v="1"/>
    <x v="1"/>
    <x v="4"/>
    <x v="4"/>
    <x v="1"/>
    <n v="21"/>
    <x v="9"/>
    <n v="16000"/>
    <n v="2"/>
    <n v="32000"/>
    <n v="149.93"/>
    <x v="2"/>
    <x v="1"/>
  </r>
  <r>
    <s v="CUST0035"/>
    <n v="1"/>
    <s v="Oghene Mcguire"/>
    <x v="0"/>
    <n v="44"/>
    <x v="2"/>
    <x v="23"/>
    <x v="0"/>
    <x v="0"/>
    <x v="0"/>
    <x v="0"/>
    <x v="2"/>
    <n v="49"/>
    <x v="0"/>
    <n v="35000"/>
    <n v="19"/>
    <n v="665000"/>
    <n v="134.06"/>
    <x v="3"/>
    <x v="0"/>
  </r>
  <r>
    <s v="CUST0035"/>
    <n v="0"/>
    <s v="Oghene Mcguire"/>
    <x v="0"/>
    <n v="44"/>
    <x v="2"/>
    <x v="23"/>
    <x v="3"/>
    <x v="0"/>
    <x v="0"/>
    <x v="0"/>
    <x v="2"/>
    <n v="49"/>
    <x v="2"/>
    <n v="20000"/>
    <n v="9"/>
    <n v="180000"/>
    <n v="93.27"/>
    <x v="3"/>
    <x v="0"/>
  </r>
  <r>
    <s v="CUST0035"/>
    <n v="0"/>
    <s v="Oghene Mcguire"/>
    <x v="0"/>
    <n v="44"/>
    <x v="2"/>
    <x v="23"/>
    <x v="2"/>
    <x v="0"/>
    <x v="0"/>
    <x v="0"/>
    <x v="2"/>
    <n v="49"/>
    <x v="18"/>
    <n v="25000"/>
    <n v="20"/>
    <n v="500000"/>
    <n v="33.97"/>
    <x v="3"/>
    <x v="0"/>
  </r>
  <r>
    <s v="CUST0036"/>
    <n v="1"/>
    <s v="Ifeanyi Randall"/>
    <x v="0"/>
    <n v="36"/>
    <x v="2"/>
    <x v="24"/>
    <x v="1"/>
    <x v="0"/>
    <x v="2"/>
    <x v="2"/>
    <x v="2"/>
    <n v="38"/>
    <x v="13"/>
    <n v="350"/>
    <n v="8"/>
    <n v="2800"/>
    <n v="15.66"/>
    <x v="2"/>
    <x v="1"/>
  </r>
  <r>
    <s v="CUST0036"/>
    <n v="0"/>
    <s v="Ifeanyi Randall"/>
    <x v="0"/>
    <n v="36"/>
    <x v="2"/>
    <x v="24"/>
    <x v="2"/>
    <x v="0"/>
    <x v="2"/>
    <x v="2"/>
    <x v="2"/>
    <n v="38"/>
    <x v="2"/>
    <n v="20000"/>
    <n v="10"/>
    <n v="200000"/>
    <n v="139.59"/>
    <x v="2"/>
    <x v="1"/>
  </r>
  <r>
    <s v="CUST0037"/>
    <n v="1"/>
    <s v="Ifeanyi Ruiz"/>
    <x v="1"/>
    <n v="21"/>
    <x v="0"/>
    <x v="25"/>
    <x v="3"/>
    <x v="1"/>
    <x v="1"/>
    <x v="1"/>
    <x v="2"/>
    <n v="43"/>
    <x v="12"/>
    <n v="14500"/>
    <n v="12"/>
    <n v="174000"/>
    <n v="21.56"/>
    <x v="2"/>
    <x v="1"/>
  </r>
  <r>
    <s v="CUST0037"/>
    <n v="0"/>
    <s v="Ifeanyi Ruiz"/>
    <x v="1"/>
    <n v="21"/>
    <x v="0"/>
    <x v="25"/>
    <x v="0"/>
    <x v="1"/>
    <x v="1"/>
    <x v="1"/>
    <x v="2"/>
    <n v="43"/>
    <x v="0"/>
    <n v="35000"/>
    <n v="14"/>
    <n v="490000"/>
    <n v="141.61000000000001"/>
    <x v="2"/>
    <x v="1"/>
  </r>
  <r>
    <s v="CUST0038"/>
    <n v="1"/>
    <s v="Shehu Randall"/>
    <x v="2"/>
    <n v="50"/>
    <x v="3"/>
    <x v="11"/>
    <x v="3"/>
    <x v="1"/>
    <x v="3"/>
    <x v="3"/>
    <x v="2"/>
    <n v="30"/>
    <x v="11"/>
    <n v="30000"/>
    <n v="8"/>
    <n v="240000"/>
    <n v="176.39"/>
    <x v="1"/>
    <x v="0"/>
  </r>
  <r>
    <s v="CUST0039"/>
    <n v="1"/>
    <s v="Zina Green"/>
    <x v="1"/>
    <n v="64"/>
    <x v="4"/>
    <x v="26"/>
    <x v="2"/>
    <x v="0"/>
    <x v="0"/>
    <x v="0"/>
    <x v="2"/>
    <n v="32"/>
    <x v="10"/>
    <n v="24000"/>
    <n v="9"/>
    <n v="216000"/>
    <n v="176.12"/>
    <x v="2"/>
    <x v="1"/>
  </r>
  <r>
    <s v="CUST0039"/>
    <n v="0"/>
    <s v="Zina Green"/>
    <x v="1"/>
    <n v="64"/>
    <x v="4"/>
    <x v="26"/>
    <x v="1"/>
    <x v="0"/>
    <x v="0"/>
    <x v="0"/>
    <x v="2"/>
    <n v="32"/>
    <x v="9"/>
    <n v="16000"/>
    <n v="7"/>
    <n v="112000"/>
    <n v="103.57"/>
    <x v="2"/>
    <x v="1"/>
  </r>
  <r>
    <s v="CUST0040"/>
    <n v="1"/>
    <s v="Chinedu Ruiz"/>
    <x v="2"/>
    <n v="46"/>
    <x v="3"/>
    <x v="15"/>
    <x v="1"/>
    <x v="1"/>
    <x v="4"/>
    <x v="4"/>
    <x v="2"/>
    <n v="36"/>
    <x v="14"/>
    <n v="1000"/>
    <n v="13"/>
    <n v="13000"/>
    <n v="59.2"/>
    <x v="2"/>
    <x v="1"/>
  </r>
  <r>
    <s v="CUST0040"/>
    <n v="0"/>
    <s v="Chinedu Ruiz"/>
    <x v="2"/>
    <n v="46"/>
    <x v="3"/>
    <x v="15"/>
    <x v="3"/>
    <x v="1"/>
    <x v="4"/>
    <x v="4"/>
    <x v="2"/>
    <n v="36"/>
    <x v="2"/>
    <n v="20000"/>
    <n v="19"/>
    <n v="380000"/>
    <n v="61.59"/>
    <x v="2"/>
    <x v="1"/>
  </r>
  <r>
    <s v="CUST0041"/>
    <n v="1"/>
    <s v="Ejiro Mason"/>
    <x v="1"/>
    <n v="76"/>
    <x v="4"/>
    <x v="8"/>
    <x v="2"/>
    <x v="1"/>
    <x v="2"/>
    <x v="2"/>
    <x v="2"/>
    <n v="28"/>
    <x v="12"/>
    <n v="14500"/>
    <n v="7"/>
    <n v="101500"/>
    <n v="24.57"/>
    <x v="2"/>
    <x v="1"/>
  </r>
  <r>
    <s v="CUST0041"/>
    <n v="0"/>
    <s v="Ejiro Mason"/>
    <x v="1"/>
    <n v="76"/>
    <x v="4"/>
    <x v="8"/>
    <x v="1"/>
    <x v="1"/>
    <x v="2"/>
    <x v="2"/>
    <x v="2"/>
    <n v="28"/>
    <x v="6"/>
    <n v="9000"/>
    <n v="18"/>
    <n v="162000"/>
    <n v="24.35"/>
    <x v="2"/>
    <x v="1"/>
  </r>
  <r>
    <s v="CUST0042"/>
    <n v="1"/>
    <s v="Shehu Hoffman"/>
    <x v="1"/>
    <n v="40"/>
    <x v="2"/>
    <x v="9"/>
    <x v="0"/>
    <x v="1"/>
    <x v="1"/>
    <x v="1"/>
    <x v="1"/>
    <n v="18"/>
    <x v="5"/>
    <n v="4500"/>
    <n v="18"/>
    <n v="81000"/>
    <n v="60.8"/>
    <x v="2"/>
    <x v="1"/>
  </r>
  <r>
    <s v="CUST0042"/>
    <n v="0"/>
    <s v="Shehu Hoffman"/>
    <x v="1"/>
    <n v="40"/>
    <x v="2"/>
    <x v="9"/>
    <x v="1"/>
    <x v="1"/>
    <x v="1"/>
    <x v="1"/>
    <x v="1"/>
    <n v="18"/>
    <x v="19"/>
    <n v="600"/>
    <n v="2"/>
    <n v="1200"/>
    <n v="55.23"/>
    <x v="2"/>
    <x v="1"/>
  </r>
  <r>
    <s v="CUST0043"/>
    <n v="1"/>
    <s v="Abubakar Johnson"/>
    <x v="0"/>
    <n v="32"/>
    <x v="2"/>
    <x v="12"/>
    <x v="2"/>
    <x v="0"/>
    <x v="3"/>
    <x v="3"/>
    <x v="2"/>
    <n v="56"/>
    <x v="4"/>
    <n v="9000"/>
    <n v="16"/>
    <n v="144000"/>
    <n v="50.87"/>
    <x v="5"/>
    <x v="0"/>
  </r>
  <r>
    <s v="CUST0043"/>
    <n v="0"/>
    <s v="Abubakar Johnson"/>
    <x v="0"/>
    <n v="32"/>
    <x v="2"/>
    <x v="12"/>
    <x v="3"/>
    <x v="0"/>
    <x v="3"/>
    <x v="3"/>
    <x v="2"/>
    <n v="56"/>
    <x v="4"/>
    <n v="9000"/>
    <n v="13"/>
    <n v="117000"/>
    <n v="164.51"/>
    <x v="5"/>
    <x v="0"/>
  </r>
  <r>
    <s v="CUST0044"/>
    <n v="1"/>
    <s v="Grace Walker"/>
    <x v="1"/>
    <n v="25"/>
    <x v="0"/>
    <x v="4"/>
    <x v="1"/>
    <x v="0"/>
    <x v="1"/>
    <x v="1"/>
    <x v="3"/>
    <n v="10"/>
    <x v="13"/>
    <n v="350"/>
    <n v="13"/>
    <n v="4550"/>
    <n v="155.25"/>
    <x v="2"/>
    <x v="1"/>
  </r>
  <r>
    <s v="CUST0045"/>
    <n v="1"/>
    <s v="Alabo Thompson"/>
    <x v="0"/>
    <n v="72"/>
    <x v="4"/>
    <x v="24"/>
    <x v="0"/>
    <x v="1"/>
    <x v="3"/>
    <x v="3"/>
    <x v="1"/>
    <n v="20"/>
    <x v="5"/>
    <n v="4500"/>
    <n v="3"/>
    <n v="13500"/>
    <n v="53.3"/>
    <x v="2"/>
    <x v="1"/>
  </r>
  <r>
    <s v="CUST0046"/>
    <n v="1"/>
    <s v="Amina Wright"/>
    <x v="0"/>
    <n v="46"/>
    <x v="3"/>
    <x v="20"/>
    <x v="1"/>
    <x v="0"/>
    <x v="4"/>
    <x v="4"/>
    <x v="3"/>
    <n v="11"/>
    <x v="13"/>
    <n v="350"/>
    <n v="10"/>
    <n v="3500"/>
    <n v="57.98"/>
    <x v="2"/>
    <x v="1"/>
  </r>
  <r>
    <s v="CUST0046"/>
    <n v="0"/>
    <s v="Amina Wright"/>
    <x v="0"/>
    <n v="46"/>
    <x v="3"/>
    <x v="20"/>
    <x v="0"/>
    <x v="0"/>
    <x v="4"/>
    <x v="4"/>
    <x v="3"/>
    <n v="11"/>
    <x v="0"/>
    <n v="35000"/>
    <n v="8"/>
    <n v="280000"/>
    <n v="14.7"/>
    <x v="2"/>
    <x v="1"/>
  </r>
  <r>
    <s v="CUST0046"/>
    <n v="0"/>
    <s v="Amina Wright"/>
    <x v="0"/>
    <n v="46"/>
    <x v="3"/>
    <x v="20"/>
    <x v="3"/>
    <x v="0"/>
    <x v="4"/>
    <x v="4"/>
    <x v="3"/>
    <n v="11"/>
    <x v="11"/>
    <n v="30000"/>
    <n v="19"/>
    <n v="570000"/>
    <n v="157.66999999999999"/>
    <x v="2"/>
    <x v="1"/>
  </r>
  <r>
    <s v="CUST0047"/>
    <n v="1"/>
    <s v="Bala Christian"/>
    <x v="2"/>
    <n v="70"/>
    <x v="4"/>
    <x v="27"/>
    <x v="3"/>
    <x v="0"/>
    <x v="2"/>
    <x v="2"/>
    <x v="2"/>
    <n v="42"/>
    <x v="2"/>
    <n v="20000"/>
    <n v="20"/>
    <n v="400000"/>
    <n v="158.63"/>
    <x v="2"/>
    <x v="1"/>
  </r>
  <r>
    <s v="CUST0048"/>
    <n v="1"/>
    <s v="Abubakar Gentry"/>
    <x v="1"/>
    <n v="72"/>
    <x v="4"/>
    <x v="27"/>
    <x v="1"/>
    <x v="1"/>
    <x v="4"/>
    <x v="4"/>
    <x v="2"/>
    <n v="45"/>
    <x v="16"/>
    <n v="900"/>
    <n v="11"/>
    <n v="9900"/>
    <n v="177.94"/>
    <x v="2"/>
    <x v="1"/>
  </r>
  <r>
    <s v="CUST0048"/>
    <n v="0"/>
    <s v="Abubakar Gentry"/>
    <x v="1"/>
    <n v="72"/>
    <x v="4"/>
    <x v="27"/>
    <x v="0"/>
    <x v="1"/>
    <x v="4"/>
    <x v="4"/>
    <x v="2"/>
    <n v="45"/>
    <x v="6"/>
    <n v="9000"/>
    <n v="8"/>
    <n v="72000"/>
    <n v="5.66"/>
    <x v="2"/>
    <x v="1"/>
  </r>
  <r>
    <s v="CUST0048"/>
    <n v="0"/>
    <s v="Abubakar Gentry"/>
    <x v="1"/>
    <n v="72"/>
    <x v="4"/>
    <x v="27"/>
    <x v="3"/>
    <x v="1"/>
    <x v="4"/>
    <x v="4"/>
    <x v="2"/>
    <n v="45"/>
    <x v="10"/>
    <n v="24000"/>
    <n v="1"/>
    <n v="24000"/>
    <n v="117.63"/>
    <x v="2"/>
    <x v="1"/>
  </r>
  <r>
    <s v="CUST0049"/>
    <n v="1"/>
    <s v="Zainab Taylor"/>
    <x v="2"/>
    <n v="21"/>
    <x v="0"/>
    <x v="20"/>
    <x v="1"/>
    <x v="1"/>
    <x v="2"/>
    <x v="2"/>
    <x v="2"/>
    <n v="34"/>
    <x v="1"/>
    <n v="5500"/>
    <n v="11"/>
    <n v="60500"/>
    <n v="69.92"/>
    <x v="0"/>
    <x v="0"/>
  </r>
  <r>
    <s v="CUST0049"/>
    <n v="0"/>
    <s v="Zainab Taylor"/>
    <x v="2"/>
    <n v="21"/>
    <x v="0"/>
    <x v="20"/>
    <x v="3"/>
    <x v="1"/>
    <x v="2"/>
    <x v="2"/>
    <x v="2"/>
    <n v="34"/>
    <x v="11"/>
    <n v="30000"/>
    <n v="6"/>
    <n v="180000"/>
    <n v="134.19"/>
    <x v="0"/>
    <x v="0"/>
  </r>
  <r>
    <s v="CUST0050"/>
    <n v="1"/>
    <s v="Tega Stevens"/>
    <x v="2"/>
    <n v="68"/>
    <x v="4"/>
    <x v="12"/>
    <x v="2"/>
    <x v="1"/>
    <x v="3"/>
    <x v="3"/>
    <x v="2"/>
    <n v="43"/>
    <x v="2"/>
    <n v="20000"/>
    <n v="13"/>
    <n v="260000"/>
    <n v="194.05"/>
    <x v="3"/>
    <x v="0"/>
  </r>
  <r>
    <s v="CUST0050"/>
    <n v="0"/>
    <s v="Tega Stevens"/>
    <x v="2"/>
    <n v="68"/>
    <x v="4"/>
    <x v="12"/>
    <x v="0"/>
    <x v="1"/>
    <x v="3"/>
    <x v="3"/>
    <x v="2"/>
    <n v="43"/>
    <x v="9"/>
    <n v="16000"/>
    <n v="18"/>
    <n v="288000"/>
    <n v="131.69999999999999"/>
    <x v="3"/>
    <x v="0"/>
  </r>
  <r>
    <s v="CUST0051"/>
    <n v="1"/>
    <s v="Zina Carter"/>
    <x v="1"/>
    <n v="68"/>
    <x v="4"/>
    <x v="4"/>
    <x v="1"/>
    <x v="0"/>
    <x v="3"/>
    <x v="3"/>
    <x v="2"/>
    <n v="34"/>
    <x v="3"/>
    <n v="500"/>
    <n v="10"/>
    <n v="5000"/>
    <n v="110.07"/>
    <x v="2"/>
    <x v="1"/>
  </r>
  <r>
    <s v="CUST0051"/>
    <n v="0"/>
    <s v="Zina Carter"/>
    <x v="1"/>
    <n v="68"/>
    <x v="4"/>
    <x v="4"/>
    <x v="3"/>
    <x v="0"/>
    <x v="3"/>
    <x v="3"/>
    <x v="2"/>
    <n v="34"/>
    <x v="12"/>
    <n v="14500"/>
    <n v="16"/>
    <n v="232000"/>
    <n v="176.23"/>
    <x v="2"/>
    <x v="1"/>
  </r>
  <r>
    <s v="CUST0051"/>
    <n v="0"/>
    <s v="Zina Carter"/>
    <x v="1"/>
    <n v="68"/>
    <x v="4"/>
    <x v="4"/>
    <x v="2"/>
    <x v="0"/>
    <x v="3"/>
    <x v="3"/>
    <x v="2"/>
    <n v="34"/>
    <x v="2"/>
    <n v="20000"/>
    <n v="20"/>
    <n v="400000"/>
    <n v="6.26"/>
    <x v="2"/>
    <x v="1"/>
  </r>
  <r>
    <s v="CUST0052"/>
    <n v="1"/>
    <s v="Halima Johnston"/>
    <x v="2"/>
    <n v="36"/>
    <x v="2"/>
    <x v="24"/>
    <x v="1"/>
    <x v="0"/>
    <x v="1"/>
    <x v="1"/>
    <x v="2"/>
    <n v="36"/>
    <x v="14"/>
    <n v="1000"/>
    <n v="5"/>
    <n v="5000"/>
    <n v="129.72"/>
    <x v="1"/>
    <x v="0"/>
  </r>
  <r>
    <s v="CUST0053"/>
    <n v="1"/>
    <s v="Grace Christensen"/>
    <x v="2"/>
    <n v="53"/>
    <x v="3"/>
    <x v="28"/>
    <x v="1"/>
    <x v="1"/>
    <x v="4"/>
    <x v="4"/>
    <x v="2"/>
    <n v="27"/>
    <x v="13"/>
    <n v="350"/>
    <n v="17"/>
    <n v="5950"/>
    <n v="184.41"/>
    <x v="0"/>
    <x v="0"/>
  </r>
  <r>
    <s v="CUST0054"/>
    <n v="1"/>
    <s v="Amaka Potter"/>
    <x v="1"/>
    <n v="24"/>
    <x v="0"/>
    <x v="29"/>
    <x v="1"/>
    <x v="1"/>
    <x v="1"/>
    <x v="1"/>
    <x v="1"/>
    <n v="22"/>
    <x v="20"/>
    <n v="6500"/>
    <n v="11"/>
    <n v="71500"/>
    <n v="97.13"/>
    <x v="4"/>
    <x v="0"/>
  </r>
  <r>
    <s v="CUST0054"/>
    <n v="0"/>
    <s v="Amaka Potter"/>
    <x v="1"/>
    <n v="24"/>
    <x v="0"/>
    <x v="29"/>
    <x v="3"/>
    <x v="1"/>
    <x v="1"/>
    <x v="1"/>
    <x v="1"/>
    <n v="22"/>
    <x v="10"/>
    <n v="24000"/>
    <n v="13"/>
    <n v="312000"/>
    <n v="152.69"/>
    <x v="4"/>
    <x v="0"/>
  </r>
  <r>
    <s v="CUST0054"/>
    <n v="0"/>
    <s v="Amaka Potter"/>
    <x v="1"/>
    <n v="24"/>
    <x v="0"/>
    <x v="29"/>
    <x v="1"/>
    <x v="1"/>
    <x v="1"/>
    <x v="1"/>
    <x v="1"/>
    <n v="22"/>
    <x v="0"/>
    <n v="35000"/>
    <n v="7"/>
    <n v="245000"/>
    <n v="186.6"/>
    <x v="4"/>
    <x v="0"/>
  </r>
  <r>
    <s v="CUST0055"/>
    <n v="1"/>
    <s v="Halima Smith"/>
    <x v="1"/>
    <n v="65"/>
    <x v="4"/>
    <x v="16"/>
    <x v="1"/>
    <x v="1"/>
    <x v="4"/>
    <x v="4"/>
    <x v="0"/>
    <n v="3"/>
    <x v="19"/>
    <n v="600"/>
    <n v="2"/>
    <n v="1200"/>
    <n v="99.32"/>
    <x v="2"/>
    <x v="1"/>
  </r>
  <r>
    <s v="CUST0055"/>
    <n v="0"/>
    <s v="Halima Smith"/>
    <x v="1"/>
    <n v="65"/>
    <x v="4"/>
    <x v="16"/>
    <x v="2"/>
    <x v="1"/>
    <x v="4"/>
    <x v="4"/>
    <x v="0"/>
    <n v="3"/>
    <x v="11"/>
    <n v="30000"/>
    <n v="19"/>
    <n v="570000"/>
    <n v="100.71"/>
    <x v="2"/>
    <x v="1"/>
  </r>
  <r>
    <s v="CUST0056"/>
    <n v="1"/>
    <s v="Tega Daniels"/>
    <x v="2"/>
    <n v="28"/>
    <x v="0"/>
    <x v="30"/>
    <x v="1"/>
    <x v="0"/>
    <x v="1"/>
    <x v="1"/>
    <x v="2"/>
    <n v="34"/>
    <x v="0"/>
    <n v="35000"/>
    <n v="9"/>
    <n v="315000"/>
    <n v="156.41"/>
    <x v="2"/>
    <x v="1"/>
  </r>
  <r>
    <s v="CUST0056"/>
    <n v="0"/>
    <s v="Tega Daniels"/>
    <x v="2"/>
    <n v="28"/>
    <x v="0"/>
    <x v="30"/>
    <x v="3"/>
    <x v="0"/>
    <x v="1"/>
    <x v="1"/>
    <x v="2"/>
    <n v="34"/>
    <x v="11"/>
    <n v="30000"/>
    <n v="13"/>
    <n v="390000"/>
    <n v="124.84"/>
    <x v="2"/>
    <x v="1"/>
  </r>
  <r>
    <s v="CUST0057"/>
    <n v="1"/>
    <s v="Chinedu Davis"/>
    <x v="2"/>
    <n v="58"/>
    <x v="3"/>
    <x v="11"/>
    <x v="2"/>
    <x v="1"/>
    <x v="3"/>
    <x v="3"/>
    <x v="1"/>
    <n v="21"/>
    <x v="12"/>
    <n v="14500"/>
    <n v="14"/>
    <n v="203000"/>
    <n v="149.47999999999999"/>
    <x v="3"/>
    <x v="0"/>
  </r>
  <r>
    <s v="CUST0058"/>
    <n v="1"/>
    <s v="Ngozi Brown"/>
    <x v="1"/>
    <n v="28"/>
    <x v="0"/>
    <x v="30"/>
    <x v="2"/>
    <x v="0"/>
    <x v="1"/>
    <x v="1"/>
    <x v="2"/>
    <n v="45"/>
    <x v="18"/>
    <n v="25000"/>
    <n v="5"/>
    <n v="125000"/>
    <n v="75.28"/>
    <x v="1"/>
    <x v="0"/>
  </r>
  <r>
    <s v="CUST0059"/>
    <n v="1"/>
    <s v="Halima Williams"/>
    <x v="0"/>
    <n v="68"/>
    <x v="4"/>
    <x v="20"/>
    <x v="0"/>
    <x v="0"/>
    <x v="3"/>
    <x v="3"/>
    <x v="3"/>
    <n v="12"/>
    <x v="5"/>
    <n v="4500"/>
    <n v="9"/>
    <n v="40500"/>
    <n v="92.5"/>
    <x v="2"/>
    <x v="1"/>
  </r>
  <r>
    <s v="CUST0059"/>
    <n v="0"/>
    <s v="Halima Williams"/>
    <x v="0"/>
    <n v="68"/>
    <x v="4"/>
    <x v="20"/>
    <x v="1"/>
    <x v="0"/>
    <x v="3"/>
    <x v="3"/>
    <x v="3"/>
    <n v="12"/>
    <x v="1"/>
    <n v="5500"/>
    <n v="1"/>
    <n v="5500"/>
    <n v="51.44"/>
    <x v="2"/>
    <x v="1"/>
  </r>
  <r>
    <s v="CUST0059"/>
    <n v="0"/>
    <s v="Halima Williams"/>
    <x v="0"/>
    <n v="68"/>
    <x v="4"/>
    <x v="20"/>
    <x v="3"/>
    <x v="0"/>
    <x v="3"/>
    <x v="3"/>
    <x v="3"/>
    <n v="12"/>
    <x v="12"/>
    <n v="14500"/>
    <n v="18"/>
    <n v="261000"/>
    <n v="180.29"/>
    <x v="2"/>
    <x v="1"/>
  </r>
  <r>
    <s v="CUST0060"/>
    <n v="1"/>
    <s v="Amina Payne"/>
    <x v="1"/>
    <n v="25"/>
    <x v="0"/>
    <x v="30"/>
    <x v="2"/>
    <x v="1"/>
    <x v="4"/>
    <x v="4"/>
    <x v="2"/>
    <n v="38"/>
    <x v="17"/>
    <n v="75000"/>
    <n v="4"/>
    <n v="300000"/>
    <n v="170.74"/>
    <x v="2"/>
    <x v="1"/>
  </r>
  <r>
    <s v="CUST0060"/>
    <n v="0"/>
    <s v="Amina Payne"/>
    <x v="1"/>
    <n v="25"/>
    <x v="0"/>
    <x v="30"/>
    <x v="3"/>
    <x v="1"/>
    <x v="4"/>
    <x v="4"/>
    <x v="2"/>
    <n v="38"/>
    <x v="2"/>
    <n v="20000"/>
    <n v="12"/>
    <n v="240000"/>
    <n v="76.58"/>
    <x v="2"/>
    <x v="1"/>
  </r>
  <r>
    <s v="CUST0061"/>
    <n v="1"/>
    <s v="Abubakar Ewing"/>
    <x v="0"/>
    <n v="53"/>
    <x v="3"/>
    <x v="17"/>
    <x v="3"/>
    <x v="1"/>
    <x v="3"/>
    <x v="3"/>
    <x v="1"/>
    <n v="18"/>
    <x v="11"/>
    <n v="30000"/>
    <n v="8"/>
    <n v="240000"/>
    <n v="155.26"/>
    <x v="2"/>
    <x v="1"/>
  </r>
  <r>
    <s v="CUST0061"/>
    <n v="0"/>
    <s v="Abubakar Ewing"/>
    <x v="0"/>
    <n v="53"/>
    <x v="3"/>
    <x v="17"/>
    <x v="2"/>
    <x v="1"/>
    <x v="3"/>
    <x v="3"/>
    <x v="1"/>
    <n v="18"/>
    <x v="18"/>
    <n v="25000"/>
    <n v="7"/>
    <n v="175000"/>
    <n v="44.19"/>
    <x v="2"/>
    <x v="1"/>
  </r>
  <r>
    <s v="CUST0061"/>
    <n v="0"/>
    <s v="Abubakar Ewing"/>
    <x v="0"/>
    <n v="53"/>
    <x v="3"/>
    <x v="17"/>
    <x v="0"/>
    <x v="1"/>
    <x v="3"/>
    <x v="3"/>
    <x v="1"/>
    <n v="18"/>
    <x v="6"/>
    <n v="9000"/>
    <n v="5"/>
    <n v="45000"/>
    <n v="135.71"/>
    <x v="2"/>
    <x v="1"/>
  </r>
  <r>
    <s v="CUST0062"/>
    <n v="1"/>
    <s v="Ngozi Henson"/>
    <x v="1"/>
    <n v="21"/>
    <x v="0"/>
    <x v="24"/>
    <x v="1"/>
    <x v="1"/>
    <x v="0"/>
    <x v="0"/>
    <x v="0"/>
    <n v="3"/>
    <x v="13"/>
    <n v="350"/>
    <n v="18"/>
    <n v="6300"/>
    <n v="26.87"/>
    <x v="4"/>
    <x v="0"/>
  </r>
  <r>
    <s v="CUST0062"/>
    <n v="0"/>
    <s v="Ngozi Henson"/>
    <x v="1"/>
    <n v="21"/>
    <x v="0"/>
    <x v="24"/>
    <x v="3"/>
    <x v="1"/>
    <x v="0"/>
    <x v="0"/>
    <x v="0"/>
    <n v="3"/>
    <x v="11"/>
    <n v="30000"/>
    <n v="9"/>
    <n v="270000"/>
    <n v="106.41"/>
    <x v="4"/>
    <x v="0"/>
  </r>
  <r>
    <s v="CUST0063"/>
    <n v="1"/>
    <s v="Amina Flores"/>
    <x v="1"/>
    <n v="48"/>
    <x v="3"/>
    <x v="31"/>
    <x v="0"/>
    <x v="1"/>
    <x v="1"/>
    <x v="1"/>
    <x v="2"/>
    <n v="48"/>
    <x v="5"/>
    <n v="4500"/>
    <n v="13"/>
    <n v="58500"/>
    <n v="172.1"/>
    <x v="2"/>
    <x v="1"/>
  </r>
  <r>
    <s v="CUST0064"/>
    <n v="1"/>
    <s v="Ejiro Ford"/>
    <x v="0"/>
    <n v="27"/>
    <x v="0"/>
    <x v="10"/>
    <x v="2"/>
    <x v="0"/>
    <x v="4"/>
    <x v="4"/>
    <x v="1"/>
    <n v="17"/>
    <x v="18"/>
    <n v="25000"/>
    <n v="8"/>
    <n v="200000"/>
    <n v="22.12"/>
    <x v="2"/>
    <x v="1"/>
  </r>
  <r>
    <s v="CUST0064"/>
    <n v="0"/>
    <s v="Ejiro Ford"/>
    <x v="0"/>
    <n v="27"/>
    <x v="0"/>
    <x v="10"/>
    <x v="1"/>
    <x v="0"/>
    <x v="4"/>
    <x v="4"/>
    <x v="1"/>
    <n v="17"/>
    <x v="1"/>
    <n v="5500"/>
    <n v="18"/>
    <n v="99000"/>
    <n v="5.49"/>
    <x v="2"/>
    <x v="1"/>
  </r>
  <r>
    <s v="CUST0064"/>
    <n v="0"/>
    <s v="Ejiro Ford"/>
    <x v="0"/>
    <n v="27"/>
    <x v="0"/>
    <x v="10"/>
    <x v="0"/>
    <x v="0"/>
    <x v="4"/>
    <x v="4"/>
    <x v="1"/>
    <n v="17"/>
    <x v="6"/>
    <n v="9000"/>
    <n v="8"/>
    <n v="72000"/>
    <n v="183.09"/>
    <x v="2"/>
    <x v="1"/>
  </r>
  <r>
    <s v="CUST0065"/>
    <n v="1"/>
    <s v="Kunle Shaw"/>
    <x v="2"/>
    <n v="75"/>
    <x v="4"/>
    <x v="24"/>
    <x v="1"/>
    <x v="1"/>
    <x v="1"/>
    <x v="1"/>
    <x v="3"/>
    <n v="8"/>
    <x v="14"/>
    <n v="1000"/>
    <n v="18"/>
    <n v="18000"/>
    <n v="47.34"/>
    <x v="2"/>
    <x v="1"/>
  </r>
  <r>
    <s v="CUST0065"/>
    <n v="0"/>
    <s v="Kunle Shaw"/>
    <x v="2"/>
    <n v="75"/>
    <x v="4"/>
    <x v="24"/>
    <x v="3"/>
    <x v="1"/>
    <x v="1"/>
    <x v="1"/>
    <x v="3"/>
    <n v="8"/>
    <x v="2"/>
    <n v="20000"/>
    <n v="12"/>
    <n v="240000"/>
    <n v="78.03"/>
    <x v="2"/>
    <x v="1"/>
  </r>
  <r>
    <s v="CUST0066"/>
    <n v="1"/>
    <s v="David Schneider"/>
    <x v="0"/>
    <n v="69"/>
    <x v="4"/>
    <x v="5"/>
    <x v="3"/>
    <x v="1"/>
    <x v="4"/>
    <x v="4"/>
    <x v="2"/>
    <n v="42"/>
    <x v="11"/>
    <n v="30000"/>
    <n v="15"/>
    <n v="450000"/>
    <n v="43.85"/>
    <x v="2"/>
    <x v="1"/>
  </r>
  <r>
    <s v="CUST0066"/>
    <n v="0"/>
    <s v="David Schneider"/>
    <x v="0"/>
    <n v="69"/>
    <x v="4"/>
    <x v="5"/>
    <x v="2"/>
    <x v="1"/>
    <x v="4"/>
    <x v="4"/>
    <x v="2"/>
    <n v="42"/>
    <x v="12"/>
    <n v="14500"/>
    <n v="4"/>
    <n v="58000"/>
    <n v="171.16"/>
    <x v="2"/>
    <x v="1"/>
  </r>
  <r>
    <s v="CUST0067"/>
    <n v="1"/>
    <s v="Ejiro Smith"/>
    <x v="2"/>
    <n v="61"/>
    <x v="4"/>
    <x v="4"/>
    <x v="3"/>
    <x v="1"/>
    <x v="1"/>
    <x v="1"/>
    <x v="1"/>
    <n v="18"/>
    <x v="2"/>
    <n v="20000"/>
    <n v="20"/>
    <n v="400000"/>
    <n v="128.52000000000001"/>
    <x v="2"/>
    <x v="1"/>
  </r>
  <r>
    <s v="CUST0067"/>
    <n v="0"/>
    <s v="Ejiro Smith"/>
    <x v="2"/>
    <n v="61"/>
    <x v="4"/>
    <x v="4"/>
    <x v="2"/>
    <x v="1"/>
    <x v="1"/>
    <x v="1"/>
    <x v="1"/>
    <n v="18"/>
    <x v="4"/>
    <n v="9000"/>
    <n v="11"/>
    <n v="99000"/>
    <n v="10.59"/>
    <x v="2"/>
    <x v="1"/>
  </r>
  <r>
    <s v="CUST0068"/>
    <n v="1"/>
    <s v="Halima Anderson"/>
    <x v="2"/>
    <n v="32"/>
    <x v="2"/>
    <x v="9"/>
    <x v="2"/>
    <x v="0"/>
    <x v="3"/>
    <x v="3"/>
    <x v="2"/>
    <n v="54"/>
    <x v="11"/>
    <n v="30000"/>
    <n v="20"/>
    <n v="600000"/>
    <n v="157.83000000000001"/>
    <x v="1"/>
    <x v="0"/>
  </r>
  <r>
    <s v="CUST0069"/>
    <n v="1"/>
    <s v="Tunde Oliver"/>
    <x v="1"/>
    <n v="51"/>
    <x v="3"/>
    <x v="5"/>
    <x v="0"/>
    <x v="0"/>
    <x v="0"/>
    <x v="0"/>
    <x v="2"/>
    <n v="35"/>
    <x v="9"/>
    <n v="16000"/>
    <n v="8"/>
    <n v="128000"/>
    <n v="71.97"/>
    <x v="1"/>
    <x v="0"/>
  </r>
  <r>
    <s v="CUST0070"/>
    <n v="1"/>
    <s v="Ese Obrien"/>
    <x v="2"/>
    <n v="18"/>
    <x v="0"/>
    <x v="20"/>
    <x v="0"/>
    <x v="1"/>
    <x v="4"/>
    <x v="4"/>
    <x v="0"/>
    <n v="4"/>
    <x v="5"/>
    <n v="4500"/>
    <n v="4"/>
    <n v="18000"/>
    <n v="102.89"/>
    <x v="2"/>
    <x v="1"/>
  </r>
  <r>
    <s v="CUST0071"/>
    <n v="1"/>
    <s v="Alabo Keith"/>
    <x v="1"/>
    <n v="80"/>
    <x v="4"/>
    <x v="16"/>
    <x v="3"/>
    <x v="0"/>
    <x v="4"/>
    <x v="4"/>
    <x v="2"/>
    <n v="47"/>
    <x v="12"/>
    <n v="14500"/>
    <n v="14"/>
    <n v="203000"/>
    <n v="169.54"/>
    <x v="2"/>
    <x v="1"/>
  </r>
  <r>
    <s v="CUST0072"/>
    <n v="1"/>
    <s v="Ngozi Hernandez"/>
    <x v="0"/>
    <n v="78"/>
    <x v="4"/>
    <x v="30"/>
    <x v="0"/>
    <x v="0"/>
    <x v="2"/>
    <x v="2"/>
    <x v="2"/>
    <n v="58"/>
    <x v="6"/>
    <n v="9000"/>
    <n v="19"/>
    <n v="171000"/>
    <n v="125.05"/>
    <x v="2"/>
    <x v="1"/>
  </r>
  <r>
    <s v="CUST0073"/>
    <n v="1"/>
    <s v="Ese Flowers"/>
    <x v="2"/>
    <n v="64"/>
    <x v="4"/>
    <x v="8"/>
    <x v="1"/>
    <x v="1"/>
    <x v="1"/>
    <x v="1"/>
    <x v="2"/>
    <n v="30"/>
    <x v="0"/>
    <n v="35000"/>
    <n v="8"/>
    <n v="280000"/>
    <n v="90.59"/>
    <x v="2"/>
    <x v="1"/>
  </r>
  <r>
    <s v="CUST0074"/>
    <n v="1"/>
    <s v="Ibim Marshall"/>
    <x v="0"/>
    <n v="59"/>
    <x v="3"/>
    <x v="2"/>
    <x v="2"/>
    <x v="1"/>
    <x v="2"/>
    <x v="2"/>
    <x v="2"/>
    <n v="27"/>
    <x v="8"/>
    <n v="150000"/>
    <n v="3"/>
    <n v="450000"/>
    <n v="13.89"/>
    <x v="2"/>
    <x v="1"/>
  </r>
  <r>
    <s v="CUST0074"/>
    <n v="0"/>
    <s v="Ibim Marshall"/>
    <x v="0"/>
    <n v="59"/>
    <x v="3"/>
    <x v="2"/>
    <x v="0"/>
    <x v="1"/>
    <x v="2"/>
    <x v="2"/>
    <x v="2"/>
    <n v="27"/>
    <x v="9"/>
    <n v="16000"/>
    <n v="12"/>
    <n v="192000"/>
    <n v="86.66"/>
    <x v="2"/>
    <x v="1"/>
  </r>
  <r>
    <s v="CUST0074"/>
    <n v="0"/>
    <s v="Ibim Marshall"/>
    <x v="0"/>
    <n v="59"/>
    <x v="3"/>
    <x v="2"/>
    <x v="3"/>
    <x v="1"/>
    <x v="2"/>
    <x v="2"/>
    <x v="2"/>
    <n v="27"/>
    <x v="2"/>
    <n v="20000"/>
    <n v="19"/>
    <n v="380000"/>
    <n v="111.5"/>
    <x v="2"/>
    <x v="1"/>
  </r>
  <r>
    <s v="CUST0075"/>
    <n v="1"/>
    <s v="Tega Medina"/>
    <x v="2"/>
    <n v="31"/>
    <x v="2"/>
    <x v="15"/>
    <x v="2"/>
    <x v="1"/>
    <x v="1"/>
    <x v="1"/>
    <x v="2"/>
    <n v="56"/>
    <x v="12"/>
    <n v="14500"/>
    <n v="16"/>
    <n v="232000"/>
    <n v="31.37"/>
    <x v="2"/>
    <x v="1"/>
  </r>
  <r>
    <s v="CUST0075"/>
    <n v="0"/>
    <s v="Tega Medina"/>
    <x v="2"/>
    <n v="31"/>
    <x v="2"/>
    <x v="15"/>
    <x v="0"/>
    <x v="1"/>
    <x v="1"/>
    <x v="1"/>
    <x v="2"/>
    <n v="56"/>
    <x v="5"/>
    <n v="4500"/>
    <n v="12"/>
    <n v="54000"/>
    <n v="169.53"/>
    <x v="2"/>
    <x v="1"/>
  </r>
  <r>
    <s v="CUST0075"/>
    <n v="0"/>
    <s v="Tega Medina"/>
    <x v="2"/>
    <n v="31"/>
    <x v="2"/>
    <x v="15"/>
    <x v="3"/>
    <x v="1"/>
    <x v="1"/>
    <x v="1"/>
    <x v="2"/>
    <n v="56"/>
    <x v="10"/>
    <n v="24000"/>
    <n v="9"/>
    <n v="216000"/>
    <n v="73.83"/>
    <x v="2"/>
    <x v="1"/>
  </r>
  <r>
    <s v="CUST0076"/>
    <n v="1"/>
    <s v="Nura Mcneil"/>
    <x v="2"/>
    <n v="70"/>
    <x v="4"/>
    <x v="17"/>
    <x v="2"/>
    <x v="1"/>
    <x v="2"/>
    <x v="2"/>
    <x v="0"/>
    <n v="2"/>
    <x v="4"/>
    <n v="9000"/>
    <n v="5"/>
    <n v="45000"/>
    <n v="36.69"/>
    <x v="2"/>
    <x v="1"/>
  </r>
  <r>
    <s v="CUST0076"/>
    <n v="0"/>
    <s v="Nura Mcneil"/>
    <x v="2"/>
    <n v="70"/>
    <x v="4"/>
    <x v="17"/>
    <x v="0"/>
    <x v="1"/>
    <x v="2"/>
    <x v="2"/>
    <x v="0"/>
    <n v="2"/>
    <x v="0"/>
    <n v="35000"/>
    <n v="1"/>
    <n v="35000"/>
    <n v="14.38"/>
    <x v="2"/>
    <x v="1"/>
  </r>
  <r>
    <s v="CUST0077"/>
    <n v="1"/>
    <s v="Chinedu Pitts"/>
    <x v="1"/>
    <n v="43"/>
    <x v="2"/>
    <x v="6"/>
    <x v="2"/>
    <x v="1"/>
    <x v="0"/>
    <x v="0"/>
    <x v="2"/>
    <n v="30"/>
    <x v="4"/>
    <n v="9000"/>
    <n v="20"/>
    <n v="180000"/>
    <n v="31.54"/>
    <x v="2"/>
    <x v="1"/>
  </r>
  <r>
    <s v="CUST0077"/>
    <n v="0"/>
    <s v="Chinedu Pitts"/>
    <x v="1"/>
    <n v="43"/>
    <x v="2"/>
    <x v="6"/>
    <x v="1"/>
    <x v="1"/>
    <x v="0"/>
    <x v="0"/>
    <x v="2"/>
    <n v="30"/>
    <x v="16"/>
    <n v="900"/>
    <n v="9"/>
    <n v="8100"/>
    <n v="134.96"/>
    <x v="2"/>
    <x v="1"/>
  </r>
  <r>
    <s v="CUST0077"/>
    <n v="0"/>
    <s v="Chinedu Pitts"/>
    <x v="1"/>
    <n v="43"/>
    <x v="2"/>
    <x v="6"/>
    <x v="3"/>
    <x v="1"/>
    <x v="0"/>
    <x v="0"/>
    <x v="2"/>
    <n v="30"/>
    <x v="12"/>
    <n v="14500"/>
    <n v="16"/>
    <n v="232000"/>
    <n v="132.56"/>
    <x v="2"/>
    <x v="1"/>
  </r>
  <r>
    <s v="CUST0078"/>
    <n v="1"/>
    <s v="Alabo Kelly"/>
    <x v="0"/>
    <n v="69"/>
    <x v="4"/>
    <x v="29"/>
    <x v="1"/>
    <x v="0"/>
    <x v="2"/>
    <x v="2"/>
    <x v="2"/>
    <n v="49"/>
    <x v="3"/>
    <n v="500"/>
    <n v="13"/>
    <n v="6500"/>
    <n v="9.56"/>
    <x v="2"/>
    <x v="1"/>
  </r>
  <r>
    <s v="CUST0078"/>
    <n v="0"/>
    <s v="Alabo Kelly"/>
    <x v="0"/>
    <n v="69"/>
    <x v="4"/>
    <x v="29"/>
    <x v="2"/>
    <x v="0"/>
    <x v="2"/>
    <x v="2"/>
    <x v="2"/>
    <n v="49"/>
    <x v="4"/>
    <n v="9000"/>
    <n v="10"/>
    <n v="90000"/>
    <n v="2.0299999999999998"/>
    <x v="2"/>
    <x v="1"/>
  </r>
  <r>
    <s v="CUST0079"/>
    <n v="1"/>
    <s v="Fatima Pennington"/>
    <x v="0"/>
    <n v="33"/>
    <x v="2"/>
    <x v="22"/>
    <x v="1"/>
    <x v="1"/>
    <x v="1"/>
    <x v="1"/>
    <x v="1"/>
    <n v="21"/>
    <x v="0"/>
    <n v="35000"/>
    <n v="8"/>
    <n v="280000"/>
    <n v="106.75"/>
    <x v="2"/>
    <x v="1"/>
  </r>
  <r>
    <s v="CUST0079"/>
    <n v="0"/>
    <s v="Fatima Pennington"/>
    <x v="0"/>
    <n v="33"/>
    <x v="2"/>
    <x v="22"/>
    <x v="3"/>
    <x v="1"/>
    <x v="1"/>
    <x v="1"/>
    <x v="1"/>
    <n v="21"/>
    <x v="10"/>
    <n v="24000"/>
    <n v="12"/>
    <n v="288000"/>
    <n v="111.97"/>
    <x v="2"/>
    <x v="1"/>
  </r>
  <r>
    <s v="CUST0080"/>
    <n v="1"/>
    <s v="Kunle Williams"/>
    <x v="2"/>
    <n v="66"/>
    <x v="4"/>
    <x v="19"/>
    <x v="1"/>
    <x v="1"/>
    <x v="1"/>
    <x v="1"/>
    <x v="0"/>
    <n v="2"/>
    <x v="15"/>
    <n v="7500"/>
    <n v="13"/>
    <n v="97500"/>
    <n v="58.26"/>
    <x v="2"/>
    <x v="1"/>
  </r>
  <r>
    <s v="CUST0080"/>
    <n v="0"/>
    <s v="Kunle Williams"/>
    <x v="2"/>
    <n v="66"/>
    <x v="4"/>
    <x v="19"/>
    <x v="2"/>
    <x v="1"/>
    <x v="1"/>
    <x v="1"/>
    <x v="0"/>
    <n v="2"/>
    <x v="4"/>
    <n v="9000"/>
    <n v="6"/>
    <n v="54000"/>
    <n v="193.26"/>
    <x v="2"/>
    <x v="1"/>
  </r>
  <r>
    <s v="CUST0080"/>
    <n v="0"/>
    <s v="Kunle Williams"/>
    <x v="2"/>
    <n v="66"/>
    <x v="4"/>
    <x v="19"/>
    <x v="0"/>
    <x v="1"/>
    <x v="1"/>
    <x v="1"/>
    <x v="0"/>
    <n v="2"/>
    <x v="0"/>
    <n v="35000"/>
    <n v="12"/>
    <n v="420000"/>
    <n v="166.49"/>
    <x v="2"/>
    <x v="1"/>
  </r>
  <r>
    <s v="CUST0081"/>
    <n v="1"/>
    <s v="Chinedu Ortiz"/>
    <x v="2"/>
    <n v="71"/>
    <x v="4"/>
    <x v="13"/>
    <x v="2"/>
    <x v="0"/>
    <x v="3"/>
    <x v="3"/>
    <x v="2"/>
    <n v="28"/>
    <x v="18"/>
    <n v="25000"/>
    <n v="3"/>
    <n v="75000"/>
    <n v="155.93"/>
    <x v="1"/>
    <x v="0"/>
  </r>
  <r>
    <s v="CUST0081"/>
    <n v="0"/>
    <s v="Chinedu Ortiz"/>
    <x v="2"/>
    <n v="71"/>
    <x v="4"/>
    <x v="13"/>
    <x v="3"/>
    <x v="0"/>
    <x v="3"/>
    <x v="3"/>
    <x v="2"/>
    <n v="28"/>
    <x v="10"/>
    <n v="24000"/>
    <n v="17"/>
    <n v="408000"/>
    <n v="126.83"/>
    <x v="1"/>
    <x v="0"/>
  </r>
  <r>
    <s v="CUST0082"/>
    <n v="1"/>
    <s v="Michael Ortiz"/>
    <x v="2"/>
    <n v="40"/>
    <x v="2"/>
    <x v="25"/>
    <x v="0"/>
    <x v="1"/>
    <x v="0"/>
    <x v="0"/>
    <x v="2"/>
    <n v="47"/>
    <x v="5"/>
    <n v="4500"/>
    <n v="3"/>
    <n v="13500"/>
    <n v="152.16"/>
    <x v="4"/>
    <x v="0"/>
  </r>
  <r>
    <s v="CUST0083"/>
    <n v="1"/>
    <s v="Shehu Holt"/>
    <x v="1"/>
    <n v="79"/>
    <x v="4"/>
    <x v="2"/>
    <x v="1"/>
    <x v="1"/>
    <x v="2"/>
    <x v="2"/>
    <x v="2"/>
    <n v="44"/>
    <x v="3"/>
    <n v="500"/>
    <n v="19"/>
    <n v="9500"/>
    <n v="159.37"/>
    <x v="3"/>
    <x v="0"/>
  </r>
  <r>
    <s v="CUST0083"/>
    <n v="0"/>
    <s v="Shehu Holt"/>
    <x v="1"/>
    <n v="79"/>
    <x v="4"/>
    <x v="2"/>
    <x v="2"/>
    <x v="1"/>
    <x v="2"/>
    <x v="2"/>
    <x v="2"/>
    <n v="44"/>
    <x v="4"/>
    <n v="9000"/>
    <n v="3"/>
    <n v="27000"/>
    <n v="70.709999999999994"/>
    <x v="3"/>
    <x v="0"/>
  </r>
  <r>
    <s v="CUST0084"/>
    <n v="1"/>
    <s v="Maryam Velez"/>
    <x v="1"/>
    <n v="75"/>
    <x v="4"/>
    <x v="30"/>
    <x v="1"/>
    <x v="0"/>
    <x v="2"/>
    <x v="2"/>
    <x v="0"/>
    <n v="4"/>
    <x v="1"/>
    <n v="5500"/>
    <n v="2"/>
    <n v="11000"/>
    <n v="116.28"/>
    <x v="1"/>
    <x v="0"/>
  </r>
  <r>
    <s v="CUST0085"/>
    <n v="1"/>
    <s v="Alabo Turner"/>
    <x v="2"/>
    <n v="40"/>
    <x v="2"/>
    <x v="32"/>
    <x v="3"/>
    <x v="1"/>
    <x v="1"/>
    <x v="1"/>
    <x v="2"/>
    <n v="33"/>
    <x v="2"/>
    <n v="20000"/>
    <n v="15"/>
    <n v="300000"/>
    <n v="8.31"/>
    <x v="2"/>
    <x v="1"/>
  </r>
  <r>
    <s v="CUST0085"/>
    <n v="0"/>
    <s v="Alabo Turner"/>
    <x v="2"/>
    <n v="40"/>
    <x v="2"/>
    <x v="32"/>
    <x v="2"/>
    <x v="1"/>
    <x v="1"/>
    <x v="1"/>
    <x v="2"/>
    <n v="33"/>
    <x v="8"/>
    <n v="150000"/>
    <n v="20"/>
    <n v="3000000"/>
    <n v="105.05"/>
    <x v="2"/>
    <x v="1"/>
  </r>
  <r>
    <s v="CUST0086"/>
    <n v="1"/>
    <s v="Amina Rivas"/>
    <x v="2"/>
    <n v="62"/>
    <x v="4"/>
    <x v="3"/>
    <x v="2"/>
    <x v="1"/>
    <x v="2"/>
    <x v="2"/>
    <x v="2"/>
    <n v="25"/>
    <x v="2"/>
    <n v="20000"/>
    <n v="18"/>
    <n v="360000"/>
    <n v="66.27"/>
    <x v="2"/>
    <x v="1"/>
  </r>
  <r>
    <s v="CUST0087"/>
    <n v="1"/>
    <s v="Omamuzo Guerrero"/>
    <x v="0"/>
    <n v="52"/>
    <x v="3"/>
    <x v="22"/>
    <x v="2"/>
    <x v="0"/>
    <x v="3"/>
    <x v="3"/>
    <x v="1"/>
    <n v="22"/>
    <x v="17"/>
    <n v="75000"/>
    <n v="3"/>
    <n v="225000"/>
    <n v="26.23"/>
    <x v="2"/>
    <x v="1"/>
  </r>
  <r>
    <s v="CUST0087"/>
    <n v="0"/>
    <s v="Omamuzo Guerrero"/>
    <x v="0"/>
    <n v="52"/>
    <x v="3"/>
    <x v="22"/>
    <x v="1"/>
    <x v="0"/>
    <x v="3"/>
    <x v="3"/>
    <x v="1"/>
    <n v="22"/>
    <x v="3"/>
    <n v="500"/>
    <n v="11"/>
    <n v="5500"/>
    <n v="112"/>
    <x v="2"/>
    <x v="1"/>
  </r>
  <r>
    <s v="CUST0088"/>
    <n v="1"/>
    <s v="Amaka Brown"/>
    <x v="1"/>
    <n v="27"/>
    <x v="0"/>
    <x v="0"/>
    <x v="1"/>
    <x v="1"/>
    <x v="2"/>
    <x v="2"/>
    <x v="0"/>
    <n v="2"/>
    <x v="13"/>
    <n v="350"/>
    <n v="5"/>
    <n v="1750"/>
    <n v="200"/>
    <x v="6"/>
    <x v="0"/>
  </r>
  <r>
    <s v="CUST0088"/>
    <n v="0"/>
    <s v="Amaka Brown"/>
    <x v="1"/>
    <n v="27"/>
    <x v="0"/>
    <x v="0"/>
    <x v="3"/>
    <x v="1"/>
    <x v="2"/>
    <x v="2"/>
    <x v="0"/>
    <n v="2"/>
    <x v="4"/>
    <n v="9000"/>
    <n v="4"/>
    <n v="36000"/>
    <n v="59.51"/>
    <x v="6"/>
    <x v="0"/>
  </r>
  <r>
    <s v="CUST0089"/>
    <n v="1"/>
    <s v="Michael Schultz"/>
    <x v="2"/>
    <n v="20"/>
    <x v="0"/>
    <x v="26"/>
    <x v="0"/>
    <x v="0"/>
    <x v="0"/>
    <x v="0"/>
    <x v="2"/>
    <n v="39"/>
    <x v="9"/>
    <n v="16000"/>
    <n v="8"/>
    <n v="128000"/>
    <n v="82.47"/>
    <x v="1"/>
    <x v="0"/>
  </r>
  <r>
    <s v="CUST0089"/>
    <n v="0"/>
    <s v="Michael Schultz"/>
    <x v="2"/>
    <n v="20"/>
    <x v="0"/>
    <x v="26"/>
    <x v="2"/>
    <x v="0"/>
    <x v="0"/>
    <x v="0"/>
    <x v="2"/>
    <n v="39"/>
    <x v="8"/>
    <n v="150000"/>
    <n v="15"/>
    <n v="2250000"/>
    <n v="122.31"/>
    <x v="1"/>
    <x v="0"/>
  </r>
  <r>
    <s v="CUST0089"/>
    <n v="0"/>
    <s v="Michael Schultz"/>
    <x v="2"/>
    <n v="20"/>
    <x v="0"/>
    <x v="26"/>
    <x v="1"/>
    <x v="0"/>
    <x v="0"/>
    <x v="0"/>
    <x v="2"/>
    <n v="39"/>
    <x v="13"/>
    <n v="350"/>
    <n v="10"/>
    <n v="3500"/>
    <n v="107.04"/>
    <x v="1"/>
    <x v="0"/>
  </r>
  <r>
    <s v="CUST0090"/>
    <n v="1"/>
    <s v="John Montoya"/>
    <x v="1"/>
    <n v="40"/>
    <x v="2"/>
    <x v="3"/>
    <x v="1"/>
    <x v="1"/>
    <x v="4"/>
    <x v="4"/>
    <x v="2"/>
    <n v="30"/>
    <x v="5"/>
    <n v="4500"/>
    <n v="2"/>
    <n v="9000"/>
    <n v="174.66"/>
    <x v="2"/>
    <x v="1"/>
  </r>
  <r>
    <s v="CUST0090"/>
    <n v="0"/>
    <s v="John Montoya"/>
    <x v="1"/>
    <n v="40"/>
    <x v="2"/>
    <x v="3"/>
    <x v="3"/>
    <x v="1"/>
    <x v="4"/>
    <x v="4"/>
    <x v="2"/>
    <n v="30"/>
    <x v="12"/>
    <n v="14500"/>
    <n v="18"/>
    <n v="261000"/>
    <n v="174.89"/>
    <x v="2"/>
    <x v="1"/>
  </r>
  <r>
    <s v="CUST0091"/>
    <n v="1"/>
    <s v="Ngozi Fox"/>
    <x v="2"/>
    <n v="31"/>
    <x v="2"/>
    <x v="14"/>
    <x v="0"/>
    <x v="0"/>
    <x v="2"/>
    <x v="2"/>
    <x v="2"/>
    <n v="49"/>
    <x v="5"/>
    <n v="4500"/>
    <n v="12"/>
    <n v="54000"/>
    <n v="163.43"/>
    <x v="2"/>
    <x v="1"/>
  </r>
  <r>
    <s v="CUST0091"/>
    <n v="0"/>
    <s v="Ngozi Fox"/>
    <x v="2"/>
    <n v="31"/>
    <x v="2"/>
    <x v="14"/>
    <x v="1"/>
    <x v="0"/>
    <x v="2"/>
    <x v="2"/>
    <x v="2"/>
    <n v="49"/>
    <x v="16"/>
    <n v="900"/>
    <n v="13"/>
    <n v="11700"/>
    <n v="83.27"/>
    <x v="2"/>
    <x v="1"/>
  </r>
  <r>
    <s v="CUST0091"/>
    <n v="0"/>
    <s v="Ngozi Fox"/>
    <x v="2"/>
    <n v="31"/>
    <x v="2"/>
    <x v="14"/>
    <x v="3"/>
    <x v="0"/>
    <x v="2"/>
    <x v="2"/>
    <x v="2"/>
    <n v="49"/>
    <x v="10"/>
    <n v="24000"/>
    <n v="13"/>
    <n v="312000"/>
    <n v="75.11"/>
    <x v="2"/>
    <x v="1"/>
  </r>
  <r>
    <s v="CUST0092"/>
    <n v="1"/>
    <s v="Chinedu Burke"/>
    <x v="0"/>
    <n v="63"/>
    <x v="4"/>
    <x v="16"/>
    <x v="3"/>
    <x v="0"/>
    <x v="2"/>
    <x v="2"/>
    <x v="1"/>
    <n v="21"/>
    <x v="11"/>
    <n v="30000"/>
    <n v="16"/>
    <n v="480000"/>
    <n v="183.52"/>
    <x v="2"/>
    <x v="1"/>
  </r>
  <r>
    <s v="CUST0093"/>
    <n v="1"/>
    <s v="Amaka Webb"/>
    <x v="0"/>
    <n v="76"/>
    <x v="4"/>
    <x v="30"/>
    <x v="1"/>
    <x v="0"/>
    <x v="1"/>
    <x v="1"/>
    <x v="2"/>
    <n v="58"/>
    <x v="14"/>
    <n v="1000"/>
    <n v="8"/>
    <n v="8000"/>
    <n v="155.35"/>
    <x v="1"/>
    <x v="0"/>
  </r>
  <r>
    <s v="CUST0094"/>
    <n v="1"/>
    <s v="Maryam Tucker"/>
    <x v="2"/>
    <n v="31"/>
    <x v="2"/>
    <x v="4"/>
    <x v="3"/>
    <x v="0"/>
    <x v="1"/>
    <x v="1"/>
    <x v="2"/>
    <n v="27"/>
    <x v="2"/>
    <n v="20000"/>
    <n v="1"/>
    <n v="20000"/>
    <n v="58.61"/>
    <x v="5"/>
    <x v="0"/>
  </r>
  <r>
    <s v="CUST0094"/>
    <n v="0"/>
    <s v="Maryam Tucker"/>
    <x v="2"/>
    <n v="31"/>
    <x v="2"/>
    <x v="4"/>
    <x v="2"/>
    <x v="0"/>
    <x v="1"/>
    <x v="1"/>
    <x v="2"/>
    <n v="27"/>
    <x v="18"/>
    <n v="25000"/>
    <n v="14"/>
    <n v="350000"/>
    <n v="48.49"/>
    <x v="5"/>
    <x v="0"/>
  </r>
  <r>
    <s v="CUST0094"/>
    <n v="0"/>
    <s v="Maryam Tucker"/>
    <x v="2"/>
    <n v="31"/>
    <x v="2"/>
    <x v="4"/>
    <x v="1"/>
    <x v="0"/>
    <x v="1"/>
    <x v="1"/>
    <x v="2"/>
    <n v="27"/>
    <x v="19"/>
    <n v="600"/>
    <n v="3"/>
    <n v="1800"/>
    <n v="133.04"/>
    <x v="5"/>
    <x v="0"/>
  </r>
  <r>
    <s v="CUST0095"/>
    <n v="1"/>
    <s v="Sarah James"/>
    <x v="2"/>
    <n v="62"/>
    <x v="4"/>
    <x v="23"/>
    <x v="2"/>
    <x v="0"/>
    <x v="1"/>
    <x v="1"/>
    <x v="2"/>
    <n v="25"/>
    <x v="4"/>
    <n v="9000"/>
    <n v="3"/>
    <n v="27000"/>
    <n v="71.739999999999995"/>
    <x v="2"/>
    <x v="1"/>
  </r>
  <r>
    <s v="CUST0095"/>
    <n v="0"/>
    <s v="Sarah James"/>
    <x v="2"/>
    <n v="62"/>
    <x v="4"/>
    <x v="23"/>
    <x v="1"/>
    <x v="0"/>
    <x v="1"/>
    <x v="1"/>
    <x v="2"/>
    <n v="25"/>
    <x v="7"/>
    <n v="3500"/>
    <n v="4"/>
    <n v="14000"/>
    <n v="48.6"/>
    <x v="2"/>
    <x v="1"/>
  </r>
  <r>
    <s v="CUST0096"/>
    <n v="1"/>
    <s v="Tega Turner"/>
    <x v="1"/>
    <n v="33"/>
    <x v="2"/>
    <x v="19"/>
    <x v="1"/>
    <x v="1"/>
    <x v="0"/>
    <x v="0"/>
    <x v="2"/>
    <n v="35"/>
    <x v="19"/>
    <n v="600"/>
    <n v="3"/>
    <n v="1800"/>
    <n v="162.38999999999999"/>
    <x v="2"/>
    <x v="1"/>
  </r>
  <r>
    <s v="CUST0096"/>
    <n v="0"/>
    <s v="Tega Turner"/>
    <x v="1"/>
    <n v="33"/>
    <x v="2"/>
    <x v="19"/>
    <x v="2"/>
    <x v="1"/>
    <x v="0"/>
    <x v="0"/>
    <x v="2"/>
    <n v="35"/>
    <x v="8"/>
    <n v="150000"/>
    <n v="7"/>
    <n v="1050000"/>
    <n v="7.88"/>
    <x v="2"/>
    <x v="1"/>
  </r>
  <r>
    <s v="CUST0096"/>
    <n v="0"/>
    <s v="Tega Turner"/>
    <x v="1"/>
    <n v="33"/>
    <x v="2"/>
    <x v="19"/>
    <x v="0"/>
    <x v="1"/>
    <x v="0"/>
    <x v="0"/>
    <x v="2"/>
    <n v="35"/>
    <x v="9"/>
    <n v="16000"/>
    <n v="2"/>
    <n v="32000"/>
    <n v="158.33000000000001"/>
    <x v="2"/>
    <x v="1"/>
  </r>
  <r>
    <s v="CUST0097"/>
    <n v="1"/>
    <s v="Ese Perez"/>
    <x v="2"/>
    <n v="55"/>
    <x v="3"/>
    <x v="28"/>
    <x v="2"/>
    <x v="1"/>
    <x v="2"/>
    <x v="2"/>
    <x v="2"/>
    <n v="53"/>
    <x v="18"/>
    <n v="25000"/>
    <n v="2"/>
    <n v="50000"/>
    <n v="172.5"/>
    <x v="7"/>
    <x v="0"/>
  </r>
  <r>
    <s v="CUST0098"/>
    <n v="1"/>
    <s v="Tega Murray"/>
    <x v="2"/>
    <n v="50"/>
    <x v="3"/>
    <x v="27"/>
    <x v="2"/>
    <x v="1"/>
    <x v="4"/>
    <x v="4"/>
    <x v="2"/>
    <n v="28"/>
    <x v="8"/>
    <n v="150000"/>
    <n v="12"/>
    <n v="1800000"/>
    <n v="138.57"/>
    <x v="2"/>
    <x v="1"/>
  </r>
  <r>
    <s v="CUST0098"/>
    <n v="0"/>
    <s v="Tega Murray"/>
    <x v="2"/>
    <n v="50"/>
    <x v="3"/>
    <x v="27"/>
    <x v="3"/>
    <x v="1"/>
    <x v="4"/>
    <x v="4"/>
    <x v="2"/>
    <n v="28"/>
    <x v="10"/>
    <n v="24000"/>
    <n v="3"/>
    <n v="72000"/>
    <n v="53.71"/>
    <x v="2"/>
    <x v="1"/>
  </r>
  <r>
    <s v="CUST0099"/>
    <n v="1"/>
    <s v="Boma Gonzalez"/>
    <x v="1"/>
    <n v="26"/>
    <x v="0"/>
    <x v="0"/>
    <x v="2"/>
    <x v="0"/>
    <x v="2"/>
    <x v="2"/>
    <x v="2"/>
    <n v="35"/>
    <x v="17"/>
    <n v="75000"/>
    <n v="15"/>
    <n v="1125000"/>
    <n v="33.75"/>
    <x v="4"/>
    <x v="0"/>
  </r>
  <r>
    <s v="CUST0099"/>
    <n v="0"/>
    <s v="Boma Gonzalez"/>
    <x v="1"/>
    <n v="26"/>
    <x v="0"/>
    <x v="0"/>
    <x v="0"/>
    <x v="0"/>
    <x v="2"/>
    <x v="2"/>
    <x v="2"/>
    <n v="35"/>
    <x v="6"/>
    <n v="9000"/>
    <n v="12"/>
    <n v="108000"/>
    <n v="89.7"/>
    <x v="4"/>
    <x v="0"/>
  </r>
  <r>
    <s v="CUST0099"/>
    <n v="0"/>
    <s v="Boma Gonzalez"/>
    <x v="1"/>
    <n v="26"/>
    <x v="0"/>
    <x v="0"/>
    <x v="1"/>
    <x v="0"/>
    <x v="2"/>
    <x v="2"/>
    <x v="2"/>
    <n v="35"/>
    <x v="15"/>
    <n v="7500"/>
    <n v="2"/>
    <n v="15000"/>
    <n v="55.27"/>
    <x v="4"/>
    <x v="0"/>
  </r>
  <r>
    <s v="CUST0100"/>
    <n v="1"/>
    <s v="Kunle Davis"/>
    <x v="2"/>
    <n v="67"/>
    <x v="4"/>
    <x v="3"/>
    <x v="3"/>
    <x v="0"/>
    <x v="3"/>
    <x v="3"/>
    <x v="0"/>
    <n v="2"/>
    <x v="4"/>
    <n v="9000"/>
    <n v="12"/>
    <n v="108000"/>
    <n v="47.58"/>
    <x v="2"/>
    <x v="1"/>
  </r>
  <r>
    <s v="CUST0100"/>
    <n v="0"/>
    <s v="Kunle Davis"/>
    <x v="2"/>
    <n v="67"/>
    <x v="4"/>
    <x v="3"/>
    <x v="1"/>
    <x v="0"/>
    <x v="3"/>
    <x v="3"/>
    <x v="0"/>
    <n v="2"/>
    <x v="7"/>
    <n v="3500"/>
    <n v="19"/>
    <n v="66500"/>
    <n v="76.88"/>
    <x v="2"/>
    <x v="1"/>
  </r>
  <r>
    <s v="CUST0101"/>
    <n v="1"/>
    <s v="Bola Brown"/>
    <x v="2"/>
    <n v="35"/>
    <x v="2"/>
    <x v="30"/>
    <x v="2"/>
    <x v="1"/>
    <x v="1"/>
    <x v="1"/>
    <x v="1"/>
    <n v="24"/>
    <x v="10"/>
    <n v="24000"/>
    <n v="4"/>
    <n v="96000"/>
    <n v="50.3"/>
    <x v="2"/>
    <x v="1"/>
  </r>
  <r>
    <s v="CUST0101"/>
    <n v="0"/>
    <s v="Bola Brown"/>
    <x v="2"/>
    <n v="35"/>
    <x v="2"/>
    <x v="30"/>
    <x v="1"/>
    <x v="1"/>
    <x v="1"/>
    <x v="1"/>
    <x v="1"/>
    <n v="24"/>
    <x v="9"/>
    <n v="16000"/>
    <n v="16"/>
    <n v="256000"/>
    <n v="147.27000000000001"/>
    <x v="2"/>
    <x v="1"/>
  </r>
  <r>
    <s v="CUST0101"/>
    <n v="0"/>
    <s v="Bola Brown"/>
    <x v="2"/>
    <n v="35"/>
    <x v="2"/>
    <x v="30"/>
    <x v="1"/>
    <x v="1"/>
    <x v="1"/>
    <x v="1"/>
    <x v="1"/>
    <n v="24"/>
    <x v="20"/>
    <n v="6500"/>
    <n v="18"/>
    <n v="117000"/>
    <n v="77.7"/>
    <x v="2"/>
    <x v="1"/>
  </r>
  <r>
    <s v="CUST0102"/>
    <n v="1"/>
    <s v="Ifeanyi Burns"/>
    <x v="1"/>
    <n v="49"/>
    <x v="3"/>
    <x v="22"/>
    <x v="1"/>
    <x v="1"/>
    <x v="4"/>
    <x v="4"/>
    <x v="1"/>
    <n v="14"/>
    <x v="19"/>
    <n v="600"/>
    <n v="15"/>
    <n v="9000"/>
    <n v="179.79"/>
    <x v="6"/>
    <x v="0"/>
  </r>
  <r>
    <s v="CUST0103"/>
    <n v="1"/>
    <s v="Chinedu Barrera"/>
    <x v="1"/>
    <n v="56"/>
    <x v="3"/>
    <x v="25"/>
    <x v="0"/>
    <x v="0"/>
    <x v="2"/>
    <x v="2"/>
    <x v="2"/>
    <n v="36"/>
    <x v="9"/>
    <n v="16000"/>
    <n v="5"/>
    <n v="80000"/>
    <n v="197.03"/>
    <x v="2"/>
    <x v="1"/>
  </r>
  <r>
    <s v="CUST0103"/>
    <n v="0"/>
    <s v="Chinedu Barrera"/>
    <x v="1"/>
    <n v="56"/>
    <x v="3"/>
    <x v="25"/>
    <x v="1"/>
    <x v="0"/>
    <x v="2"/>
    <x v="2"/>
    <x v="2"/>
    <n v="36"/>
    <x v="13"/>
    <n v="350"/>
    <n v="1"/>
    <n v="350"/>
    <n v="158.18"/>
    <x v="2"/>
    <x v="1"/>
  </r>
  <r>
    <s v="CUST0103"/>
    <n v="0"/>
    <s v="Chinedu Barrera"/>
    <x v="1"/>
    <n v="56"/>
    <x v="3"/>
    <x v="25"/>
    <x v="3"/>
    <x v="0"/>
    <x v="2"/>
    <x v="2"/>
    <x v="2"/>
    <n v="36"/>
    <x v="11"/>
    <n v="30000"/>
    <n v="12"/>
    <n v="360000"/>
    <n v="111.03"/>
    <x v="2"/>
    <x v="1"/>
  </r>
  <r>
    <s v="CUST0104"/>
    <n v="1"/>
    <s v="Zina Fischer"/>
    <x v="2"/>
    <n v="32"/>
    <x v="2"/>
    <x v="33"/>
    <x v="3"/>
    <x v="0"/>
    <x v="4"/>
    <x v="4"/>
    <x v="1"/>
    <n v="20"/>
    <x v="11"/>
    <n v="30000"/>
    <n v="15"/>
    <n v="450000"/>
    <n v="128.65"/>
    <x v="2"/>
    <x v="1"/>
  </r>
  <r>
    <s v="CUST0104"/>
    <n v="0"/>
    <s v="Zina Fischer"/>
    <x v="2"/>
    <n v="32"/>
    <x v="2"/>
    <x v="33"/>
    <x v="1"/>
    <x v="0"/>
    <x v="4"/>
    <x v="4"/>
    <x v="1"/>
    <n v="20"/>
    <x v="1"/>
    <n v="5500"/>
    <n v="12"/>
    <n v="66000"/>
    <n v="136.18"/>
    <x v="2"/>
    <x v="1"/>
  </r>
  <r>
    <s v="CUST0105"/>
    <n v="1"/>
    <s v="Amaka Garcia"/>
    <x v="0"/>
    <n v="39"/>
    <x v="2"/>
    <x v="21"/>
    <x v="1"/>
    <x v="1"/>
    <x v="1"/>
    <x v="1"/>
    <x v="2"/>
    <n v="33"/>
    <x v="6"/>
    <n v="9000"/>
    <n v="8"/>
    <n v="72000"/>
    <n v="186.98"/>
    <x v="2"/>
    <x v="1"/>
  </r>
  <r>
    <s v="CUST0105"/>
    <n v="0"/>
    <s v="Amaka Garcia"/>
    <x v="0"/>
    <n v="39"/>
    <x v="2"/>
    <x v="21"/>
    <x v="3"/>
    <x v="1"/>
    <x v="1"/>
    <x v="1"/>
    <x v="2"/>
    <n v="33"/>
    <x v="11"/>
    <n v="30000"/>
    <n v="17"/>
    <n v="510000"/>
    <n v="189.52"/>
    <x v="2"/>
    <x v="1"/>
  </r>
  <r>
    <s v="CUST0106"/>
    <n v="1"/>
    <s v="Abubakar Holmes"/>
    <x v="1"/>
    <n v="26"/>
    <x v="0"/>
    <x v="22"/>
    <x v="3"/>
    <x v="0"/>
    <x v="0"/>
    <x v="0"/>
    <x v="2"/>
    <n v="41"/>
    <x v="10"/>
    <n v="24000"/>
    <n v="5"/>
    <n v="120000"/>
    <n v="188.35"/>
    <x v="2"/>
    <x v="1"/>
  </r>
  <r>
    <s v="CUST0106"/>
    <n v="0"/>
    <s v="Abubakar Holmes"/>
    <x v="1"/>
    <n v="26"/>
    <x v="0"/>
    <x v="22"/>
    <x v="2"/>
    <x v="0"/>
    <x v="0"/>
    <x v="0"/>
    <x v="2"/>
    <n v="41"/>
    <x v="11"/>
    <n v="30000"/>
    <n v="20"/>
    <n v="600000"/>
    <n v="131.91999999999999"/>
    <x v="2"/>
    <x v="1"/>
  </r>
  <r>
    <s v="CUST0106"/>
    <n v="0"/>
    <s v="Abubakar Holmes"/>
    <x v="1"/>
    <n v="26"/>
    <x v="0"/>
    <x v="22"/>
    <x v="1"/>
    <x v="0"/>
    <x v="0"/>
    <x v="0"/>
    <x v="2"/>
    <n v="41"/>
    <x v="7"/>
    <n v="3500"/>
    <n v="19"/>
    <n v="66500"/>
    <n v="168.58"/>
    <x v="2"/>
    <x v="1"/>
  </r>
  <r>
    <s v="CUST0107"/>
    <n v="1"/>
    <s v="Bola Rogers"/>
    <x v="1"/>
    <n v="19"/>
    <x v="0"/>
    <x v="33"/>
    <x v="0"/>
    <x v="0"/>
    <x v="0"/>
    <x v="0"/>
    <x v="2"/>
    <n v="42"/>
    <x v="5"/>
    <n v="4500"/>
    <n v="10"/>
    <n v="45000"/>
    <n v="128.56"/>
    <x v="2"/>
    <x v="1"/>
  </r>
  <r>
    <s v="CUST0108"/>
    <n v="1"/>
    <s v="John Rose"/>
    <x v="0"/>
    <n v="47"/>
    <x v="3"/>
    <x v="10"/>
    <x v="1"/>
    <x v="1"/>
    <x v="1"/>
    <x v="1"/>
    <x v="2"/>
    <n v="30"/>
    <x v="7"/>
    <n v="3500"/>
    <n v="11"/>
    <n v="38500"/>
    <n v="121.53"/>
    <x v="5"/>
    <x v="0"/>
  </r>
  <r>
    <s v="CUST0108"/>
    <n v="0"/>
    <s v="John Rose"/>
    <x v="0"/>
    <n v="47"/>
    <x v="3"/>
    <x v="10"/>
    <x v="3"/>
    <x v="1"/>
    <x v="1"/>
    <x v="1"/>
    <x v="2"/>
    <n v="30"/>
    <x v="11"/>
    <n v="30000"/>
    <n v="12"/>
    <n v="360000"/>
    <n v="146.97"/>
    <x v="5"/>
    <x v="0"/>
  </r>
  <r>
    <s v="CUST0109"/>
    <n v="1"/>
    <s v="Tamuno Bates"/>
    <x v="2"/>
    <n v="32"/>
    <x v="2"/>
    <x v="3"/>
    <x v="1"/>
    <x v="0"/>
    <x v="4"/>
    <x v="4"/>
    <x v="1"/>
    <n v="21"/>
    <x v="9"/>
    <n v="16000"/>
    <n v="13"/>
    <n v="208000"/>
    <n v="10.6"/>
    <x v="5"/>
    <x v="0"/>
  </r>
  <r>
    <s v="CUST0110"/>
    <n v="1"/>
    <s v="Ibim Richards"/>
    <x v="1"/>
    <n v="47"/>
    <x v="3"/>
    <x v="1"/>
    <x v="1"/>
    <x v="1"/>
    <x v="0"/>
    <x v="0"/>
    <x v="2"/>
    <n v="60"/>
    <x v="3"/>
    <n v="500"/>
    <n v="3"/>
    <n v="1500"/>
    <n v="99.73"/>
    <x v="2"/>
    <x v="1"/>
  </r>
  <r>
    <s v="CUST0110"/>
    <n v="0"/>
    <s v="Ibim Richards"/>
    <x v="1"/>
    <n v="47"/>
    <x v="3"/>
    <x v="1"/>
    <x v="0"/>
    <x v="1"/>
    <x v="0"/>
    <x v="0"/>
    <x v="2"/>
    <n v="60"/>
    <x v="0"/>
    <n v="35000"/>
    <n v="8"/>
    <n v="280000"/>
    <n v="101.34"/>
    <x v="2"/>
    <x v="1"/>
  </r>
  <r>
    <s v="CUST0111"/>
    <n v="1"/>
    <s v="Fatima Blevins"/>
    <x v="2"/>
    <n v="61"/>
    <x v="4"/>
    <x v="4"/>
    <x v="1"/>
    <x v="0"/>
    <x v="3"/>
    <x v="3"/>
    <x v="1"/>
    <n v="19"/>
    <x v="14"/>
    <n v="1000"/>
    <n v="9"/>
    <n v="9000"/>
    <n v="86.47"/>
    <x v="2"/>
    <x v="1"/>
  </r>
  <r>
    <s v="CUST0111"/>
    <n v="0"/>
    <s v="Fatima Blevins"/>
    <x v="2"/>
    <n v="61"/>
    <x v="4"/>
    <x v="4"/>
    <x v="0"/>
    <x v="0"/>
    <x v="3"/>
    <x v="3"/>
    <x v="1"/>
    <n v="19"/>
    <x v="6"/>
    <n v="9000"/>
    <n v="12"/>
    <n v="108000"/>
    <n v="152.88999999999999"/>
    <x v="2"/>
    <x v="1"/>
  </r>
  <r>
    <s v="CUST0111"/>
    <n v="0"/>
    <s v="Fatima Blevins"/>
    <x v="2"/>
    <n v="61"/>
    <x v="4"/>
    <x v="4"/>
    <x v="3"/>
    <x v="0"/>
    <x v="3"/>
    <x v="3"/>
    <x v="1"/>
    <n v="19"/>
    <x v="4"/>
    <n v="9000"/>
    <n v="19"/>
    <n v="171000"/>
    <n v="80.42"/>
    <x v="2"/>
    <x v="1"/>
  </r>
  <r>
    <s v="CUST0112"/>
    <n v="1"/>
    <s v="Bala Smith"/>
    <x v="2"/>
    <n v="62"/>
    <x v="4"/>
    <x v="14"/>
    <x v="3"/>
    <x v="0"/>
    <x v="3"/>
    <x v="3"/>
    <x v="2"/>
    <n v="25"/>
    <x v="12"/>
    <n v="14500"/>
    <n v="11"/>
    <n v="159500"/>
    <n v="74.95"/>
    <x v="0"/>
    <x v="0"/>
  </r>
  <r>
    <s v="CUST0112"/>
    <n v="0"/>
    <s v="Bala Smith"/>
    <x v="2"/>
    <n v="62"/>
    <x v="4"/>
    <x v="14"/>
    <x v="1"/>
    <x v="0"/>
    <x v="3"/>
    <x v="3"/>
    <x v="2"/>
    <n v="25"/>
    <x v="20"/>
    <n v="6500"/>
    <n v="5"/>
    <n v="32500"/>
    <n v="187.82"/>
    <x v="0"/>
    <x v="0"/>
  </r>
  <r>
    <s v="CUST0112"/>
    <n v="0"/>
    <s v="Bala Smith"/>
    <x v="2"/>
    <n v="62"/>
    <x v="4"/>
    <x v="14"/>
    <x v="2"/>
    <x v="0"/>
    <x v="3"/>
    <x v="3"/>
    <x v="2"/>
    <n v="25"/>
    <x v="12"/>
    <n v="14500"/>
    <n v="13"/>
    <n v="188500"/>
    <n v="120.69"/>
    <x v="0"/>
    <x v="0"/>
  </r>
  <r>
    <s v="CUST0113"/>
    <n v="1"/>
    <s v="Michael Evans"/>
    <x v="1"/>
    <n v="21"/>
    <x v="0"/>
    <x v="19"/>
    <x v="0"/>
    <x v="0"/>
    <x v="4"/>
    <x v="4"/>
    <x v="3"/>
    <n v="9"/>
    <x v="6"/>
    <n v="9000"/>
    <n v="11"/>
    <n v="99000"/>
    <n v="186.31"/>
    <x v="2"/>
    <x v="1"/>
  </r>
  <r>
    <s v="CUST0114"/>
    <n v="1"/>
    <s v="Amina Todd"/>
    <x v="2"/>
    <n v="66"/>
    <x v="4"/>
    <x v="24"/>
    <x v="2"/>
    <x v="1"/>
    <x v="3"/>
    <x v="3"/>
    <x v="2"/>
    <n v="33"/>
    <x v="18"/>
    <n v="25000"/>
    <n v="14"/>
    <n v="350000"/>
    <n v="134.91999999999999"/>
    <x v="1"/>
    <x v="0"/>
  </r>
  <r>
    <s v="CUST0115"/>
    <n v="1"/>
    <s v="Maryam Smith"/>
    <x v="2"/>
    <n v="19"/>
    <x v="0"/>
    <x v="31"/>
    <x v="1"/>
    <x v="1"/>
    <x v="1"/>
    <x v="1"/>
    <x v="2"/>
    <n v="42"/>
    <x v="19"/>
    <n v="600"/>
    <n v="8"/>
    <n v="4800"/>
    <n v="164.42"/>
    <x v="2"/>
    <x v="1"/>
  </r>
  <r>
    <s v="CUST0116"/>
    <n v="1"/>
    <s v="Bola Garcia"/>
    <x v="1"/>
    <n v="30"/>
    <x v="2"/>
    <x v="18"/>
    <x v="1"/>
    <x v="0"/>
    <x v="4"/>
    <x v="4"/>
    <x v="2"/>
    <n v="29"/>
    <x v="20"/>
    <n v="6500"/>
    <n v="16"/>
    <n v="104000"/>
    <n v="155.11000000000001"/>
    <x v="7"/>
    <x v="0"/>
  </r>
  <r>
    <s v="CUST0117"/>
    <n v="1"/>
    <s v="Sade Collins"/>
    <x v="1"/>
    <n v="33"/>
    <x v="2"/>
    <x v="8"/>
    <x v="0"/>
    <x v="0"/>
    <x v="4"/>
    <x v="4"/>
    <x v="2"/>
    <n v="36"/>
    <x v="6"/>
    <n v="9000"/>
    <n v="9"/>
    <n v="81000"/>
    <n v="109.48"/>
    <x v="2"/>
    <x v="1"/>
  </r>
  <r>
    <s v="CUST0117"/>
    <n v="0"/>
    <s v="Sade Collins"/>
    <x v="1"/>
    <n v="33"/>
    <x v="2"/>
    <x v="8"/>
    <x v="1"/>
    <x v="0"/>
    <x v="4"/>
    <x v="4"/>
    <x v="2"/>
    <n v="36"/>
    <x v="1"/>
    <n v="5500"/>
    <n v="8"/>
    <n v="44000"/>
    <n v="38.86"/>
    <x v="2"/>
    <x v="1"/>
  </r>
  <r>
    <s v="CUST0118"/>
    <n v="1"/>
    <s v="Zainab Garcia"/>
    <x v="1"/>
    <n v="54"/>
    <x v="3"/>
    <x v="16"/>
    <x v="2"/>
    <x v="1"/>
    <x v="0"/>
    <x v="0"/>
    <x v="2"/>
    <n v="50"/>
    <x v="18"/>
    <n v="25000"/>
    <n v="9"/>
    <n v="225000"/>
    <n v="112.32"/>
    <x v="2"/>
    <x v="1"/>
  </r>
  <r>
    <s v="CUST0118"/>
    <n v="0"/>
    <s v="Zainab Garcia"/>
    <x v="1"/>
    <n v="54"/>
    <x v="3"/>
    <x v="16"/>
    <x v="0"/>
    <x v="1"/>
    <x v="0"/>
    <x v="0"/>
    <x v="2"/>
    <n v="50"/>
    <x v="6"/>
    <n v="9000"/>
    <n v="18"/>
    <n v="162000"/>
    <n v="24.81"/>
    <x v="2"/>
    <x v="1"/>
  </r>
  <r>
    <s v="CUST0119"/>
    <n v="1"/>
    <s v="Omamuzo Terry"/>
    <x v="0"/>
    <n v="66"/>
    <x v="4"/>
    <x v="25"/>
    <x v="2"/>
    <x v="0"/>
    <x v="2"/>
    <x v="2"/>
    <x v="1"/>
    <n v="19"/>
    <x v="8"/>
    <n v="150000"/>
    <n v="16"/>
    <n v="2400000"/>
    <n v="131.37"/>
    <x v="2"/>
    <x v="1"/>
  </r>
  <r>
    <s v="CUST0120"/>
    <n v="1"/>
    <s v="Fatima Lindsey"/>
    <x v="1"/>
    <n v="41"/>
    <x v="2"/>
    <x v="11"/>
    <x v="0"/>
    <x v="1"/>
    <x v="0"/>
    <x v="0"/>
    <x v="2"/>
    <n v="60"/>
    <x v="5"/>
    <n v="4500"/>
    <n v="2"/>
    <n v="9000"/>
    <n v="127.77"/>
    <x v="7"/>
    <x v="0"/>
  </r>
  <r>
    <s v="CUST0120"/>
    <n v="0"/>
    <s v="Fatima Lindsey"/>
    <x v="1"/>
    <n v="41"/>
    <x v="2"/>
    <x v="11"/>
    <x v="3"/>
    <x v="1"/>
    <x v="0"/>
    <x v="0"/>
    <x v="2"/>
    <n v="60"/>
    <x v="4"/>
    <n v="9000"/>
    <n v="16"/>
    <n v="144000"/>
    <n v="82.95"/>
    <x v="7"/>
    <x v="0"/>
  </r>
  <r>
    <s v="CUST0120"/>
    <n v="0"/>
    <s v="Fatima Lindsey"/>
    <x v="1"/>
    <n v="41"/>
    <x v="2"/>
    <x v="11"/>
    <x v="2"/>
    <x v="1"/>
    <x v="0"/>
    <x v="0"/>
    <x v="2"/>
    <n v="60"/>
    <x v="2"/>
    <n v="20000"/>
    <n v="5"/>
    <n v="100000"/>
    <n v="136.4"/>
    <x v="7"/>
    <x v="0"/>
  </r>
  <r>
    <s v="CUST0121"/>
    <n v="1"/>
    <s v="Tunde Smith"/>
    <x v="2"/>
    <n v="36"/>
    <x v="2"/>
    <x v="15"/>
    <x v="3"/>
    <x v="1"/>
    <x v="2"/>
    <x v="2"/>
    <x v="2"/>
    <n v="31"/>
    <x v="10"/>
    <n v="24000"/>
    <n v="2"/>
    <n v="48000"/>
    <n v="147.87"/>
    <x v="2"/>
    <x v="1"/>
  </r>
  <r>
    <s v="CUST0121"/>
    <n v="0"/>
    <s v="Tunde Smith"/>
    <x v="2"/>
    <n v="36"/>
    <x v="2"/>
    <x v="15"/>
    <x v="1"/>
    <x v="1"/>
    <x v="2"/>
    <x v="2"/>
    <x v="2"/>
    <n v="31"/>
    <x v="19"/>
    <n v="600"/>
    <n v="6"/>
    <n v="3600"/>
    <n v="83.87"/>
    <x v="2"/>
    <x v="1"/>
  </r>
  <r>
    <s v="CUST0121"/>
    <n v="0"/>
    <s v="Tunde Smith"/>
    <x v="2"/>
    <n v="36"/>
    <x v="2"/>
    <x v="15"/>
    <x v="2"/>
    <x v="1"/>
    <x v="2"/>
    <x v="2"/>
    <x v="2"/>
    <n v="31"/>
    <x v="4"/>
    <n v="9000"/>
    <n v="13"/>
    <n v="117000"/>
    <n v="199.44"/>
    <x v="2"/>
    <x v="1"/>
  </r>
  <r>
    <s v="CUST0122"/>
    <n v="1"/>
    <s v="Grace Fowler"/>
    <x v="1"/>
    <n v="39"/>
    <x v="2"/>
    <x v="14"/>
    <x v="2"/>
    <x v="0"/>
    <x v="3"/>
    <x v="3"/>
    <x v="0"/>
    <n v="1"/>
    <x v="8"/>
    <n v="150000"/>
    <n v="5"/>
    <n v="750000"/>
    <n v="177.91"/>
    <x v="2"/>
    <x v="1"/>
  </r>
  <r>
    <s v="CUST0122"/>
    <n v="0"/>
    <s v="Grace Fowler"/>
    <x v="1"/>
    <n v="39"/>
    <x v="2"/>
    <x v="14"/>
    <x v="0"/>
    <x v="0"/>
    <x v="3"/>
    <x v="3"/>
    <x v="0"/>
    <n v="1"/>
    <x v="0"/>
    <n v="35000"/>
    <n v="4"/>
    <n v="140000"/>
    <n v="54.93"/>
    <x v="2"/>
    <x v="1"/>
  </r>
  <r>
    <s v="CUST0123"/>
    <n v="1"/>
    <s v="Tega Chen"/>
    <x v="2"/>
    <n v="36"/>
    <x v="2"/>
    <x v="2"/>
    <x v="0"/>
    <x v="1"/>
    <x v="1"/>
    <x v="1"/>
    <x v="2"/>
    <n v="46"/>
    <x v="0"/>
    <n v="35000"/>
    <n v="17"/>
    <n v="595000"/>
    <n v="165.48"/>
    <x v="2"/>
    <x v="1"/>
  </r>
  <r>
    <s v="CUST0123"/>
    <n v="0"/>
    <s v="Tega Chen"/>
    <x v="2"/>
    <n v="36"/>
    <x v="2"/>
    <x v="2"/>
    <x v="3"/>
    <x v="1"/>
    <x v="1"/>
    <x v="1"/>
    <x v="2"/>
    <n v="46"/>
    <x v="11"/>
    <n v="30000"/>
    <n v="4"/>
    <n v="120000"/>
    <n v="17.8"/>
    <x v="2"/>
    <x v="1"/>
  </r>
  <r>
    <s v="CUST0124"/>
    <n v="1"/>
    <s v="Shehu Nguyen"/>
    <x v="2"/>
    <n v="33"/>
    <x v="2"/>
    <x v="31"/>
    <x v="2"/>
    <x v="1"/>
    <x v="1"/>
    <x v="1"/>
    <x v="2"/>
    <n v="60"/>
    <x v="10"/>
    <n v="24000"/>
    <n v="19"/>
    <n v="456000"/>
    <n v="116.7"/>
    <x v="6"/>
    <x v="0"/>
  </r>
  <r>
    <s v="CUST0124"/>
    <n v="0"/>
    <s v="Shehu Nguyen"/>
    <x v="2"/>
    <n v="33"/>
    <x v="2"/>
    <x v="31"/>
    <x v="0"/>
    <x v="1"/>
    <x v="1"/>
    <x v="1"/>
    <x v="2"/>
    <n v="60"/>
    <x v="9"/>
    <n v="16000"/>
    <n v="12"/>
    <n v="192000"/>
    <n v="52.68"/>
    <x v="6"/>
    <x v="0"/>
  </r>
  <r>
    <s v="CUST0125"/>
    <n v="1"/>
    <s v="Halima Aguilar"/>
    <x v="2"/>
    <n v="23"/>
    <x v="0"/>
    <x v="27"/>
    <x v="2"/>
    <x v="1"/>
    <x v="4"/>
    <x v="4"/>
    <x v="1"/>
    <n v="20"/>
    <x v="10"/>
    <n v="24000"/>
    <n v="8"/>
    <n v="192000"/>
    <n v="73.83"/>
    <x v="2"/>
    <x v="1"/>
  </r>
  <r>
    <s v="CUST0125"/>
    <n v="0"/>
    <s v="Halima Aguilar"/>
    <x v="2"/>
    <n v="23"/>
    <x v="0"/>
    <x v="27"/>
    <x v="1"/>
    <x v="1"/>
    <x v="4"/>
    <x v="4"/>
    <x v="1"/>
    <n v="20"/>
    <x v="13"/>
    <n v="350"/>
    <n v="16"/>
    <n v="5600"/>
    <n v="191.49"/>
    <x v="2"/>
    <x v="1"/>
  </r>
  <r>
    <s v="CUST0125"/>
    <n v="0"/>
    <s v="Halima Aguilar"/>
    <x v="2"/>
    <n v="23"/>
    <x v="0"/>
    <x v="27"/>
    <x v="3"/>
    <x v="1"/>
    <x v="4"/>
    <x v="4"/>
    <x v="1"/>
    <n v="20"/>
    <x v="2"/>
    <n v="20000"/>
    <n v="20"/>
    <n v="400000"/>
    <n v="91.27"/>
    <x v="2"/>
    <x v="1"/>
  </r>
  <r>
    <s v="CUST0126"/>
    <n v="1"/>
    <s v="Ejiro Ware"/>
    <x v="2"/>
    <n v="69"/>
    <x v="4"/>
    <x v="31"/>
    <x v="1"/>
    <x v="0"/>
    <x v="3"/>
    <x v="3"/>
    <x v="2"/>
    <n v="49"/>
    <x v="20"/>
    <n v="6500"/>
    <n v="3"/>
    <n v="19500"/>
    <n v="140.9"/>
    <x v="2"/>
    <x v="1"/>
  </r>
  <r>
    <s v="CUST0127"/>
    <n v="1"/>
    <s v="Ifeanyi Clayton"/>
    <x v="2"/>
    <n v="23"/>
    <x v="0"/>
    <x v="28"/>
    <x v="1"/>
    <x v="0"/>
    <x v="0"/>
    <x v="0"/>
    <x v="2"/>
    <n v="37"/>
    <x v="1"/>
    <n v="5500"/>
    <n v="17"/>
    <n v="93500"/>
    <n v="18.64"/>
    <x v="2"/>
    <x v="1"/>
  </r>
  <r>
    <s v="CUST0127"/>
    <n v="0"/>
    <s v="Ifeanyi Clayton"/>
    <x v="2"/>
    <n v="23"/>
    <x v="0"/>
    <x v="28"/>
    <x v="3"/>
    <x v="0"/>
    <x v="0"/>
    <x v="0"/>
    <x v="2"/>
    <n v="37"/>
    <x v="12"/>
    <n v="14500"/>
    <n v="15"/>
    <n v="217500"/>
    <n v="161.83000000000001"/>
    <x v="2"/>
    <x v="1"/>
  </r>
  <r>
    <s v="CUST0127"/>
    <n v="0"/>
    <s v="Ifeanyi Clayton"/>
    <x v="2"/>
    <n v="23"/>
    <x v="0"/>
    <x v="28"/>
    <x v="2"/>
    <x v="0"/>
    <x v="0"/>
    <x v="0"/>
    <x v="2"/>
    <n v="37"/>
    <x v="11"/>
    <n v="30000"/>
    <n v="15"/>
    <n v="450000"/>
    <n v="102.89"/>
    <x v="2"/>
    <x v="1"/>
  </r>
  <r>
    <s v="CUST0128"/>
    <n v="1"/>
    <s v="Sade Berry"/>
    <x v="1"/>
    <n v="75"/>
    <x v="4"/>
    <x v="24"/>
    <x v="3"/>
    <x v="0"/>
    <x v="1"/>
    <x v="1"/>
    <x v="2"/>
    <n v="26"/>
    <x v="11"/>
    <n v="30000"/>
    <n v="18"/>
    <n v="540000"/>
    <n v="140.22999999999999"/>
    <x v="2"/>
    <x v="1"/>
  </r>
  <r>
    <s v="CUST0128"/>
    <n v="0"/>
    <s v="Sade Berry"/>
    <x v="1"/>
    <n v="75"/>
    <x v="4"/>
    <x v="24"/>
    <x v="1"/>
    <x v="0"/>
    <x v="1"/>
    <x v="1"/>
    <x v="2"/>
    <n v="26"/>
    <x v="16"/>
    <n v="900"/>
    <n v="3"/>
    <n v="2700"/>
    <n v="186.95"/>
    <x v="2"/>
    <x v="1"/>
  </r>
  <r>
    <s v="CUST0128"/>
    <n v="0"/>
    <s v="Sade Berry"/>
    <x v="1"/>
    <n v="75"/>
    <x v="4"/>
    <x v="24"/>
    <x v="1"/>
    <x v="0"/>
    <x v="1"/>
    <x v="1"/>
    <x v="2"/>
    <n v="26"/>
    <x v="0"/>
    <n v="35000"/>
    <n v="14"/>
    <n v="490000"/>
    <n v="6.83"/>
    <x v="2"/>
    <x v="1"/>
  </r>
  <r>
    <s v="CUST0129"/>
    <n v="1"/>
    <s v="Shehu Lee"/>
    <x v="2"/>
    <n v="33"/>
    <x v="2"/>
    <x v="15"/>
    <x v="1"/>
    <x v="1"/>
    <x v="4"/>
    <x v="4"/>
    <x v="2"/>
    <n v="58"/>
    <x v="20"/>
    <n v="6500"/>
    <n v="12"/>
    <n v="78000"/>
    <n v="27.03"/>
    <x v="2"/>
    <x v="1"/>
  </r>
  <r>
    <s v="CUST0129"/>
    <n v="0"/>
    <s v="Shehu Lee"/>
    <x v="2"/>
    <n v="33"/>
    <x v="2"/>
    <x v="15"/>
    <x v="3"/>
    <x v="1"/>
    <x v="4"/>
    <x v="4"/>
    <x v="2"/>
    <n v="58"/>
    <x v="4"/>
    <n v="9000"/>
    <n v="18"/>
    <n v="162000"/>
    <n v="36.11"/>
    <x v="2"/>
    <x v="1"/>
  </r>
  <r>
    <s v="CUST0130"/>
    <n v="1"/>
    <s v="Tamuno Greer"/>
    <x v="0"/>
    <n v="32"/>
    <x v="2"/>
    <x v="16"/>
    <x v="1"/>
    <x v="0"/>
    <x v="2"/>
    <x v="2"/>
    <x v="2"/>
    <n v="49"/>
    <x v="13"/>
    <n v="350"/>
    <n v="12"/>
    <n v="4200"/>
    <n v="49.88"/>
    <x v="2"/>
    <x v="1"/>
  </r>
  <r>
    <s v="CUST0130"/>
    <n v="0"/>
    <s v="Tamuno Greer"/>
    <x v="0"/>
    <n v="32"/>
    <x v="2"/>
    <x v="16"/>
    <x v="2"/>
    <x v="0"/>
    <x v="2"/>
    <x v="2"/>
    <x v="2"/>
    <n v="49"/>
    <x v="11"/>
    <n v="30000"/>
    <n v="4"/>
    <n v="120000"/>
    <n v="55.49"/>
    <x v="2"/>
    <x v="1"/>
  </r>
  <r>
    <s v="CUST0130"/>
    <n v="0"/>
    <s v="Tamuno Greer"/>
    <x v="0"/>
    <n v="32"/>
    <x v="2"/>
    <x v="16"/>
    <x v="0"/>
    <x v="0"/>
    <x v="2"/>
    <x v="2"/>
    <x v="2"/>
    <n v="49"/>
    <x v="9"/>
    <n v="16000"/>
    <n v="14"/>
    <n v="224000"/>
    <n v="161.99"/>
    <x v="2"/>
    <x v="1"/>
  </r>
  <r>
    <s v="CUST0131"/>
    <n v="1"/>
    <s v="Funke Hart"/>
    <x v="0"/>
    <n v="46"/>
    <x v="3"/>
    <x v="9"/>
    <x v="3"/>
    <x v="0"/>
    <x v="4"/>
    <x v="4"/>
    <x v="3"/>
    <n v="7"/>
    <x v="12"/>
    <n v="14500"/>
    <n v="18"/>
    <n v="261000"/>
    <n v="88.07"/>
    <x v="2"/>
    <x v="1"/>
  </r>
  <r>
    <s v="CUST0131"/>
    <n v="0"/>
    <s v="Funke Hart"/>
    <x v="0"/>
    <n v="46"/>
    <x v="3"/>
    <x v="9"/>
    <x v="1"/>
    <x v="0"/>
    <x v="4"/>
    <x v="4"/>
    <x v="3"/>
    <n v="7"/>
    <x v="13"/>
    <n v="350"/>
    <n v="2"/>
    <n v="700"/>
    <n v="151"/>
    <x v="2"/>
    <x v="1"/>
  </r>
  <r>
    <s v="CUST0131"/>
    <n v="0"/>
    <s v="Funke Hart"/>
    <x v="0"/>
    <n v="46"/>
    <x v="3"/>
    <x v="9"/>
    <x v="2"/>
    <x v="0"/>
    <x v="4"/>
    <x v="4"/>
    <x v="3"/>
    <n v="7"/>
    <x v="11"/>
    <n v="30000"/>
    <n v="10"/>
    <n v="300000"/>
    <n v="101.03"/>
    <x v="2"/>
    <x v="1"/>
  </r>
  <r>
    <s v="CUST0132"/>
    <n v="1"/>
    <s v="Nura Yang"/>
    <x v="2"/>
    <n v="56"/>
    <x v="3"/>
    <x v="32"/>
    <x v="3"/>
    <x v="0"/>
    <x v="3"/>
    <x v="3"/>
    <x v="1"/>
    <n v="20"/>
    <x v="10"/>
    <n v="24000"/>
    <n v="6"/>
    <n v="144000"/>
    <n v="176"/>
    <x v="4"/>
    <x v="0"/>
  </r>
  <r>
    <s v="CUST0132"/>
    <n v="0"/>
    <s v="Nura Yang"/>
    <x v="2"/>
    <n v="56"/>
    <x v="3"/>
    <x v="32"/>
    <x v="2"/>
    <x v="0"/>
    <x v="3"/>
    <x v="3"/>
    <x v="1"/>
    <n v="20"/>
    <x v="17"/>
    <n v="75000"/>
    <n v="2"/>
    <n v="150000"/>
    <n v="111.39"/>
    <x v="4"/>
    <x v="0"/>
  </r>
  <r>
    <s v="CUST0133"/>
    <n v="1"/>
    <s v="Oghene Cooper"/>
    <x v="2"/>
    <n v="64"/>
    <x v="4"/>
    <x v="8"/>
    <x v="1"/>
    <x v="1"/>
    <x v="4"/>
    <x v="4"/>
    <x v="2"/>
    <n v="45"/>
    <x v="13"/>
    <n v="350"/>
    <n v="10"/>
    <n v="3500"/>
    <n v="169.94"/>
    <x v="5"/>
    <x v="0"/>
  </r>
  <r>
    <s v="CUST0134"/>
    <n v="1"/>
    <s v="Obinna Branch"/>
    <x v="2"/>
    <n v="75"/>
    <x v="4"/>
    <x v="4"/>
    <x v="3"/>
    <x v="1"/>
    <x v="4"/>
    <x v="4"/>
    <x v="2"/>
    <n v="27"/>
    <x v="11"/>
    <n v="30000"/>
    <n v="7"/>
    <n v="210000"/>
    <n v="18.95"/>
    <x v="6"/>
    <x v="0"/>
  </r>
  <r>
    <s v="CUST0134"/>
    <n v="0"/>
    <s v="Obinna Branch"/>
    <x v="2"/>
    <n v="75"/>
    <x v="4"/>
    <x v="4"/>
    <x v="0"/>
    <x v="1"/>
    <x v="4"/>
    <x v="4"/>
    <x v="2"/>
    <n v="27"/>
    <x v="9"/>
    <n v="16000"/>
    <n v="20"/>
    <n v="320000"/>
    <n v="54.06"/>
    <x v="6"/>
    <x v="0"/>
  </r>
  <r>
    <s v="CUST0135"/>
    <n v="1"/>
    <s v="Bola Anderson"/>
    <x v="2"/>
    <n v="25"/>
    <x v="0"/>
    <x v="18"/>
    <x v="1"/>
    <x v="0"/>
    <x v="2"/>
    <x v="2"/>
    <x v="2"/>
    <n v="31"/>
    <x v="5"/>
    <n v="4500"/>
    <n v="4"/>
    <n v="18000"/>
    <n v="192.43"/>
    <x v="2"/>
    <x v="1"/>
  </r>
  <r>
    <s v="CUST0136"/>
    <n v="1"/>
    <s v="John Hill"/>
    <x v="2"/>
    <n v="47"/>
    <x v="3"/>
    <x v="9"/>
    <x v="1"/>
    <x v="1"/>
    <x v="3"/>
    <x v="3"/>
    <x v="2"/>
    <n v="59"/>
    <x v="20"/>
    <n v="6500"/>
    <n v="10"/>
    <n v="65000"/>
    <n v="129.91999999999999"/>
    <x v="2"/>
    <x v="1"/>
  </r>
  <r>
    <s v="CUST0136"/>
    <n v="0"/>
    <s v="John Hill"/>
    <x v="2"/>
    <n v="47"/>
    <x v="3"/>
    <x v="9"/>
    <x v="0"/>
    <x v="1"/>
    <x v="3"/>
    <x v="3"/>
    <x v="2"/>
    <n v="59"/>
    <x v="6"/>
    <n v="9000"/>
    <n v="16"/>
    <n v="144000"/>
    <n v="72.25"/>
    <x v="2"/>
    <x v="1"/>
  </r>
  <r>
    <s v="CUST0137"/>
    <n v="1"/>
    <s v="Zina Singh"/>
    <x v="2"/>
    <n v="28"/>
    <x v="0"/>
    <x v="31"/>
    <x v="0"/>
    <x v="1"/>
    <x v="2"/>
    <x v="2"/>
    <x v="2"/>
    <n v="59"/>
    <x v="5"/>
    <n v="4500"/>
    <n v="18"/>
    <n v="81000"/>
    <n v="3.74"/>
    <x v="2"/>
    <x v="1"/>
  </r>
  <r>
    <s v="CUST0138"/>
    <n v="1"/>
    <s v="Ibim Brown"/>
    <x v="2"/>
    <n v="53"/>
    <x v="3"/>
    <x v="5"/>
    <x v="1"/>
    <x v="0"/>
    <x v="4"/>
    <x v="4"/>
    <x v="1"/>
    <n v="22"/>
    <x v="20"/>
    <n v="6500"/>
    <n v="11"/>
    <n v="71500"/>
    <n v="131.09"/>
    <x v="2"/>
    <x v="1"/>
  </r>
  <r>
    <s v="CUST0139"/>
    <n v="1"/>
    <s v="Saidu Holt"/>
    <x v="1"/>
    <n v="78"/>
    <x v="4"/>
    <x v="12"/>
    <x v="0"/>
    <x v="1"/>
    <x v="0"/>
    <x v="0"/>
    <x v="3"/>
    <n v="11"/>
    <x v="9"/>
    <n v="16000"/>
    <n v="3"/>
    <n v="48000"/>
    <n v="105.03"/>
    <x v="0"/>
    <x v="0"/>
  </r>
  <r>
    <s v="CUST0139"/>
    <n v="0"/>
    <s v="Saidu Holt"/>
    <x v="1"/>
    <n v="78"/>
    <x v="4"/>
    <x v="12"/>
    <x v="2"/>
    <x v="1"/>
    <x v="0"/>
    <x v="0"/>
    <x v="3"/>
    <n v="11"/>
    <x v="4"/>
    <n v="9000"/>
    <n v="14"/>
    <n v="126000"/>
    <n v="152.99"/>
    <x v="0"/>
    <x v="0"/>
  </r>
  <r>
    <s v="CUST0140"/>
    <n v="1"/>
    <s v="Amaka Vang"/>
    <x v="2"/>
    <n v="45"/>
    <x v="3"/>
    <x v="23"/>
    <x v="1"/>
    <x v="0"/>
    <x v="3"/>
    <x v="3"/>
    <x v="0"/>
    <n v="1"/>
    <x v="1"/>
    <n v="5500"/>
    <n v="18"/>
    <n v="99000"/>
    <n v="3.64"/>
    <x v="2"/>
    <x v="1"/>
  </r>
  <r>
    <s v="CUST0141"/>
    <n v="1"/>
    <s v="Ibim Faulkner"/>
    <x v="1"/>
    <n v="17"/>
    <x v="1"/>
    <x v="17"/>
    <x v="1"/>
    <x v="1"/>
    <x v="1"/>
    <x v="1"/>
    <x v="2"/>
    <n v="35"/>
    <x v="14"/>
    <n v="1000"/>
    <n v="8"/>
    <n v="8000"/>
    <n v="105.11"/>
    <x v="2"/>
    <x v="1"/>
  </r>
  <r>
    <s v="CUST0142"/>
    <n v="1"/>
    <s v="Bala Hood"/>
    <x v="2"/>
    <n v="48"/>
    <x v="3"/>
    <x v="25"/>
    <x v="1"/>
    <x v="1"/>
    <x v="1"/>
    <x v="1"/>
    <x v="2"/>
    <n v="51"/>
    <x v="13"/>
    <n v="350"/>
    <n v="8"/>
    <n v="2800"/>
    <n v="198.05"/>
    <x v="2"/>
    <x v="1"/>
  </r>
  <r>
    <s v="CUST0142"/>
    <n v="0"/>
    <s v="Bala Hood"/>
    <x v="2"/>
    <n v="48"/>
    <x v="3"/>
    <x v="25"/>
    <x v="2"/>
    <x v="1"/>
    <x v="1"/>
    <x v="1"/>
    <x v="2"/>
    <n v="51"/>
    <x v="10"/>
    <n v="24000"/>
    <n v="3"/>
    <n v="72000"/>
    <n v="136.97"/>
    <x v="2"/>
    <x v="1"/>
  </r>
  <r>
    <s v="CUST0143"/>
    <n v="1"/>
    <s v="Bola Brooks"/>
    <x v="2"/>
    <n v="27"/>
    <x v="0"/>
    <x v="10"/>
    <x v="1"/>
    <x v="1"/>
    <x v="1"/>
    <x v="1"/>
    <x v="2"/>
    <n v="25"/>
    <x v="0"/>
    <n v="35000"/>
    <n v="11"/>
    <n v="385000"/>
    <n v="129.16"/>
    <x v="2"/>
    <x v="1"/>
  </r>
  <r>
    <s v="CUST0143"/>
    <n v="0"/>
    <s v="Bola Brooks"/>
    <x v="2"/>
    <n v="27"/>
    <x v="0"/>
    <x v="10"/>
    <x v="3"/>
    <x v="1"/>
    <x v="1"/>
    <x v="1"/>
    <x v="2"/>
    <n v="25"/>
    <x v="10"/>
    <n v="24000"/>
    <n v="4"/>
    <n v="96000"/>
    <n v="195.48"/>
    <x v="2"/>
    <x v="1"/>
  </r>
  <r>
    <s v="CUST0143"/>
    <n v="0"/>
    <s v="Bola Brooks"/>
    <x v="2"/>
    <n v="27"/>
    <x v="0"/>
    <x v="10"/>
    <x v="1"/>
    <x v="1"/>
    <x v="1"/>
    <x v="1"/>
    <x v="2"/>
    <n v="25"/>
    <x v="20"/>
    <n v="6500"/>
    <n v="8"/>
    <n v="52000"/>
    <n v="183.87"/>
    <x v="2"/>
    <x v="1"/>
  </r>
  <r>
    <s v="CUST0144"/>
    <n v="1"/>
    <s v="Fatima Wheeler"/>
    <x v="0"/>
    <n v="76"/>
    <x v="4"/>
    <x v="29"/>
    <x v="3"/>
    <x v="0"/>
    <x v="2"/>
    <x v="2"/>
    <x v="2"/>
    <n v="60"/>
    <x v="4"/>
    <n v="9000"/>
    <n v="19"/>
    <n v="171000"/>
    <n v="192.31"/>
    <x v="2"/>
    <x v="1"/>
  </r>
  <r>
    <s v="CUST0144"/>
    <n v="0"/>
    <s v="Fatima Wheeler"/>
    <x v="0"/>
    <n v="76"/>
    <x v="4"/>
    <x v="29"/>
    <x v="1"/>
    <x v="0"/>
    <x v="2"/>
    <x v="2"/>
    <x v="2"/>
    <n v="60"/>
    <x v="19"/>
    <n v="600"/>
    <n v="13"/>
    <n v="7800"/>
    <n v="150.57"/>
    <x v="2"/>
    <x v="1"/>
  </r>
  <r>
    <s v="CUST0144"/>
    <n v="0"/>
    <s v="Fatima Wheeler"/>
    <x v="0"/>
    <n v="76"/>
    <x v="4"/>
    <x v="29"/>
    <x v="0"/>
    <x v="0"/>
    <x v="2"/>
    <x v="2"/>
    <x v="2"/>
    <n v="60"/>
    <x v="9"/>
    <n v="16000"/>
    <n v="19"/>
    <n v="304000"/>
    <n v="60.21"/>
    <x v="2"/>
    <x v="1"/>
  </r>
  <r>
    <s v="CUST0145"/>
    <n v="1"/>
    <s v="Halima Valencia"/>
    <x v="2"/>
    <n v="65"/>
    <x v="4"/>
    <x v="11"/>
    <x v="3"/>
    <x v="1"/>
    <x v="1"/>
    <x v="1"/>
    <x v="2"/>
    <n v="25"/>
    <x v="12"/>
    <n v="14500"/>
    <n v="3"/>
    <n v="43500"/>
    <n v="46.81"/>
    <x v="2"/>
    <x v="1"/>
  </r>
  <r>
    <s v="CUST0145"/>
    <n v="0"/>
    <s v="Halima Valencia"/>
    <x v="2"/>
    <n v="65"/>
    <x v="4"/>
    <x v="11"/>
    <x v="1"/>
    <x v="1"/>
    <x v="1"/>
    <x v="1"/>
    <x v="2"/>
    <n v="25"/>
    <x v="7"/>
    <n v="3500"/>
    <n v="20"/>
    <n v="70000"/>
    <n v="121.23"/>
    <x v="2"/>
    <x v="1"/>
  </r>
  <r>
    <s v="CUST0146"/>
    <n v="1"/>
    <s v="Tamuno Boyd"/>
    <x v="2"/>
    <n v="57"/>
    <x v="3"/>
    <x v="17"/>
    <x v="1"/>
    <x v="1"/>
    <x v="4"/>
    <x v="4"/>
    <x v="2"/>
    <n v="51"/>
    <x v="15"/>
    <n v="7500"/>
    <n v="20"/>
    <n v="150000"/>
    <n v="17.600000000000001"/>
    <x v="0"/>
    <x v="0"/>
  </r>
  <r>
    <s v="CUST0146"/>
    <n v="0"/>
    <s v="Tamuno Boyd"/>
    <x v="2"/>
    <n v="57"/>
    <x v="3"/>
    <x v="17"/>
    <x v="3"/>
    <x v="1"/>
    <x v="4"/>
    <x v="4"/>
    <x v="2"/>
    <n v="51"/>
    <x v="11"/>
    <n v="30000"/>
    <n v="3"/>
    <n v="90000"/>
    <n v="159.71"/>
    <x v="0"/>
    <x v="0"/>
  </r>
  <r>
    <s v="CUST0147"/>
    <n v="1"/>
    <s v="Chinedu Martinez"/>
    <x v="2"/>
    <n v="50"/>
    <x v="3"/>
    <x v="5"/>
    <x v="3"/>
    <x v="1"/>
    <x v="4"/>
    <x v="4"/>
    <x v="2"/>
    <n v="46"/>
    <x v="4"/>
    <n v="9000"/>
    <n v="15"/>
    <n v="135000"/>
    <n v="188.62"/>
    <x v="2"/>
    <x v="1"/>
  </r>
  <r>
    <s v="CUST0148"/>
    <n v="1"/>
    <s v="Ejiro Finley"/>
    <x v="2"/>
    <n v="50"/>
    <x v="3"/>
    <x v="13"/>
    <x v="1"/>
    <x v="0"/>
    <x v="4"/>
    <x v="4"/>
    <x v="0"/>
    <n v="6"/>
    <x v="14"/>
    <n v="1000"/>
    <n v="3"/>
    <n v="3000"/>
    <n v="71.11"/>
    <x v="2"/>
    <x v="1"/>
  </r>
  <r>
    <s v="CUST0148"/>
    <n v="0"/>
    <s v="Ejiro Finley"/>
    <x v="2"/>
    <n v="50"/>
    <x v="3"/>
    <x v="13"/>
    <x v="3"/>
    <x v="0"/>
    <x v="4"/>
    <x v="4"/>
    <x v="0"/>
    <n v="6"/>
    <x v="10"/>
    <n v="24000"/>
    <n v="11"/>
    <n v="264000"/>
    <n v="119.81"/>
    <x v="2"/>
    <x v="1"/>
  </r>
  <r>
    <s v="CUST0148"/>
    <n v="0"/>
    <s v="Ejiro Finley"/>
    <x v="2"/>
    <n v="50"/>
    <x v="3"/>
    <x v="13"/>
    <x v="2"/>
    <x v="0"/>
    <x v="4"/>
    <x v="4"/>
    <x v="0"/>
    <n v="6"/>
    <x v="17"/>
    <n v="75000"/>
    <n v="14"/>
    <n v="1050000"/>
    <n v="2.96"/>
    <x v="2"/>
    <x v="1"/>
  </r>
  <r>
    <s v="CUST0149"/>
    <n v="1"/>
    <s v="Omamuzo Levine"/>
    <x v="2"/>
    <n v="26"/>
    <x v="0"/>
    <x v="7"/>
    <x v="1"/>
    <x v="0"/>
    <x v="0"/>
    <x v="0"/>
    <x v="2"/>
    <n v="44"/>
    <x v="14"/>
    <n v="1000"/>
    <n v="9"/>
    <n v="9000"/>
    <n v="33.86"/>
    <x v="4"/>
    <x v="0"/>
  </r>
  <r>
    <s v="CUST0149"/>
    <n v="0"/>
    <s v="Omamuzo Levine"/>
    <x v="2"/>
    <n v="26"/>
    <x v="0"/>
    <x v="7"/>
    <x v="3"/>
    <x v="0"/>
    <x v="0"/>
    <x v="0"/>
    <x v="2"/>
    <n v="44"/>
    <x v="12"/>
    <n v="14500"/>
    <n v="3"/>
    <n v="43500"/>
    <n v="60.3"/>
    <x v="4"/>
    <x v="0"/>
  </r>
  <r>
    <s v="CUST0150"/>
    <n v="1"/>
    <s v="Ejiro Roman"/>
    <x v="2"/>
    <n v="48"/>
    <x v="3"/>
    <x v="7"/>
    <x v="1"/>
    <x v="1"/>
    <x v="4"/>
    <x v="4"/>
    <x v="2"/>
    <n v="39"/>
    <x v="7"/>
    <n v="3500"/>
    <n v="13"/>
    <n v="45500"/>
    <n v="168.4"/>
    <x v="4"/>
    <x v="0"/>
  </r>
  <r>
    <s v="CUST0151"/>
    <n v="1"/>
    <s v="Tega Mendez"/>
    <x v="2"/>
    <n v="72"/>
    <x v="4"/>
    <x v="26"/>
    <x v="0"/>
    <x v="1"/>
    <x v="2"/>
    <x v="2"/>
    <x v="2"/>
    <n v="53"/>
    <x v="5"/>
    <n v="4500"/>
    <n v="11"/>
    <n v="49500"/>
    <n v="192.93"/>
    <x v="2"/>
    <x v="1"/>
  </r>
  <r>
    <s v="CUST0151"/>
    <n v="0"/>
    <s v="Tega Mendez"/>
    <x v="2"/>
    <n v="72"/>
    <x v="4"/>
    <x v="26"/>
    <x v="1"/>
    <x v="1"/>
    <x v="2"/>
    <x v="2"/>
    <x v="2"/>
    <n v="53"/>
    <x v="3"/>
    <n v="500"/>
    <n v="16"/>
    <n v="8000"/>
    <n v="147.11000000000001"/>
    <x v="2"/>
    <x v="1"/>
  </r>
  <r>
    <s v="CUST0151"/>
    <n v="0"/>
    <s v="Tega Mendez"/>
    <x v="2"/>
    <n v="72"/>
    <x v="4"/>
    <x v="26"/>
    <x v="2"/>
    <x v="1"/>
    <x v="2"/>
    <x v="2"/>
    <x v="2"/>
    <n v="53"/>
    <x v="12"/>
    <n v="14500"/>
    <n v="9"/>
    <n v="130500"/>
    <n v="65.510000000000005"/>
    <x v="2"/>
    <x v="1"/>
  </r>
  <r>
    <s v="CUST0152"/>
    <n v="1"/>
    <s v="Tamuno Yang"/>
    <x v="2"/>
    <n v="62"/>
    <x v="4"/>
    <x v="27"/>
    <x v="0"/>
    <x v="0"/>
    <x v="3"/>
    <x v="3"/>
    <x v="2"/>
    <n v="38"/>
    <x v="6"/>
    <n v="9000"/>
    <n v="3"/>
    <n v="27000"/>
    <n v="166.34"/>
    <x v="7"/>
    <x v="0"/>
  </r>
  <r>
    <s v="CUST0152"/>
    <n v="0"/>
    <s v="Tamuno Yang"/>
    <x v="2"/>
    <n v="62"/>
    <x v="4"/>
    <x v="27"/>
    <x v="1"/>
    <x v="0"/>
    <x v="3"/>
    <x v="3"/>
    <x v="2"/>
    <n v="38"/>
    <x v="15"/>
    <n v="7500"/>
    <n v="5"/>
    <n v="37500"/>
    <n v="134.76"/>
    <x v="7"/>
    <x v="0"/>
  </r>
  <r>
    <s v="CUST0153"/>
    <n v="1"/>
    <s v="Maryam Williams"/>
    <x v="2"/>
    <n v="46"/>
    <x v="3"/>
    <x v="22"/>
    <x v="1"/>
    <x v="0"/>
    <x v="4"/>
    <x v="4"/>
    <x v="2"/>
    <n v="46"/>
    <x v="20"/>
    <n v="6500"/>
    <n v="14"/>
    <n v="91000"/>
    <n v="184.74"/>
    <x v="0"/>
    <x v="0"/>
  </r>
  <r>
    <s v="CUST0153"/>
    <n v="0"/>
    <s v="Maryam Williams"/>
    <x v="2"/>
    <n v="46"/>
    <x v="3"/>
    <x v="22"/>
    <x v="2"/>
    <x v="0"/>
    <x v="4"/>
    <x v="4"/>
    <x v="2"/>
    <n v="46"/>
    <x v="4"/>
    <n v="9000"/>
    <n v="12"/>
    <n v="108000"/>
    <n v="158.25"/>
    <x v="0"/>
    <x v="0"/>
  </r>
  <r>
    <s v="CUST0154"/>
    <n v="1"/>
    <s v="David Miller"/>
    <x v="1"/>
    <n v="26"/>
    <x v="0"/>
    <x v="13"/>
    <x v="1"/>
    <x v="0"/>
    <x v="0"/>
    <x v="0"/>
    <x v="2"/>
    <n v="43"/>
    <x v="7"/>
    <n v="3500"/>
    <n v="14"/>
    <n v="49000"/>
    <n v="193.16"/>
    <x v="2"/>
    <x v="1"/>
  </r>
  <r>
    <s v="CUST0155"/>
    <n v="1"/>
    <s v="Ngozi Fowler"/>
    <x v="2"/>
    <n v="17"/>
    <x v="1"/>
    <x v="13"/>
    <x v="0"/>
    <x v="1"/>
    <x v="4"/>
    <x v="4"/>
    <x v="1"/>
    <n v="15"/>
    <x v="5"/>
    <n v="4500"/>
    <n v="10"/>
    <n v="45000"/>
    <n v="96.81"/>
    <x v="2"/>
    <x v="1"/>
  </r>
  <r>
    <s v="CUST0155"/>
    <n v="0"/>
    <s v="Ngozi Fowler"/>
    <x v="2"/>
    <n v="17"/>
    <x v="1"/>
    <x v="13"/>
    <x v="1"/>
    <x v="1"/>
    <x v="4"/>
    <x v="4"/>
    <x v="1"/>
    <n v="15"/>
    <x v="1"/>
    <n v="5500"/>
    <n v="3"/>
    <n v="16500"/>
    <n v="184.15"/>
    <x v="2"/>
    <x v="1"/>
  </r>
  <r>
    <s v="CUST0156"/>
    <n v="1"/>
    <s v="Ifeanyi Garcia"/>
    <x v="2"/>
    <n v="34"/>
    <x v="2"/>
    <x v="25"/>
    <x v="1"/>
    <x v="1"/>
    <x v="0"/>
    <x v="0"/>
    <x v="1"/>
    <n v="22"/>
    <x v="1"/>
    <n v="5500"/>
    <n v="15"/>
    <n v="82500"/>
    <n v="144.54"/>
    <x v="2"/>
    <x v="1"/>
  </r>
  <r>
    <s v="CUST0156"/>
    <n v="0"/>
    <s v="Ifeanyi Garcia"/>
    <x v="2"/>
    <n v="34"/>
    <x v="2"/>
    <x v="25"/>
    <x v="3"/>
    <x v="1"/>
    <x v="0"/>
    <x v="0"/>
    <x v="1"/>
    <n v="22"/>
    <x v="11"/>
    <n v="30000"/>
    <n v="2"/>
    <n v="60000"/>
    <n v="13.9"/>
    <x v="2"/>
    <x v="1"/>
  </r>
  <r>
    <s v="CUST0157"/>
    <n v="1"/>
    <s v="Ifeanyi Jimenez"/>
    <x v="2"/>
    <n v="18"/>
    <x v="0"/>
    <x v="26"/>
    <x v="0"/>
    <x v="0"/>
    <x v="0"/>
    <x v="0"/>
    <x v="2"/>
    <n v="44"/>
    <x v="5"/>
    <n v="4500"/>
    <n v="13"/>
    <n v="58500"/>
    <n v="46.76"/>
    <x v="2"/>
    <x v="1"/>
  </r>
  <r>
    <s v="CUST0157"/>
    <n v="0"/>
    <s v="Ifeanyi Jimenez"/>
    <x v="2"/>
    <n v="18"/>
    <x v="0"/>
    <x v="26"/>
    <x v="1"/>
    <x v="0"/>
    <x v="0"/>
    <x v="0"/>
    <x v="2"/>
    <n v="44"/>
    <x v="19"/>
    <n v="600"/>
    <n v="14"/>
    <n v="8400"/>
    <n v="37.68"/>
    <x v="2"/>
    <x v="1"/>
  </r>
  <r>
    <s v="CUST0159"/>
    <n v="1"/>
    <s v="Kunle Nielsen"/>
    <x v="1"/>
    <n v="29"/>
    <x v="0"/>
    <x v="11"/>
    <x v="1"/>
    <x v="0"/>
    <x v="0"/>
    <x v="0"/>
    <x v="1"/>
    <n v="24"/>
    <x v="7"/>
    <n v="3500"/>
    <n v="20"/>
    <n v="70000"/>
    <n v="119.6"/>
    <x v="2"/>
    <x v="1"/>
  </r>
  <r>
    <s v="CUST0159"/>
    <n v="0"/>
    <s v="Kunle Nielsen"/>
    <x v="1"/>
    <n v="29"/>
    <x v="0"/>
    <x v="11"/>
    <x v="2"/>
    <x v="0"/>
    <x v="0"/>
    <x v="0"/>
    <x v="1"/>
    <n v="24"/>
    <x v="17"/>
    <n v="75000"/>
    <n v="12"/>
    <n v="900000"/>
    <n v="117.61"/>
    <x v="2"/>
    <x v="1"/>
  </r>
  <r>
    <s v="CUST0160"/>
    <n v="1"/>
    <s v="Oghene Diaz"/>
    <x v="0"/>
    <n v="74"/>
    <x v="4"/>
    <x v="20"/>
    <x v="2"/>
    <x v="1"/>
    <x v="0"/>
    <x v="0"/>
    <x v="2"/>
    <n v="59"/>
    <x v="2"/>
    <n v="20000"/>
    <n v="5"/>
    <n v="100000"/>
    <n v="37.020000000000003"/>
    <x v="2"/>
    <x v="1"/>
  </r>
  <r>
    <s v="CUST0161"/>
    <n v="1"/>
    <s v="Michael Wilson"/>
    <x v="2"/>
    <n v="65"/>
    <x v="4"/>
    <x v="15"/>
    <x v="0"/>
    <x v="0"/>
    <x v="4"/>
    <x v="4"/>
    <x v="2"/>
    <n v="37"/>
    <x v="0"/>
    <n v="35000"/>
    <n v="6"/>
    <n v="210000"/>
    <n v="58.12"/>
    <x v="7"/>
    <x v="0"/>
  </r>
  <r>
    <s v="CUST0161"/>
    <n v="0"/>
    <s v="Michael Wilson"/>
    <x v="2"/>
    <n v="65"/>
    <x v="4"/>
    <x v="15"/>
    <x v="2"/>
    <x v="0"/>
    <x v="4"/>
    <x v="4"/>
    <x v="2"/>
    <n v="37"/>
    <x v="18"/>
    <n v="25000"/>
    <n v="20"/>
    <n v="500000"/>
    <n v="168.48"/>
    <x v="7"/>
    <x v="0"/>
  </r>
  <r>
    <s v="CUST0161"/>
    <n v="0"/>
    <s v="Michael Wilson"/>
    <x v="2"/>
    <n v="65"/>
    <x v="4"/>
    <x v="15"/>
    <x v="3"/>
    <x v="0"/>
    <x v="4"/>
    <x v="4"/>
    <x v="2"/>
    <n v="37"/>
    <x v="4"/>
    <n v="9000"/>
    <n v="1"/>
    <n v="9000"/>
    <n v="173.17"/>
    <x v="7"/>
    <x v="0"/>
  </r>
  <r>
    <s v="CUST0162"/>
    <n v="1"/>
    <s v="Grace Gallegos"/>
    <x v="2"/>
    <n v="33"/>
    <x v="2"/>
    <x v="18"/>
    <x v="1"/>
    <x v="1"/>
    <x v="4"/>
    <x v="4"/>
    <x v="2"/>
    <n v="36"/>
    <x v="19"/>
    <n v="600"/>
    <n v="1"/>
    <n v="600"/>
    <n v="16.989999999999998"/>
    <x v="2"/>
    <x v="1"/>
  </r>
  <r>
    <s v="CUST0162"/>
    <n v="0"/>
    <s v="Grace Gallegos"/>
    <x v="2"/>
    <n v="33"/>
    <x v="2"/>
    <x v="18"/>
    <x v="0"/>
    <x v="1"/>
    <x v="4"/>
    <x v="4"/>
    <x v="2"/>
    <n v="36"/>
    <x v="5"/>
    <n v="4500"/>
    <n v="9"/>
    <n v="40500"/>
    <n v="58.77"/>
    <x v="2"/>
    <x v="1"/>
  </r>
  <r>
    <s v="CUST0163"/>
    <n v="1"/>
    <s v="Nura Jackson"/>
    <x v="2"/>
    <n v="52"/>
    <x v="3"/>
    <x v="1"/>
    <x v="3"/>
    <x v="1"/>
    <x v="3"/>
    <x v="3"/>
    <x v="2"/>
    <n v="37"/>
    <x v="10"/>
    <n v="24000"/>
    <n v="2"/>
    <n v="48000"/>
    <n v="164.61"/>
    <x v="2"/>
    <x v="1"/>
  </r>
  <r>
    <s v="CUST0163"/>
    <n v="0"/>
    <s v="Nura Jackson"/>
    <x v="2"/>
    <n v="52"/>
    <x v="3"/>
    <x v="1"/>
    <x v="0"/>
    <x v="1"/>
    <x v="3"/>
    <x v="3"/>
    <x v="2"/>
    <n v="37"/>
    <x v="0"/>
    <n v="35000"/>
    <n v="14"/>
    <n v="490000"/>
    <n v="109.5"/>
    <x v="2"/>
    <x v="1"/>
  </r>
  <r>
    <s v="CUST0163"/>
    <n v="0"/>
    <s v="Nura Jackson"/>
    <x v="2"/>
    <n v="52"/>
    <x v="3"/>
    <x v="1"/>
    <x v="2"/>
    <x v="1"/>
    <x v="3"/>
    <x v="3"/>
    <x v="2"/>
    <n v="37"/>
    <x v="2"/>
    <n v="20000"/>
    <n v="8"/>
    <n v="160000"/>
    <n v="147.33000000000001"/>
    <x v="2"/>
    <x v="1"/>
  </r>
  <r>
    <s v="CUST0164"/>
    <n v="1"/>
    <s v="Maryam Diaz"/>
    <x v="0"/>
    <n v="20"/>
    <x v="0"/>
    <x v="30"/>
    <x v="1"/>
    <x v="1"/>
    <x v="4"/>
    <x v="4"/>
    <x v="1"/>
    <n v="23"/>
    <x v="5"/>
    <n v="4500"/>
    <n v="19"/>
    <n v="85500"/>
    <n v="162.24"/>
    <x v="2"/>
    <x v="1"/>
  </r>
  <r>
    <s v="CUST0165"/>
    <n v="1"/>
    <s v="Oghene Allison"/>
    <x v="2"/>
    <n v="70"/>
    <x v="4"/>
    <x v="1"/>
    <x v="2"/>
    <x v="0"/>
    <x v="0"/>
    <x v="0"/>
    <x v="2"/>
    <n v="51"/>
    <x v="11"/>
    <n v="30000"/>
    <n v="10"/>
    <n v="300000"/>
    <n v="65.069999999999993"/>
    <x v="2"/>
    <x v="1"/>
  </r>
  <r>
    <s v="CUST0165"/>
    <n v="0"/>
    <s v="Oghene Allison"/>
    <x v="2"/>
    <n v="70"/>
    <x v="4"/>
    <x v="1"/>
    <x v="1"/>
    <x v="0"/>
    <x v="0"/>
    <x v="0"/>
    <x v="2"/>
    <n v="51"/>
    <x v="3"/>
    <n v="500"/>
    <n v="17"/>
    <n v="8500"/>
    <n v="114.76"/>
    <x v="2"/>
    <x v="1"/>
  </r>
  <r>
    <s v="CUST0165"/>
    <n v="0"/>
    <s v="Oghene Allison"/>
    <x v="2"/>
    <n v="70"/>
    <x v="4"/>
    <x v="1"/>
    <x v="0"/>
    <x v="0"/>
    <x v="0"/>
    <x v="0"/>
    <x v="2"/>
    <n v="51"/>
    <x v="9"/>
    <n v="16000"/>
    <n v="14"/>
    <n v="224000"/>
    <n v="27.55"/>
    <x v="2"/>
    <x v="1"/>
  </r>
  <r>
    <s v="CUST0166"/>
    <n v="1"/>
    <s v="Sade Suarez"/>
    <x v="2"/>
    <n v="51"/>
    <x v="3"/>
    <x v="21"/>
    <x v="1"/>
    <x v="0"/>
    <x v="2"/>
    <x v="2"/>
    <x v="1"/>
    <n v="16"/>
    <x v="3"/>
    <n v="500"/>
    <n v="13"/>
    <n v="6500"/>
    <n v="125.75"/>
    <x v="2"/>
    <x v="1"/>
  </r>
  <r>
    <s v="CUST0166"/>
    <n v="0"/>
    <s v="Sade Suarez"/>
    <x v="2"/>
    <n v="51"/>
    <x v="3"/>
    <x v="21"/>
    <x v="0"/>
    <x v="0"/>
    <x v="2"/>
    <x v="2"/>
    <x v="1"/>
    <n v="16"/>
    <x v="0"/>
    <n v="35000"/>
    <n v="3"/>
    <n v="105000"/>
    <n v="15.57"/>
    <x v="2"/>
    <x v="1"/>
  </r>
  <r>
    <s v="CUST0166"/>
    <n v="0"/>
    <s v="Sade Suarez"/>
    <x v="2"/>
    <n v="51"/>
    <x v="3"/>
    <x v="21"/>
    <x v="3"/>
    <x v="0"/>
    <x v="2"/>
    <x v="2"/>
    <x v="1"/>
    <n v="16"/>
    <x v="12"/>
    <n v="14500"/>
    <n v="9"/>
    <n v="130500"/>
    <n v="103.36"/>
    <x v="2"/>
    <x v="1"/>
  </r>
  <r>
    <s v="CUST0167"/>
    <n v="1"/>
    <s v="Ejiro Thomas"/>
    <x v="0"/>
    <n v="74"/>
    <x v="4"/>
    <x v="12"/>
    <x v="2"/>
    <x v="1"/>
    <x v="1"/>
    <x v="1"/>
    <x v="2"/>
    <n v="38"/>
    <x v="17"/>
    <n v="75000"/>
    <n v="14"/>
    <n v="1050000"/>
    <n v="43.96"/>
    <x v="2"/>
    <x v="1"/>
  </r>
  <r>
    <s v="CUST0167"/>
    <n v="0"/>
    <s v="Ejiro Thomas"/>
    <x v="0"/>
    <n v="74"/>
    <x v="4"/>
    <x v="12"/>
    <x v="3"/>
    <x v="1"/>
    <x v="1"/>
    <x v="1"/>
    <x v="2"/>
    <n v="38"/>
    <x v="2"/>
    <n v="20000"/>
    <n v="11"/>
    <n v="220000"/>
    <n v="99.2"/>
    <x v="2"/>
    <x v="1"/>
  </r>
  <r>
    <s v="CUST0168"/>
    <n v="1"/>
    <s v="Abubakar Weiss"/>
    <x v="1"/>
    <n v="59"/>
    <x v="3"/>
    <x v="21"/>
    <x v="3"/>
    <x v="1"/>
    <x v="1"/>
    <x v="1"/>
    <x v="2"/>
    <n v="51"/>
    <x v="2"/>
    <n v="20000"/>
    <n v="1"/>
    <n v="20000"/>
    <n v="88.54"/>
    <x v="7"/>
    <x v="0"/>
  </r>
  <r>
    <s v="CUST0168"/>
    <n v="0"/>
    <s v="Abubakar Weiss"/>
    <x v="1"/>
    <n v="59"/>
    <x v="3"/>
    <x v="21"/>
    <x v="1"/>
    <x v="1"/>
    <x v="1"/>
    <x v="1"/>
    <x v="2"/>
    <n v="51"/>
    <x v="15"/>
    <n v="7500"/>
    <n v="5"/>
    <n v="37500"/>
    <n v="40.86"/>
    <x v="7"/>
    <x v="0"/>
  </r>
  <r>
    <s v="CUST0169"/>
    <n v="1"/>
    <s v="Maryam Dean"/>
    <x v="1"/>
    <n v="36"/>
    <x v="2"/>
    <x v="29"/>
    <x v="0"/>
    <x v="0"/>
    <x v="2"/>
    <x v="2"/>
    <x v="2"/>
    <n v="42"/>
    <x v="6"/>
    <n v="9000"/>
    <n v="8"/>
    <n v="72000"/>
    <n v="145.33000000000001"/>
    <x v="7"/>
    <x v="0"/>
  </r>
  <r>
    <s v="CUST0169"/>
    <n v="0"/>
    <s v="Maryam Dean"/>
    <x v="1"/>
    <n v="36"/>
    <x v="2"/>
    <x v="29"/>
    <x v="3"/>
    <x v="0"/>
    <x v="2"/>
    <x v="2"/>
    <x v="2"/>
    <n v="42"/>
    <x v="12"/>
    <n v="14500"/>
    <n v="4"/>
    <n v="58000"/>
    <n v="131.27000000000001"/>
    <x v="7"/>
    <x v="0"/>
  </r>
  <r>
    <s v="CUST0169"/>
    <n v="0"/>
    <s v="Maryam Dean"/>
    <x v="1"/>
    <n v="36"/>
    <x v="2"/>
    <x v="29"/>
    <x v="1"/>
    <x v="0"/>
    <x v="2"/>
    <x v="2"/>
    <x v="2"/>
    <n v="42"/>
    <x v="16"/>
    <n v="900"/>
    <n v="3"/>
    <n v="2700"/>
    <n v="43.08"/>
    <x v="7"/>
    <x v="0"/>
  </r>
  <r>
    <s v="CUST0170"/>
    <n v="1"/>
    <s v="Amaka Whitaker"/>
    <x v="0"/>
    <n v="44"/>
    <x v="2"/>
    <x v="8"/>
    <x v="0"/>
    <x v="1"/>
    <x v="2"/>
    <x v="2"/>
    <x v="0"/>
    <n v="1"/>
    <x v="9"/>
    <n v="16000"/>
    <n v="3"/>
    <n v="48000"/>
    <n v="46.17"/>
    <x v="2"/>
    <x v="1"/>
  </r>
  <r>
    <s v="CUST0170"/>
    <n v="0"/>
    <s v="Amaka Whitaker"/>
    <x v="0"/>
    <n v="44"/>
    <x v="2"/>
    <x v="8"/>
    <x v="1"/>
    <x v="1"/>
    <x v="2"/>
    <x v="2"/>
    <x v="0"/>
    <n v="1"/>
    <x v="14"/>
    <n v="1000"/>
    <n v="12"/>
    <n v="12000"/>
    <n v="21.09"/>
    <x v="2"/>
    <x v="1"/>
  </r>
  <r>
    <s v="CUST0171"/>
    <n v="1"/>
    <s v="Maryam Dixon"/>
    <x v="2"/>
    <n v="33"/>
    <x v="2"/>
    <x v="6"/>
    <x v="0"/>
    <x v="0"/>
    <x v="1"/>
    <x v="1"/>
    <x v="2"/>
    <n v="42"/>
    <x v="0"/>
    <n v="35000"/>
    <n v="7"/>
    <n v="245000"/>
    <n v="70.56"/>
    <x v="2"/>
    <x v="1"/>
  </r>
  <r>
    <s v="CUST0172"/>
    <n v="1"/>
    <s v="Obinna Miller"/>
    <x v="0"/>
    <n v="68"/>
    <x v="4"/>
    <x v="30"/>
    <x v="1"/>
    <x v="0"/>
    <x v="0"/>
    <x v="0"/>
    <x v="0"/>
    <n v="6"/>
    <x v="7"/>
    <n v="3500"/>
    <n v="8"/>
    <n v="28000"/>
    <n v="158.32"/>
    <x v="2"/>
    <x v="1"/>
  </r>
  <r>
    <s v="CUST0172"/>
    <n v="0"/>
    <s v="Obinna Miller"/>
    <x v="0"/>
    <n v="68"/>
    <x v="4"/>
    <x v="30"/>
    <x v="0"/>
    <x v="0"/>
    <x v="0"/>
    <x v="0"/>
    <x v="0"/>
    <n v="6"/>
    <x v="6"/>
    <n v="9000"/>
    <n v="8"/>
    <n v="72000"/>
    <n v="129.1"/>
    <x v="2"/>
    <x v="1"/>
  </r>
  <r>
    <s v="CUST0172"/>
    <n v="0"/>
    <s v="Obinna Miller"/>
    <x v="0"/>
    <n v="68"/>
    <x v="4"/>
    <x v="30"/>
    <x v="2"/>
    <x v="0"/>
    <x v="0"/>
    <x v="0"/>
    <x v="0"/>
    <n v="6"/>
    <x v="10"/>
    <n v="24000"/>
    <n v="1"/>
    <n v="24000"/>
    <n v="155.9"/>
    <x v="2"/>
    <x v="1"/>
  </r>
  <r>
    <s v="CUST0173"/>
    <n v="1"/>
    <s v="Maryam Soto"/>
    <x v="2"/>
    <n v="42"/>
    <x v="2"/>
    <x v="8"/>
    <x v="1"/>
    <x v="0"/>
    <x v="2"/>
    <x v="2"/>
    <x v="2"/>
    <n v="48"/>
    <x v="15"/>
    <n v="7500"/>
    <n v="16"/>
    <n v="120000"/>
    <n v="22.99"/>
    <x v="2"/>
    <x v="1"/>
  </r>
  <r>
    <s v="CUST0174"/>
    <n v="1"/>
    <s v="Kunle Jones"/>
    <x v="2"/>
    <n v="17"/>
    <x v="1"/>
    <x v="3"/>
    <x v="0"/>
    <x v="1"/>
    <x v="3"/>
    <x v="3"/>
    <x v="3"/>
    <n v="9"/>
    <x v="5"/>
    <n v="4500"/>
    <n v="1"/>
    <n v="4500"/>
    <n v="117.68"/>
    <x v="2"/>
    <x v="1"/>
  </r>
  <r>
    <s v="CUST0174"/>
    <n v="0"/>
    <s v="Kunle Jones"/>
    <x v="2"/>
    <n v="17"/>
    <x v="1"/>
    <x v="3"/>
    <x v="1"/>
    <x v="1"/>
    <x v="3"/>
    <x v="3"/>
    <x v="3"/>
    <n v="9"/>
    <x v="3"/>
    <n v="500"/>
    <n v="2"/>
    <n v="1000"/>
    <n v="43.54"/>
    <x v="2"/>
    <x v="1"/>
  </r>
  <r>
    <s v="CUST0175"/>
    <n v="1"/>
    <s v="Tamuno Patton"/>
    <x v="2"/>
    <n v="80"/>
    <x v="4"/>
    <x v="14"/>
    <x v="1"/>
    <x v="1"/>
    <x v="1"/>
    <x v="1"/>
    <x v="2"/>
    <n v="28"/>
    <x v="6"/>
    <n v="9000"/>
    <n v="7"/>
    <n v="63000"/>
    <n v="16.260000000000002"/>
    <x v="2"/>
    <x v="1"/>
  </r>
  <r>
    <s v="CUST0175"/>
    <n v="0"/>
    <s v="Tamuno Patton"/>
    <x v="2"/>
    <n v="80"/>
    <x v="4"/>
    <x v="14"/>
    <x v="1"/>
    <x v="1"/>
    <x v="1"/>
    <x v="1"/>
    <x v="2"/>
    <n v="28"/>
    <x v="19"/>
    <n v="600"/>
    <n v="13"/>
    <n v="7800"/>
    <n v="107.51"/>
    <x v="2"/>
    <x v="1"/>
  </r>
  <r>
    <s v="CUST0175"/>
    <n v="0"/>
    <s v="Tamuno Patton"/>
    <x v="2"/>
    <n v="80"/>
    <x v="4"/>
    <x v="14"/>
    <x v="3"/>
    <x v="1"/>
    <x v="1"/>
    <x v="1"/>
    <x v="2"/>
    <n v="28"/>
    <x v="10"/>
    <n v="24000"/>
    <n v="3"/>
    <n v="72000"/>
    <n v="127.04"/>
    <x v="2"/>
    <x v="1"/>
  </r>
  <r>
    <s v="CUST0176"/>
    <n v="1"/>
    <s v="Maryam Martinez"/>
    <x v="0"/>
    <n v="71"/>
    <x v="4"/>
    <x v="7"/>
    <x v="3"/>
    <x v="0"/>
    <x v="4"/>
    <x v="4"/>
    <x v="1"/>
    <n v="16"/>
    <x v="4"/>
    <n v="9000"/>
    <n v="5"/>
    <n v="45000"/>
    <n v="3.03"/>
    <x v="0"/>
    <x v="0"/>
  </r>
  <r>
    <s v="CUST0176"/>
    <n v="0"/>
    <s v="Maryam Martinez"/>
    <x v="0"/>
    <n v="71"/>
    <x v="4"/>
    <x v="7"/>
    <x v="0"/>
    <x v="0"/>
    <x v="4"/>
    <x v="4"/>
    <x v="1"/>
    <n v="16"/>
    <x v="9"/>
    <n v="16000"/>
    <n v="12"/>
    <n v="192000"/>
    <n v="33.18"/>
    <x v="0"/>
    <x v="0"/>
  </r>
  <r>
    <s v="CUST0176"/>
    <n v="0"/>
    <s v="Maryam Martinez"/>
    <x v="0"/>
    <n v="71"/>
    <x v="4"/>
    <x v="7"/>
    <x v="1"/>
    <x v="0"/>
    <x v="4"/>
    <x v="4"/>
    <x v="1"/>
    <n v="16"/>
    <x v="20"/>
    <n v="6500"/>
    <n v="9"/>
    <n v="58500"/>
    <n v="103.69"/>
    <x v="0"/>
    <x v="0"/>
  </r>
  <r>
    <s v="CUST0177"/>
    <n v="1"/>
    <s v="Amina Johnson"/>
    <x v="0"/>
    <n v="63"/>
    <x v="4"/>
    <x v="21"/>
    <x v="2"/>
    <x v="1"/>
    <x v="1"/>
    <x v="1"/>
    <x v="2"/>
    <n v="47"/>
    <x v="2"/>
    <n v="20000"/>
    <n v="19"/>
    <n v="380000"/>
    <n v="52.96"/>
    <x v="2"/>
    <x v="1"/>
  </r>
  <r>
    <s v="CUST0177"/>
    <n v="0"/>
    <s v="Amina Johnson"/>
    <x v="0"/>
    <n v="63"/>
    <x v="4"/>
    <x v="21"/>
    <x v="1"/>
    <x v="1"/>
    <x v="1"/>
    <x v="1"/>
    <x v="2"/>
    <n v="47"/>
    <x v="14"/>
    <n v="1000"/>
    <n v="17"/>
    <n v="17000"/>
    <n v="99.48"/>
    <x v="2"/>
    <x v="1"/>
  </r>
  <r>
    <s v="CUST0178"/>
    <n v="1"/>
    <s v="Ejiro Johnson"/>
    <x v="2"/>
    <n v="23"/>
    <x v="0"/>
    <x v="12"/>
    <x v="3"/>
    <x v="0"/>
    <x v="2"/>
    <x v="2"/>
    <x v="1"/>
    <n v="24"/>
    <x v="4"/>
    <n v="9000"/>
    <n v="1"/>
    <n v="9000"/>
    <n v="171.81"/>
    <x v="2"/>
    <x v="1"/>
  </r>
  <r>
    <s v="CUST0178"/>
    <n v="0"/>
    <s v="Ejiro Johnson"/>
    <x v="2"/>
    <n v="23"/>
    <x v="0"/>
    <x v="12"/>
    <x v="1"/>
    <x v="0"/>
    <x v="2"/>
    <x v="2"/>
    <x v="1"/>
    <n v="24"/>
    <x v="13"/>
    <n v="350"/>
    <n v="12"/>
    <n v="4200"/>
    <n v="9.67"/>
    <x v="2"/>
    <x v="1"/>
  </r>
  <r>
    <s v="CUST0178"/>
    <n v="0"/>
    <s v="Ejiro Johnson"/>
    <x v="2"/>
    <n v="23"/>
    <x v="0"/>
    <x v="12"/>
    <x v="2"/>
    <x v="0"/>
    <x v="2"/>
    <x v="2"/>
    <x v="1"/>
    <n v="24"/>
    <x v="17"/>
    <n v="75000"/>
    <n v="6"/>
    <n v="450000"/>
    <n v="184.09"/>
    <x v="2"/>
    <x v="1"/>
  </r>
  <r>
    <s v="CUST0179"/>
    <n v="1"/>
    <s v="Bola Curtis"/>
    <x v="2"/>
    <n v="69"/>
    <x v="4"/>
    <x v="16"/>
    <x v="2"/>
    <x v="1"/>
    <x v="2"/>
    <x v="2"/>
    <x v="1"/>
    <n v="16"/>
    <x v="11"/>
    <n v="30000"/>
    <n v="17"/>
    <n v="510000"/>
    <n v="45.03"/>
    <x v="3"/>
    <x v="0"/>
  </r>
  <r>
    <s v="CUST0179"/>
    <n v="0"/>
    <s v="Bola Curtis"/>
    <x v="2"/>
    <n v="69"/>
    <x v="4"/>
    <x v="16"/>
    <x v="3"/>
    <x v="1"/>
    <x v="2"/>
    <x v="2"/>
    <x v="1"/>
    <n v="16"/>
    <x v="4"/>
    <n v="9000"/>
    <n v="3"/>
    <n v="27000"/>
    <n v="190.84"/>
    <x v="3"/>
    <x v="0"/>
  </r>
  <r>
    <s v="CUST0179"/>
    <n v="0"/>
    <s v="Bola Curtis"/>
    <x v="2"/>
    <n v="69"/>
    <x v="4"/>
    <x v="16"/>
    <x v="1"/>
    <x v="1"/>
    <x v="2"/>
    <x v="2"/>
    <x v="1"/>
    <n v="16"/>
    <x v="1"/>
    <n v="5500"/>
    <n v="10"/>
    <n v="55000"/>
    <n v="173.27"/>
    <x v="3"/>
    <x v="0"/>
  </r>
  <r>
    <s v="CUST0180"/>
    <n v="1"/>
    <s v="Ese Haley"/>
    <x v="2"/>
    <n v="27"/>
    <x v="0"/>
    <x v="2"/>
    <x v="1"/>
    <x v="0"/>
    <x v="2"/>
    <x v="2"/>
    <x v="1"/>
    <n v="24"/>
    <x v="6"/>
    <n v="9000"/>
    <n v="16"/>
    <n v="144000"/>
    <n v="118.54"/>
    <x v="2"/>
    <x v="1"/>
  </r>
  <r>
    <s v="CUST0180"/>
    <n v="0"/>
    <s v="Ese Haley"/>
    <x v="2"/>
    <n v="27"/>
    <x v="0"/>
    <x v="2"/>
    <x v="1"/>
    <x v="0"/>
    <x v="2"/>
    <x v="2"/>
    <x v="1"/>
    <n v="24"/>
    <x v="13"/>
    <n v="350"/>
    <n v="18"/>
    <n v="6300"/>
    <n v="146.63"/>
    <x v="2"/>
    <x v="1"/>
  </r>
  <r>
    <s v="CUST0181"/>
    <n v="1"/>
    <s v="Halima Walker"/>
    <x v="2"/>
    <n v="35"/>
    <x v="2"/>
    <x v="34"/>
    <x v="3"/>
    <x v="1"/>
    <x v="3"/>
    <x v="3"/>
    <x v="0"/>
    <n v="2"/>
    <x v="12"/>
    <n v="14500"/>
    <n v="10"/>
    <n v="145000"/>
    <n v="169.88"/>
    <x v="2"/>
    <x v="1"/>
  </r>
  <r>
    <s v="CUST0181"/>
    <n v="0"/>
    <s v="Halima Walker"/>
    <x v="2"/>
    <n v="35"/>
    <x v="2"/>
    <x v="34"/>
    <x v="0"/>
    <x v="1"/>
    <x v="3"/>
    <x v="3"/>
    <x v="0"/>
    <n v="2"/>
    <x v="9"/>
    <n v="16000"/>
    <n v="8"/>
    <n v="128000"/>
    <n v="41.44"/>
    <x v="2"/>
    <x v="1"/>
  </r>
  <r>
    <s v="CUST0181"/>
    <n v="0"/>
    <s v="Halima Walker"/>
    <x v="2"/>
    <n v="35"/>
    <x v="2"/>
    <x v="34"/>
    <x v="1"/>
    <x v="1"/>
    <x v="3"/>
    <x v="3"/>
    <x v="0"/>
    <n v="2"/>
    <x v="15"/>
    <n v="7500"/>
    <n v="2"/>
    <n v="15000"/>
    <n v="98.66"/>
    <x v="2"/>
    <x v="1"/>
  </r>
  <r>
    <s v="CUST0182"/>
    <n v="1"/>
    <s v="Obinna Mills"/>
    <x v="2"/>
    <n v="51"/>
    <x v="3"/>
    <x v="33"/>
    <x v="1"/>
    <x v="0"/>
    <x v="3"/>
    <x v="3"/>
    <x v="2"/>
    <n v="59"/>
    <x v="14"/>
    <n v="1000"/>
    <n v="17"/>
    <n v="17000"/>
    <n v="116.36"/>
    <x v="2"/>
    <x v="1"/>
  </r>
  <r>
    <s v="CUST0182"/>
    <n v="0"/>
    <s v="Obinna Mills"/>
    <x v="2"/>
    <n v="51"/>
    <x v="3"/>
    <x v="33"/>
    <x v="2"/>
    <x v="0"/>
    <x v="3"/>
    <x v="3"/>
    <x v="2"/>
    <n v="59"/>
    <x v="11"/>
    <n v="30000"/>
    <n v="13"/>
    <n v="390000"/>
    <n v="127.62"/>
    <x v="2"/>
    <x v="1"/>
  </r>
  <r>
    <s v="CUST0183"/>
    <n v="1"/>
    <s v="Kunle Shaw"/>
    <x v="1"/>
    <n v="23"/>
    <x v="0"/>
    <x v="0"/>
    <x v="2"/>
    <x v="0"/>
    <x v="2"/>
    <x v="2"/>
    <x v="1"/>
    <n v="16"/>
    <x v="8"/>
    <n v="150000"/>
    <n v="3"/>
    <n v="450000"/>
    <n v="54.76"/>
    <x v="2"/>
    <x v="1"/>
  </r>
  <r>
    <s v="CUST0183"/>
    <n v="0"/>
    <s v="Kunle Shaw"/>
    <x v="1"/>
    <n v="23"/>
    <x v="0"/>
    <x v="0"/>
    <x v="0"/>
    <x v="0"/>
    <x v="2"/>
    <x v="2"/>
    <x v="1"/>
    <n v="16"/>
    <x v="5"/>
    <n v="4500"/>
    <n v="19"/>
    <n v="85500"/>
    <n v="27.65"/>
    <x v="2"/>
    <x v="1"/>
  </r>
  <r>
    <s v="CUST0184"/>
    <n v="1"/>
    <s v="Ngozi Webb"/>
    <x v="2"/>
    <n v="35"/>
    <x v="2"/>
    <x v="13"/>
    <x v="2"/>
    <x v="0"/>
    <x v="2"/>
    <x v="2"/>
    <x v="2"/>
    <n v="29"/>
    <x v="10"/>
    <n v="24000"/>
    <n v="4"/>
    <n v="96000"/>
    <n v="92.94"/>
    <x v="2"/>
    <x v="1"/>
  </r>
  <r>
    <s v="CUST0184"/>
    <n v="0"/>
    <s v="Ngozi Webb"/>
    <x v="2"/>
    <n v="35"/>
    <x v="2"/>
    <x v="13"/>
    <x v="3"/>
    <x v="0"/>
    <x v="2"/>
    <x v="2"/>
    <x v="2"/>
    <n v="29"/>
    <x v="4"/>
    <n v="9000"/>
    <n v="10"/>
    <n v="90000"/>
    <n v="31.94"/>
    <x v="2"/>
    <x v="1"/>
  </r>
  <r>
    <s v="CUST0184"/>
    <n v="0"/>
    <s v="Ngozi Webb"/>
    <x v="2"/>
    <n v="35"/>
    <x v="2"/>
    <x v="13"/>
    <x v="1"/>
    <x v="0"/>
    <x v="2"/>
    <x v="2"/>
    <x v="2"/>
    <n v="29"/>
    <x v="9"/>
    <n v="16000"/>
    <n v="11"/>
    <n v="176000"/>
    <n v="43.4"/>
    <x v="2"/>
    <x v="1"/>
  </r>
  <r>
    <s v="CUST0185"/>
    <n v="1"/>
    <s v="Obinna Young"/>
    <x v="0"/>
    <n v="27"/>
    <x v="0"/>
    <x v="7"/>
    <x v="1"/>
    <x v="1"/>
    <x v="2"/>
    <x v="2"/>
    <x v="2"/>
    <n v="26"/>
    <x v="1"/>
    <n v="5500"/>
    <n v="18"/>
    <n v="99000"/>
    <n v="111.41"/>
    <x v="6"/>
    <x v="0"/>
  </r>
  <r>
    <s v="CUST0186"/>
    <n v="1"/>
    <s v="Halima Harrison"/>
    <x v="2"/>
    <n v="28"/>
    <x v="0"/>
    <x v="2"/>
    <x v="0"/>
    <x v="0"/>
    <x v="1"/>
    <x v="1"/>
    <x v="2"/>
    <n v="52"/>
    <x v="5"/>
    <n v="4500"/>
    <n v="12"/>
    <n v="54000"/>
    <n v="164.82"/>
    <x v="1"/>
    <x v="0"/>
  </r>
  <r>
    <s v="CUST0187"/>
    <n v="1"/>
    <s v="Chinedu Brown"/>
    <x v="2"/>
    <n v="49"/>
    <x v="3"/>
    <x v="23"/>
    <x v="2"/>
    <x v="0"/>
    <x v="4"/>
    <x v="4"/>
    <x v="0"/>
    <n v="5"/>
    <x v="2"/>
    <n v="20000"/>
    <n v="15"/>
    <n v="300000"/>
    <n v="9.02"/>
    <x v="2"/>
    <x v="1"/>
  </r>
  <r>
    <s v="CUST0188"/>
    <n v="1"/>
    <s v="Sade Cruz"/>
    <x v="0"/>
    <n v="37"/>
    <x v="2"/>
    <x v="0"/>
    <x v="2"/>
    <x v="1"/>
    <x v="4"/>
    <x v="4"/>
    <x v="2"/>
    <n v="32"/>
    <x v="12"/>
    <n v="14500"/>
    <n v="9"/>
    <n v="130500"/>
    <n v="181.71"/>
    <x v="2"/>
    <x v="1"/>
  </r>
  <r>
    <s v="CUST0189"/>
    <n v="1"/>
    <s v="Zainab Mcguire"/>
    <x v="2"/>
    <n v="73"/>
    <x v="4"/>
    <x v="5"/>
    <x v="1"/>
    <x v="0"/>
    <x v="2"/>
    <x v="2"/>
    <x v="2"/>
    <n v="40"/>
    <x v="3"/>
    <n v="500"/>
    <n v="14"/>
    <n v="7000"/>
    <n v="76.91"/>
    <x v="2"/>
    <x v="1"/>
  </r>
  <r>
    <s v="CUST0189"/>
    <n v="0"/>
    <s v="Zainab Mcguire"/>
    <x v="2"/>
    <n v="73"/>
    <x v="4"/>
    <x v="5"/>
    <x v="3"/>
    <x v="0"/>
    <x v="2"/>
    <x v="2"/>
    <x v="2"/>
    <n v="40"/>
    <x v="2"/>
    <n v="20000"/>
    <n v="17"/>
    <n v="340000"/>
    <n v="128.71"/>
    <x v="2"/>
    <x v="1"/>
  </r>
  <r>
    <s v="CUST0189"/>
    <n v="0"/>
    <s v="Zainab Mcguire"/>
    <x v="2"/>
    <n v="73"/>
    <x v="4"/>
    <x v="5"/>
    <x v="2"/>
    <x v="0"/>
    <x v="2"/>
    <x v="2"/>
    <x v="2"/>
    <n v="40"/>
    <x v="12"/>
    <n v="14500"/>
    <n v="18"/>
    <n v="261000"/>
    <n v="126.34"/>
    <x v="2"/>
    <x v="1"/>
  </r>
  <r>
    <s v="CUST0190"/>
    <n v="1"/>
    <s v="Funke Thomas"/>
    <x v="2"/>
    <n v="64"/>
    <x v="4"/>
    <x v="25"/>
    <x v="2"/>
    <x v="1"/>
    <x v="2"/>
    <x v="2"/>
    <x v="2"/>
    <n v="35"/>
    <x v="11"/>
    <n v="30000"/>
    <n v="20"/>
    <n v="600000"/>
    <n v="5.7"/>
    <x v="2"/>
    <x v="1"/>
  </r>
  <r>
    <s v="CUST0190"/>
    <n v="0"/>
    <s v="Funke Thomas"/>
    <x v="2"/>
    <n v="64"/>
    <x v="4"/>
    <x v="25"/>
    <x v="0"/>
    <x v="1"/>
    <x v="2"/>
    <x v="2"/>
    <x v="2"/>
    <n v="35"/>
    <x v="5"/>
    <n v="4500"/>
    <n v="9"/>
    <n v="40500"/>
    <n v="6.35"/>
    <x v="2"/>
    <x v="1"/>
  </r>
  <r>
    <s v="CUST0190"/>
    <n v="0"/>
    <s v="Funke Thomas"/>
    <x v="2"/>
    <n v="64"/>
    <x v="4"/>
    <x v="25"/>
    <x v="1"/>
    <x v="1"/>
    <x v="2"/>
    <x v="2"/>
    <x v="2"/>
    <n v="35"/>
    <x v="16"/>
    <n v="900"/>
    <n v="16"/>
    <n v="14400"/>
    <n v="161.83000000000001"/>
    <x v="2"/>
    <x v="1"/>
  </r>
  <r>
    <s v="CUST0191"/>
    <n v="1"/>
    <s v="Sarah Meyer"/>
    <x v="2"/>
    <n v="61"/>
    <x v="4"/>
    <x v="16"/>
    <x v="3"/>
    <x v="0"/>
    <x v="0"/>
    <x v="0"/>
    <x v="3"/>
    <n v="7"/>
    <x v="11"/>
    <n v="30000"/>
    <n v="6"/>
    <n v="180000"/>
    <n v="187.07"/>
    <x v="1"/>
    <x v="0"/>
  </r>
  <r>
    <s v="CUST0191"/>
    <n v="0"/>
    <s v="Sarah Meyer"/>
    <x v="2"/>
    <n v="61"/>
    <x v="4"/>
    <x v="16"/>
    <x v="1"/>
    <x v="0"/>
    <x v="0"/>
    <x v="0"/>
    <x v="3"/>
    <n v="7"/>
    <x v="19"/>
    <n v="600"/>
    <n v="11"/>
    <n v="6600"/>
    <n v="47.69"/>
    <x v="1"/>
    <x v="0"/>
  </r>
  <r>
    <s v="CUST0191"/>
    <n v="0"/>
    <s v="Sarah Meyer"/>
    <x v="2"/>
    <n v="61"/>
    <x v="4"/>
    <x v="16"/>
    <x v="0"/>
    <x v="0"/>
    <x v="0"/>
    <x v="0"/>
    <x v="3"/>
    <n v="7"/>
    <x v="6"/>
    <n v="9000"/>
    <n v="1"/>
    <n v="9000"/>
    <n v="182.84"/>
    <x v="1"/>
    <x v="0"/>
  </r>
  <r>
    <s v="CUST0192"/>
    <n v="1"/>
    <s v="Oghene Schroeder"/>
    <x v="1"/>
    <n v="34"/>
    <x v="2"/>
    <x v="18"/>
    <x v="3"/>
    <x v="1"/>
    <x v="0"/>
    <x v="0"/>
    <x v="2"/>
    <n v="35"/>
    <x v="2"/>
    <n v="20000"/>
    <n v="1"/>
    <n v="20000"/>
    <n v="120.53"/>
    <x v="2"/>
    <x v="1"/>
  </r>
  <r>
    <s v="CUST0193"/>
    <n v="1"/>
    <s v="Sarah Thomas"/>
    <x v="2"/>
    <n v="77"/>
    <x v="4"/>
    <x v="34"/>
    <x v="2"/>
    <x v="1"/>
    <x v="0"/>
    <x v="0"/>
    <x v="2"/>
    <n v="59"/>
    <x v="4"/>
    <n v="9000"/>
    <n v="19"/>
    <n v="171000"/>
    <n v="4.87"/>
    <x v="2"/>
    <x v="1"/>
  </r>
  <r>
    <s v="CUST0194"/>
    <n v="1"/>
    <s v="Obinna Dunn"/>
    <x v="1"/>
    <n v="30"/>
    <x v="2"/>
    <x v="8"/>
    <x v="2"/>
    <x v="1"/>
    <x v="4"/>
    <x v="4"/>
    <x v="0"/>
    <n v="5"/>
    <x v="11"/>
    <n v="30000"/>
    <n v="14"/>
    <n v="420000"/>
    <n v="195.18"/>
    <x v="2"/>
    <x v="1"/>
  </r>
  <r>
    <s v="CUST0194"/>
    <n v="0"/>
    <s v="Obinna Dunn"/>
    <x v="1"/>
    <n v="30"/>
    <x v="2"/>
    <x v="8"/>
    <x v="0"/>
    <x v="1"/>
    <x v="4"/>
    <x v="4"/>
    <x v="0"/>
    <n v="5"/>
    <x v="0"/>
    <n v="35000"/>
    <n v="6"/>
    <n v="210000"/>
    <n v="130.01"/>
    <x v="2"/>
    <x v="1"/>
  </r>
  <r>
    <s v="CUST0195"/>
    <n v="1"/>
    <s v="Oghene Munoz"/>
    <x v="1"/>
    <n v="44"/>
    <x v="2"/>
    <x v="20"/>
    <x v="1"/>
    <x v="1"/>
    <x v="0"/>
    <x v="0"/>
    <x v="1"/>
    <n v="20"/>
    <x v="19"/>
    <n v="600"/>
    <n v="20"/>
    <n v="12000"/>
    <n v="120.68"/>
    <x v="3"/>
    <x v="0"/>
  </r>
  <r>
    <s v="CUST0195"/>
    <n v="0"/>
    <s v="Oghene Munoz"/>
    <x v="1"/>
    <n v="44"/>
    <x v="2"/>
    <x v="20"/>
    <x v="2"/>
    <x v="1"/>
    <x v="0"/>
    <x v="0"/>
    <x v="1"/>
    <n v="20"/>
    <x v="12"/>
    <n v="14500"/>
    <n v="4"/>
    <n v="58000"/>
    <n v="128.11000000000001"/>
    <x v="3"/>
    <x v="0"/>
  </r>
  <r>
    <s v="CUST0195"/>
    <n v="0"/>
    <s v="Oghene Munoz"/>
    <x v="1"/>
    <n v="44"/>
    <x v="2"/>
    <x v="20"/>
    <x v="3"/>
    <x v="1"/>
    <x v="0"/>
    <x v="0"/>
    <x v="1"/>
    <n v="20"/>
    <x v="12"/>
    <n v="14500"/>
    <n v="3"/>
    <n v="43500"/>
    <n v="28.56"/>
    <x v="3"/>
    <x v="0"/>
  </r>
  <r>
    <s v="CUST0196"/>
    <n v="1"/>
    <s v="Halima Burns"/>
    <x v="0"/>
    <n v="60"/>
    <x v="4"/>
    <x v="32"/>
    <x v="0"/>
    <x v="0"/>
    <x v="2"/>
    <x v="2"/>
    <x v="2"/>
    <n v="41"/>
    <x v="9"/>
    <n v="16000"/>
    <n v="4"/>
    <n v="64000"/>
    <n v="70.42"/>
    <x v="2"/>
    <x v="1"/>
  </r>
  <r>
    <s v="CUST0196"/>
    <n v="0"/>
    <s v="Halima Burns"/>
    <x v="0"/>
    <n v="60"/>
    <x v="4"/>
    <x v="32"/>
    <x v="3"/>
    <x v="0"/>
    <x v="2"/>
    <x v="2"/>
    <x v="2"/>
    <n v="41"/>
    <x v="4"/>
    <n v="9000"/>
    <n v="15"/>
    <n v="135000"/>
    <n v="10.11"/>
    <x v="2"/>
    <x v="1"/>
  </r>
  <r>
    <s v="CUST0197"/>
    <n v="1"/>
    <s v="Ibim Murphy"/>
    <x v="2"/>
    <n v="37"/>
    <x v="2"/>
    <x v="15"/>
    <x v="1"/>
    <x v="1"/>
    <x v="2"/>
    <x v="2"/>
    <x v="2"/>
    <n v="57"/>
    <x v="13"/>
    <n v="350"/>
    <n v="3"/>
    <n v="1050"/>
    <n v="32.950000000000003"/>
    <x v="2"/>
    <x v="1"/>
  </r>
  <r>
    <s v="CUST0198"/>
    <n v="1"/>
    <s v="Bola Potter"/>
    <x v="0"/>
    <n v="53"/>
    <x v="3"/>
    <x v="17"/>
    <x v="0"/>
    <x v="1"/>
    <x v="1"/>
    <x v="1"/>
    <x v="1"/>
    <n v="17"/>
    <x v="9"/>
    <n v="16000"/>
    <n v="3"/>
    <n v="48000"/>
    <n v="109.64"/>
    <x v="2"/>
    <x v="1"/>
  </r>
  <r>
    <s v="CUST0198"/>
    <n v="0"/>
    <s v="Bola Potter"/>
    <x v="0"/>
    <n v="53"/>
    <x v="3"/>
    <x v="17"/>
    <x v="2"/>
    <x v="1"/>
    <x v="1"/>
    <x v="1"/>
    <x v="1"/>
    <n v="17"/>
    <x v="18"/>
    <n v="25000"/>
    <n v="20"/>
    <n v="500000"/>
    <n v="119.01"/>
    <x v="2"/>
    <x v="1"/>
  </r>
  <r>
    <s v="CUST0199"/>
    <n v="1"/>
    <s v="John Morales"/>
    <x v="2"/>
    <n v="19"/>
    <x v="0"/>
    <x v="0"/>
    <x v="0"/>
    <x v="0"/>
    <x v="0"/>
    <x v="0"/>
    <x v="2"/>
    <n v="39"/>
    <x v="5"/>
    <n v="4500"/>
    <n v="18"/>
    <n v="81000"/>
    <n v="139.59"/>
    <x v="4"/>
    <x v="0"/>
  </r>
  <r>
    <s v="CUST0200"/>
    <n v="1"/>
    <s v="Saidu Tucker"/>
    <x v="0"/>
    <n v="52"/>
    <x v="3"/>
    <x v="24"/>
    <x v="0"/>
    <x v="0"/>
    <x v="4"/>
    <x v="4"/>
    <x v="3"/>
    <n v="7"/>
    <x v="6"/>
    <n v="9000"/>
    <n v="3"/>
    <n v="27000"/>
    <n v="1.26"/>
    <x v="2"/>
    <x v="1"/>
  </r>
  <r>
    <s v="CUST0200"/>
    <n v="0"/>
    <s v="Saidu Tucker"/>
    <x v="0"/>
    <n v="52"/>
    <x v="3"/>
    <x v="24"/>
    <x v="3"/>
    <x v="0"/>
    <x v="4"/>
    <x v="4"/>
    <x v="3"/>
    <n v="7"/>
    <x v="11"/>
    <n v="30000"/>
    <n v="20"/>
    <n v="600000"/>
    <n v="164.87"/>
    <x v="2"/>
    <x v="1"/>
  </r>
  <r>
    <s v="CUST0201"/>
    <n v="1"/>
    <s v="John Mcgrath"/>
    <x v="2"/>
    <n v="41"/>
    <x v="2"/>
    <x v="13"/>
    <x v="3"/>
    <x v="0"/>
    <x v="2"/>
    <x v="2"/>
    <x v="1"/>
    <n v="14"/>
    <x v="12"/>
    <n v="14500"/>
    <n v="9"/>
    <n v="130500"/>
    <n v="94.45"/>
    <x v="2"/>
    <x v="1"/>
  </r>
  <r>
    <s v="CUST0201"/>
    <n v="0"/>
    <s v="John Mcgrath"/>
    <x v="2"/>
    <n v="41"/>
    <x v="2"/>
    <x v="13"/>
    <x v="0"/>
    <x v="0"/>
    <x v="2"/>
    <x v="2"/>
    <x v="1"/>
    <n v="14"/>
    <x v="9"/>
    <n v="16000"/>
    <n v="13"/>
    <n v="208000"/>
    <n v="128.55000000000001"/>
    <x v="2"/>
    <x v="1"/>
  </r>
  <r>
    <s v="CUST0202"/>
    <n v="1"/>
    <s v="Shehu Hays"/>
    <x v="2"/>
    <n v="63"/>
    <x v="4"/>
    <x v="6"/>
    <x v="0"/>
    <x v="1"/>
    <x v="1"/>
    <x v="1"/>
    <x v="3"/>
    <n v="12"/>
    <x v="9"/>
    <n v="16000"/>
    <n v="4"/>
    <n v="64000"/>
    <n v="30.65"/>
    <x v="5"/>
    <x v="0"/>
  </r>
  <r>
    <s v="CUST0202"/>
    <n v="0"/>
    <s v="Shehu Hays"/>
    <x v="2"/>
    <n v="63"/>
    <x v="4"/>
    <x v="6"/>
    <x v="1"/>
    <x v="1"/>
    <x v="1"/>
    <x v="1"/>
    <x v="3"/>
    <n v="12"/>
    <x v="14"/>
    <n v="1000"/>
    <n v="18"/>
    <n v="18000"/>
    <n v="133.79"/>
    <x v="5"/>
    <x v="0"/>
  </r>
  <r>
    <s v="CUST0203"/>
    <n v="1"/>
    <s v="Ibim Castro"/>
    <x v="2"/>
    <n v="45"/>
    <x v="3"/>
    <x v="4"/>
    <x v="0"/>
    <x v="1"/>
    <x v="3"/>
    <x v="3"/>
    <x v="2"/>
    <n v="53"/>
    <x v="6"/>
    <n v="9000"/>
    <n v="2"/>
    <n v="18000"/>
    <n v="16.25"/>
    <x v="2"/>
    <x v="1"/>
  </r>
  <r>
    <s v="CUST0203"/>
    <n v="0"/>
    <s v="Ibim Castro"/>
    <x v="2"/>
    <n v="45"/>
    <x v="3"/>
    <x v="4"/>
    <x v="1"/>
    <x v="1"/>
    <x v="3"/>
    <x v="3"/>
    <x v="2"/>
    <n v="53"/>
    <x v="20"/>
    <n v="6500"/>
    <n v="17"/>
    <n v="110500"/>
    <n v="114.46"/>
    <x v="2"/>
    <x v="1"/>
  </r>
  <r>
    <s v="CUST0204"/>
    <n v="1"/>
    <s v="Obinna Patterson"/>
    <x v="2"/>
    <n v="31"/>
    <x v="2"/>
    <x v="30"/>
    <x v="1"/>
    <x v="0"/>
    <x v="0"/>
    <x v="0"/>
    <x v="3"/>
    <n v="11"/>
    <x v="13"/>
    <n v="350"/>
    <n v="5"/>
    <n v="1750"/>
    <n v="199.46"/>
    <x v="5"/>
    <x v="0"/>
  </r>
  <r>
    <s v="CUST0205"/>
    <n v="1"/>
    <s v="Saidu Munoz"/>
    <x v="2"/>
    <n v="56"/>
    <x v="3"/>
    <x v="23"/>
    <x v="1"/>
    <x v="0"/>
    <x v="3"/>
    <x v="3"/>
    <x v="2"/>
    <n v="25"/>
    <x v="20"/>
    <n v="6500"/>
    <n v="4"/>
    <n v="26000"/>
    <n v="156.44999999999999"/>
    <x v="2"/>
    <x v="1"/>
  </r>
  <r>
    <s v="CUST0205"/>
    <n v="0"/>
    <s v="Saidu Munoz"/>
    <x v="2"/>
    <n v="56"/>
    <x v="3"/>
    <x v="23"/>
    <x v="3"/>
    <x v="0"/>
    <x v="3"/>
    <x v="3"/>
    <x v="2"/>
    <n v="25"/>
    <x v="12"/>
    <n v="14500"/>
    <n v="19"/>
    <n v="275500"/>
    <n v="30.35"/>
    <x v="2"/>
    <x v="1"/>
  </r>
  <r>
    <s v="CUST0206"/>
    <n v="1"/>
    <s v="Ngozi Wood"/>
    <x v="1"/>
    <n v="29"/>
    <x v="0"/>
    <x v="13"/>
    <x v="1"/>
    <x v="1"/>
    <x v="4"/>
    <x v="4"/>
    <x v="2"/>
    <n v="56"/>
    <x v="19"/>
    <n v="600"/>
    <n v="5"/>
    <n v="3000"/>
    <n v="55.45"/>
    <x v="7"/>
    <x v="0"/>
  </r>
  <r>
    <s v="CUST0206"/>
    <n v="0"/>
    <s v="Ngozi Wood"/>
    <x v="1"/>
    <n v="29"/>
    <x v="0"/>
    <x v="13"/>
    <x v="3"/>
    <x v="1"/>
    <x v="4"/>
    <x v="4"/>
    <x v="2"/>
    <n v="56"/>
    <x v="10"/>
    <n v="24000"/>
    <n v="13"/>
    <n v="312000"/>
    <n v="121.93"/>
    <x v="7"/>
    <x v="0"/>
  </r>
  <r>
    <s v="CUST0207"/>
    <n v="1"/>
    <s v="Bola Miller"/>
    <x v="2"/>
    <n v="66"/>
    <x v="4"/>
    <x v="26"/>
    <x v="2"/>
    <x v="0"/>
    <x v="2"/>
    <x v="2"/>
    <x v="0"/>
    <n v="4"/>
    <x v="10"/>
    <n v="24000"/>
    <n v="16"/>
    <n v="384000"/>
    <n v="62.53"/>
    <x v="2"/>
    <x v="1"/>
  </r>
  <r>
    <s v="CUST0208"/>
    <n v="1"/>
    <s v="Ngozi Acevedo"/>
    <x v="2"/>
    <n v="45"/>
    <x v="3"/>
    <x v="21"/>
    <x v="3"/>
    <x v="1"/>
    <x v="2"/>
    <x v="2"/>
    <x v="2"/>
    <n v="48"/>
    <x v="2"/>
    <n v="20000"/>
    <n v="14"/>
    <n v="280000"/>
    <n v="182.73"/>
    <x v="5"/>
    <x v="0"/>
  </r>
  <r>
    <s v="CUST0208"/>
    <n v="0"/>
    <s v="Ngozi Acevedo"/>
    <x v="2"/>
    <n v="45"/>
    <x v="3"/>
    <x v="21"/>
    <x v="1"/>
    <x v="1"/>
    <x v="2"/>
    <x v="2"/>
    <x v="2"/>
    <n v="48"/>
    <x v="1"/>
    <n v="5500"/>
    <n v="12"/>
    <n v="66000"/>
    <n v="152.02000000000001"/>
    <x v="5"/>
    <x v="0"/>
  </r>
  <r>
    <s v="CUST0208"/>
    <n v="0"/>
    <s v="Ngozi Acevedo"/>
    <x v="2"/>
    <n v="45"/>
    <x v="3"/>
    <x v="21"/>
    <x v="0"/>
    <x v="1"/>
    <x v="2"/>
    <x v="2"/>
    <x v="2"/>
    <n v="48"/>
    <x v="9"/>
    <n v="16000"/>
    <n v="6"/>
    <n v="96000"/>
    <n v="103.3"/>
    <x v="5"/>
    <x v="0"/>
  </r>
  <r>
    <s v="CUST0209"/>
    <n v="1"/>
    <s v="Kunle Bird"/>
    <x v="0"/>
    <n v="55"/>
    <x v="3"/>
    <x v="28"/>
    <x v="3"/>
    <x v="1"/>
    <x v="0"/>
    <x v="0"/>
    <x v="3"/>
    <n v="9"/>
    <x v="2"/>
    <n v="20000"/>
    <n v="2"/>
    <n v="40000"/>
    <n v="7.1"/>
    <x v="1"/>
    <x v="0"/>
  </r>
  <r>
    <s v="CUST0210"/>
    <n v="1"/>
    <s v="Ejiro Gill"/>
    <x v="2"/>
    <n v="41"/>
    <x v="2"/>
    <x v="29"/>
    <x v="3"/>
    <x v="1"/>
    <x v="3"/>
    <x v="3"/>
    <x v="2"/>
    <n v="53"/>
    <x v="2"/>
    <n v="20000"/>
    <n v="20"/>
    <n v="400000"/>
    <n v="74.81"/>
    <x v="2"/>
    <x v="1"/>
  </r>
  <r>
    <s v="CUST0211"/>
    <n v="1"/>
    <s v="Alabo Clay"/>
    <x v="2"/>
    <n v="38"/>
    <x v="2"/>
    <x v="31"/>
    <x v="3"/>
    <x v="1"/>
    <x v="2"/>
    <x v="2"/>
    <x v="1"/>
    <n v="23"/>
    <x v="12"/>
    <n v="14500"/>
    <n v="19"/>
    <n v="275500"/>
    <n v="10.41"/>
    <x v="2"/>
    <x v="1"/>
  </r>
  <r>
    <s v="CUST0211"/>
    <n v="0"/>
    <s v="Alabo Clay"/>
    <x v="2"/>
    <n v="38"/>
    <x v="2"/>
    <x v="31"/>
    <x v="1"/>
    <x v="1"/>
    <x v="2"/>
    <x v="2"/>
    <x v="1"/>
    <n v="23"/>
    <x v="5"/>
    <n v="4500"/>
    <n v="8"/>
    <n v="36000"/>
    <n v="171.49"/>
    <x v="2"/>
    <x v="1"/>
  </r>
  <r>
    <s v="CUST0211"/>
    <n v="0"/>
    <s v="Alabo Clay"/>
    <x v="2"/>
    <n v="38"/>
    <x v="2"/>
    <x v="31"/>
    <x v="1"/>
    <x v="1"/>
    <x v="2"/>
    <x v="2"/>
    <x v="1"/>
    <n v="23"/>
    <x v="13"/>
    <n v="350"/>
    <n v="14"/>
    <n v="4900"/>
    <n v="54.18"/>
    <x v="2"/>
    <x v="1"/>
  </r>
  <r>
    <s v="CUST0212"/>
    <n v="1"/>
    <s v="Michael Williams"/>
    <x v="2"/>
    <n v="18"/>
    <x v="0"/>
    <x v="34"/>
    <x v="0"/>
    <x v="1"/>
    <x v="0"/>
    <x v="0"/>
    <x v="2"/>
    <n v="59"/>
    <x v="5"/>
    <n v="4500"/>
    <n v="10"/>
    <n v="45000"/>
    <n v="121.86"/>
    <x v="2"/>
    <x v="1"/>
  </r>
  <r>
    <s v="CUST0213"/>
    <n v="1"/>
    <s v="Zainab Clark"/>
    <x v="1"/>
    <n v="70"/>
    <x v="4"/>
    <x v="6"/>
    <x v="1"/>
    <x v="1"/>
    <x v="0"/>
    <x v="0"/>
    <x v="2"/>
    <n v="30"/>
    <x v="16"/>
    <n v="900"/>
    <n v="12"/>
    <n v="10800"/>
    <n v="102.55"/>
    <x v="2"/>
    <x v="1"/>
  </r>
  <r>
    <s v="CUST0213"/>
    <n v="0"/>
    <s v="Zainab Clark"/>
    <x v="1"/>
    <n v="70"/>
    <x v="4"/>
    <x v="6"/>
    <x v="2"/>
    <x v="1"/>
    <x v="0"/>
    <x v="0"/>
    <x v="2"/>
    <n v="30"/>
    <x v="10"/>
    <n v="24000"/>
    <n v="4"/>
    <n v="96000"/>
    <n v="60.05"/>
    <x v="2"/>
    <x v="1"/>
  </r>
  <r>
    <s v="CUST0213"/>
    <n v="0"/>
    <s v="Zainab Clark"/>
    <x v="1"/>
    <n v="70"/>
    <x v="4"/>
    <x v="6"/>
    <x v="3"/>
    <x v="1"/>
    <x v="0"/>
    <x v="0"/>
    <x v="2"/>
    <n v="30"/>
    <x v="12"/>
    <n v="14500"/>
    <n v="9"/>
    <n v="130500"/>
    <n v="13.24"/>
    <x v="2"/>
    <x v="1"/>
  </r>
  <r>
    <s v="CUST0214"/>
    <n v="1"/>
    <s v="Ese Cooper"/>
    <x v="2"/>
    <n v="51"/>
    <x v="3"/>
    <x v="22"/>
    <x v="1"/>
    <x v="1"/>
    <x v="3"/>
    <x v="3"/>
    <x v="1"/>
    <n v="13"/>
    <x v="7"/>
    <n v="3500"/>
    <n v="1"/>
    <n v="3500"/>
    <n v="136.31"/>
    <x v="2"/>
    <x v="1"/>
  </r>
  <r>
    <s v="CUST0215"/>
    <n v="1"/>
    <s v="Grace Figueroa"/>
    <x v="2"/>
    <n v="53"/>
    <x v="3"/>
    <x v="22"/>
    <x v="1"/>
    <x v="1"/>
    <x v="1"/>
    <x v="1"/>
    <x v="2"/>
    <n v="26"/>
    <x v="0"/>
    <n v="35000"/>
    <n v="12"/>
    <n v="420000"/>
    <n v="181.35"/>
    <x v="2"/>
    <x v="1"/>
  </r>
  <r>
    <s v="CUST0215"/>
    <n v="0"/>
    <s v="Grace Figueroa"/>
    <x v="2"/>
    <n v="53"/>
    <x v="3"/>
    <x v="22"/>
    <x v="1"/>
    <x v="1"/>
    <x v="1"/>
    <x v="1"/>
    <x v="2"/>
    <n v="26"/>
    <x v="20"/>
    <n v="6500"/>
    <n v="6"/>
    <n v="39000"/>
    <n v="60.39"/>
    <x v="2"/>
    <x v="1"/>
  </r>
  <r>
    <s v="CUST0215"/>
    <n v="0"/>
    <s v="Grace Figueroa"/>
    <x v="2"/>
    <n v="53"/>
    <x v="3"/>
    <x v="22"/>
    <x v="3"/>
    <x v="1"/>
    <x v="1"/>
    <x v="1"/>
    <x v="2"/>
    <n v="26"/>
    <x v="10"/>
    <n v="24000"/>
    <n v="4"/>
    <n v="96000"/>
    <n v="36.64"/>
    <x v="2"/>
    <x v="1"/>
  </r>
  <r>
    <s v="CUST0216"/>
    <n v="1"/>
    <s v="John Erickson"/>
    <x v="1"/>
    <n v="32"/>
    <x v="2"/>
    <x v="22"/>
    <x v="2"/>
    <x v="0"/>
    <x v="1"/>
    <x v="1"/>
    <x v="2"/>
    <n v="44"/>
    <x v="18"/>
    <n v="25000"/>
    <n v="10"/>
    <n v="250000"/>
    <n v="52.48"/>
    <x v="6"/>
    <x v="0"/>
  </r>
  <r>
    <s v="CUST0216"/>
    <n v="0"/>
    <s v="John Erickson"/>
    <x v="1"/>
    <n v="32"/>
    <x v="2"/>
    <x v="22"/>
    <x v="0"/>
    <x v="0"/>
    <x v="1"/>
    <x v="1"/>
    <x v="2"/>
    <n v="44"/>
    <x v="0"/>
    <n v="35000"/>
    <n v="16"/>
    <n v="560000"/>
    <n v="170.32"/>
    <x v="6"/>
    <x v="0"/>
  </r>
  <r>
    <s v="CUST0216"/>
    <n v="0"/>
    <s v="John Erickson"/>
    <x v="1"/>
    <n v="32"/>
    <x v="2"/>
    <x v="22"/>
    <x v="1"/>
    <x v="0"/>
    <x v="1"/>
    <x v="1"/>
    <x v="2"/>
    <n v="44"/>
    <x v="16"/>
    <n v="900"/>
    <n v="19"/>
    <n v="17100"/>
    <n v="173.35"/>
    <x v="6"/>
    <x v="0"/>
  </r>
  <r>
    <s v="CUST0217"/>
    <n v="1"/>
    <s v="Kunle Collins"/>
    <x v="2"/>
    <n v="76"/>
    <x v="4"/>
    <x v="18"/>
    <x v="0"/>
    <x v="0"/>
    <x v="3"/>
    <x v="3"/>
    <x v="2"/>
    <n v="56"/>
    <x v="5"/>
    <n v="4500"/>
    <n v="19"/>
    <n v="85500"/>
    <n v="68.86"/>
    <x v="3"/>
    <x v="0"/>
  </r>
  <r>
    <s v="CUST0218"/>
    <n v="1"/>
    <s v="Zina Dawson"/>
    <x v="0"/>
    <n v="34"/>
    <x v="2"/>
    <x v="32"/>
    <x v="2"/>
    <x v="0"/>
    <x v="4"/>
    <x v="4"/>
    <x v="2"/>
    <n v="50"/>
    <x v="4"/>
    <n v="9000"/>
    <n v="9"/>
    <n v="81000"/>
    <n v="1.44"/>
    <x v="2"/>
    <x v="1"/>
  </r>
  <r>
    <s v="CUST0219"/>
    <n v="1"/>
    <s v="Fatima Scott"/>
    <x v="0"/>
    <n v="37"/>
    <x v="2"/>
    <x v="1"/>
    <x v="1"/>
    <x v="1"/>
    <x v="0"/>
    <x v="0"/>
    <x v="2"/>
    <n v="51"/>
    <x v="1"/>
    <n v="5500"/>
    <n v="2"/>
    <n v="11000"/>
    <n v="76.97"/>
    <x v="2"/>
    <x v="1"/>
  </r>
  <r>
    <s v="CUST0219"/>
    <n v="0"/>
    <s v="Fatima Scott"/>
    <x v="0"/>
    <n v="37"/>
    <x v="2"/>
    <x v="1"/>
    <x v="0"/>
    <x v="1"/>
    <x v="0"/>
    <x v="0"/>
    <x v="2"/>
    <n v="51"/>
    <x v="5"/>
    <n v="4500"/>
    <n v="1"/>
    <n v="4500"/>
    <n v="146.27000000000001"/>
    <x v="2"/>
    <x v="1"/>
  </r>
  <r>
    <s v="CUST0219"/>
    <n v="0"/>
    <s v="Fatima Scott"/>
    <x v="0"/>
    <n v="37"/>
    <x v="2"/>
    <x v="1"/>
    <x v="2"/>
    <x v="1"/>
    <x v="0"/>
    <x v="0"/>
    <x v="2"/>
    <n v="51"/>
    <x v="18"/>
    <n v="25000"/>
    <n v="17"/>
    <n v="425000"/>
    <n v="151.49"/>
    <x v="2"/>
    <x v="1"/>
  </r>
  <r>
    <s v="CUST0220"/>
    <n v="1"/>
    <s v="Bala Smith"/>
    <x v="1"/>
    <n v="18"/>
    <x v="0"/>
    <x v="34"/>
    <x v="1"/>
    <x v="0"/>
    <x v="2"/>
    <x v="2"/>
    <x v="1"/>
    <n v="15"/>
    <x v="16"/>
    <n v="900"/>
    <n v="10"/>
    <n v="9000"/>
    <n v="59.99"/>
    <x v="5"/>
    <x v="0"/>
  </r>
  <r>
    <s v="CUST0221"/>
    <n v="1"/>
    <s v="Zina Cochran"/>
    <x v="2"/>
    <n v="59"/>
    <x v="3"/>
    <x v="0"/>
    <x v="1"/>
    <x v="0"/>
    <x v="2"/>
    <x v="2"/>
    <x v="1"/>
    <n v="22"/>
    <x v="16"/>
    <n v="900"/>
    <n v="5"/>
    <n v="4500"/>
    <n v="46.07"/>
    <x v="2"/>
    <x v="1"/>
  </r>
  <r>
    <s v="CUST0222"/>
    <n v="1"/>
    <s v="Fatima Carpenter"/>
    <x v="1"/>
    <n v="18"/>
    <x v="0"/>
    <x v="28"/>
    <x v="1"/>
    <x v="0"/>
    <x v="1"/>
    <x v="1"/>
    <x v="3"/>
    <n v="8"/>
    <x v="16"/>
    <n v="900"/>
    <n v="1"/>
    <n v="900"/>
    <n v="132.56"/>
    <x v="2"/>
    <x v="1"/>
  </r>
  <r>
    <s v="CUST0223"/>
    <n v="1"/>
    <s v="Sade Howell"/>
    <x v="0"/>
    <n v="30"/>
    <x v="2"/>
    <x v="15"/>
    <x v="1"/>
    <x v="1"/>
    <x v="3"/>
    <x v="3"/>
    <x v="2"/>
    <n v="25"/>
    <x v="9"/>
    <n v="16000"/>
    <n v="4"/>
    <n v="64000"/>
    <n v="60.57"/>
    <x v="7"/>
    <x v="0"/>
  </r>
  <r>
    <s v="CUST0224"/>
    <n v="1"/>
    <s v="Sarah Stevens"/>
    <x v="0"/>
    <n v="50"/>
    <x v="3"/>
    <x v="21"/>
    <x v="2"/>
    <x v="1"/>
    <x v="3"/>
    <x v="3"/>
    <x v="2"/>
    <n v="54"/>
    <x v="2"/>
    <n v="20000"/>
    <n v="16"/>
    <n v="320000"/>
    <n v="157.06"/>
    <x v="2"/>
    <x v="1"/>
  </r>
  <r>
    <s v="CUST0225"/>
    <n v="1"/>
    <s v="Bala Cummings"/>
    <x v="2"/>
    <n v="41"/>
    <x v="2"/>
    <x v="22"/>
    <x v="1"/>
    <x v="0"/>
    <x v="2"/>
    <x v="2"/>
    <x v="1"/>
    <n v="23"/>
    <x v="0"/>
    <n v="35000"/>
    <n v="1"/>
    <n v="35000"/>
    <n v="66.459999999999994"/>
    <x v="0"/>
    <x v="0"/>
  </r>
  <r>
    <s v="CUST0225"/>
    <n v="0"/>
    <s v="Bala Cummings"/>
    <x v="2"/>
    <n v="41"/>
    <x v="2"/>
    <x v="22"/>
    <x v="2"/>
    <x v="0"/>
    <x v="2"/>
    <x v="2"/>
    <x v="1"/>
    <n v="23"/>
    <x v="4"/>
    <n v="9000"/>
    <n v="4"/>
    <n v="36000"/>
    <n v="134.49"/>
    <x v="0"/>
    <x v="0"/>
  </r>
  <r>
    <s v="CUST0226"/>
    <n v="1"/>
    <s v="Grace Carter"/>
    <x v="0"/>
    <n v="35"/>
    <x v="2"/>
    <x v="33"/>
    <x v="2"/>
    <x v="0"/>
    <x v="2"/>
    <x v="2"/>
    <x v="2"/>
    <n v="47"/>
    <x v="8"/>
    <n v="150000"/>
    <n v="6"/>
    <n v="900000"/>
    <n v="10.49"/>
    <x v="2"/>
    <x v="1"/>
  </r>
  <r>
    <s v="CUST0226"/>
    <n v="0"/>
    <s v="Grace Carter"/>
    <x v="0"/>
    <n v="35"/>
    <x v="2"/>
    <x v="33"/>
    <x v="0"/>
    <x v="0"/>
    <x v="2"/>
    <x v="2"/>
    <x v="2"/>
    <n v="47"/>
    <x v="9"/>
    <n v="16000"/>
    <n v="12"/>
    <n v="192000"/>
    <n v="170.52"/>
    <x v="2"/>
    <x v="1"/>
  </r>
  <r>
    <s v="CUST0227"/>
    <n v="1"/>
    <s v="Ese Stewart"/>
    <x v="0"/>
    <n v="70"/>
    <x v="4"/>
    <x v="27"/>
    <x v="0"/>
    <x v="0"/>
    <x v="1"/>
    <x v="1"/>
    <x v="2"/>
    <n v="55"/>
    <x v="0"/>
    <n v="35000"/>
    <n v="9"/>
    <n v="315000"/>
    <n v="191.04"/>
    <x v="2"/>
    <x v="1"/>
  </r>
  <r>
    <s v="CUST0227"/>
    <n v="0"/>
    <s v="Ese Stewart"/>
    <x v="0"/>
    <n v="70"/>
    <x v="4"/>
    <x v="27"/>
    <x v="1"/>
    <x v="0"/>
    <x v="1"/>
    <x v="1"/>
    <x v="2"/>
    <n v="55"/>
    <x v="14"/>
    <n v="1000"/>
    <n v="11"/>
    <n v="11000"/>
    <n v="74.84"/>
    <x v="2"/>
    <x v="1"/>
  </r>
  <r>
    <s v="CUST0227"/>
    <n v="0"/>
    <s v="Ese Stewart"/>
    <x v="0"/>
    <n v="70"/>
    <x v="4"/>
    <x v="27"/>
    <x v="2"/>
    <x v="0"/>
    <x v="1"/>
    <x v="1"/>
    <x v="2"/>
    <n v="55"/>
    <x v="11"/>
    <n v="30000"/>
    <n v="13"/>
    <n v="390000"/>
    <n v="23.21"/>
    <x v="2"/>
    <x v="1"/>
  </r>
  <r>
    <s v="CUST0228"/>
    <n v="1"/>
    <s v="Zina Fuller"/>
    <x v="2"/>
    <n v="50"/>
    <x v="3"/>
    <x v="6"/>
    <x v="3"/>
    <x v="1"/>
    <x v="0"/>
    <x v="0"/>
    <x v="2"/>
    <n v="52"/>
    <x v="12"/>
    <n v="14500"/>
    <n v="16"/>
    <n v="232000"/>
    <n v="182.29"/>
    <x v="7"/>
    <x v="0"/>
  </r>
  <r>
    <s v="CUST0228"/>
    <n v="0"/>
    <s v="Zina Fuller"/>
    <x v="2"/>
    <n v="50"/>
    <x v="3"/>
    <x v="6"/>
    <x v="1"/>
    <x v="1"/>
    <x v="0"/>
    <x v="0"/>
    <x v="2"/>
    <n v="52"/>
    <x v="1"/>
    <n v="5500"/>
    <n v="13"/>
    <n v="71500"/>
    <n v="36.659999999999997"/>
    <x v="7"/>
    <x v="0"/>
  </r>
  <r>
    <s v="CUST0228"/>
    <n v="0"/>
    <s v="Zina Fuller"/>
    <x v="2"/>
    <n v="50"/>
    <x v="3"/>
    <x v="6"/>
    <x v="2"/>
    <x v="1"/>
    <x v="0"/>
    <x v="0"/>
    <x v="2"/>
    <n v="52"/>
    <x v="18"/>
    <n v="25000"/>
    <n v="5"/>
    <n v="125000"/>
    <n v="122.47"/>
    <x v="7"/>
    <x v="0"/>
  </r>
  <r>
    <s v="CUST0229"/>
    <n v="1"/>
    <s v="John Edwards"/>
    <x v="0"/>
    <n v="78"/>
    <x v="4"/>
    <x v="27"/>
    <x v="1"/>
    <x v="1"/>
    <x v="1"/>
    <x v="1"/>
    <x v="2"/>
    <n v="29"/>
    <x v="6"/>
    <n v="9000"/>
    <n v="20"/>
    <n v="180000"/>
    <n v="104.06"/>
    <x v="4"/>
    <x v="0"/>
  </r>
  <r>
    <s v="CUST0230"/>
    <n v="1"/>
    <s v="Ngozi Pierce"/>
    <x v="2"/>
    <n v="71"/>
    <x v="4"/>
    <x v="7"/>
    <x v="3"/>
    <x v="1"/>
    <x v="0"/>
    <x v="0"/>
    <x v="1"/>
    <n v="23"/>
    <x v="10"/>
    <n v="24000"/>
    <n v="16"/>
    <n v="384000"/>
    <n v="169.84"/>
    <x v="2"/>
    <x v="1"/>
  </r>
  <r>
    <s v="CUST0230"/>
    <n v="0"/>
    <s v="Ngozi Pierce"/>
    <x v="2"/>
    <n v="71"/>
    <x v="4"/>
    <x v="7"/>
    <x v="1"/>
    <x v="1"/>
    <x v="0"/>
    <x v="0"/>
    <x v="1"/>
    <n v="23"/>
    <x v="19"/>
    <n v="600"/>
    <n v="16"/>
    <n v="9600"/>
    <n v="15.44"/>
    <x v="2"/>
    <x v="1"/>
  </r>
  <r>
    <s v="CUST0230"/>
    <n v="0"/>
    <s v="Ngozi Pierce"/>
    <x v="2"/>
    <n v="71"/>
    <x v="4"/>
    <x v="7"/>
    <x v="2"/>
    <x v="1"/>
    <x v="0"/>
    <x v="0"/>
    <x v="1"/>
    <n v="23"/>
    <x v="18"/>
    <n v="25000"/>
    <n v="9"/>
    <n v="225000"/>
    <n v="48.56"/>
    <x v="2"/>
    <x v="1"/>
  </r>
  <r>
    <s v="CUST0231"/>
    <n v="1"/>
    <s v="Sade Smith"/>
    <x v="2"/>
    <n v="80"/>
    <x v="4"/>
    <x v="16"/>
    <x v="1"/>
    <x v="1"/>
    <x v="1"/>
    <x v="1"/>
    <x v="2"/>
    <n v="26"/>
    <x v="1"/>
    <n v="5500"/>
    <n v="16"/>
    <n v="88000"/>
    <n v="63.55"/>
    <x v="2"/>
    <x v="1"/>
  </r>
  <r>
    <s v="CUST0231"/>
    <n v="0"/>
    <s v="Sade Smith"/>
    <x v="2"/>
    <n v="80"/>
    <x v="4"/>
    <x v="16"/>
    <x v="3"/>
    <x v="1"/>
    <x v="1"/>
    <x v="1"/>
    <x v="2"/>
    <n v="26"/>
    <x v="4"/>
    <n v="9000"/>
    <n v="14"/>
    <n v="126000"/>
    <n v="20.98"/>
    <x v="2"/>
    <x v="1"/>
  </r>
  <r>
    <s v="CUST0231"/>
    <n v="0"/>
    <s v="Sade Smith"/>
    <x v="2"/>
    <n v="80"/>
    <x v="4"/>
    <x v="16"/>
    <x v="1"/>
    <x v="1"/>
    <x v="1"/>
    <x v="1"/>
    <x v="2"/>
    <n v="26"/>
    <x v="9"/>
    <n v="16000"/>
    <n v="1"/>
    <n v="16000"/>
    <n v="111.65"/>
    <x v="2"/>
    <x v="1"/>
  </r>
  <r>
    <s v="CUST0232"/>
    <n v="1"/>
    <s v="Chinedu Hughes"/>
    <x v="2"/>
    <n v="54"/>
    <x v="3"/>
    <x v="28"/>
    <x v="0"/>
    <x v="0"/>
    <x v="2"/>
    <x v="2"/>
    <x v="2"/>
    <n v="42"/>
    <x v="0"/>
    <n v="35000"/>
    <n v="20"/>
    <n v="700000"/>
    <n v="66.73"/>
    <x v="2"/>
    <x v="1"/>
  </r>
  <r>
    <s v="CUST0233"/>
    <n v="1"/>
    <s v="John Benjamin"/>
    <x v="2"/>
    <n v="62"/>
    <x v="4"/>
    <x v="30"/>
    <x v="2"/>
    <x v="0"/>
    <x v="1"/>
    <x v="1"/>
    <x v="3"/>
    <n v="7"/>
    <x v="2"/>
    <n v="20000"/>
    <n v="6"/>
    <n v="120000"/>
    <n v="9.6300000000000008"/>
    <x v="2"/>
    <x v="1"/>
  </r>
  <r>
    <s v="CUST0233"/>
    <n v="0"/>
    <s v="John Benjamin"/>
    <x v="2"/>
    <n v="62"/>
    <x v="4"/>
    <x v="30"/>
    <x v="1"/>
    <x v="0"/>
    <x v="1"/>
    <x v="1"/>
    <x v="3"/>
    <n v="7"/>
    <x v="1"/>
    <n v="5500"/>
    <n v="14"/>
    <n v="77000"/>
    <n v="28.52"/>
    <x v="2"/>
    <x v="1"/>
  </r>
  <r>
    <s v="CUST0233"/>
    <n v="0"/>
    <s v="John Benjamin"/>
    <x v="2"/>
    <n v="62"/>
    <x v="4"/>
    <x v="30"/>
    <x v="0"/>
    <x v="0"/>
    <x v="1"/>
    <x v="1"/>
    <x v="3"/>
    <n v="7"/>
    <x v="9"/>
    <n v="16000"/>
    <n v="7"/>
    <n v="112000"/>
    <n v="51.23"/>
    <x v="2"/>
    <x v="1"/>
  </r>
  <r>
    <s v="CUST0234"/>
    <n v="1"/>
    <s v="Bala Hardin"/>
    <x v="2"/>
    <n v="31"/>
    <x v="2"/>
    <x v="10"/>
    <x v="3"/>
    <x v="0"/>
    <x v="2"/>
    <x v="2"/>
    <x v="2"/>
    <n v="30"/>
    <x v="12"/>
    <n v="14500"/>
    <n v="19"/>
    <n v="275500"/>
    <n v="91.75"/>
    <x v="5"/>
    <x v="0"/>
  </r>
  <r>
    <s v="CUST0235"/>
    <n v="1"/>
    <s v="Michael Savage"/>
    <x v="0"/>
    <n v="33"/>
    <x v="2"/>
    <x v="12"/>
    <x v="1"/>
    <x v="0"/>
    <x v="3"/>
    <x v="3"/>
    <x v="2"/>
    <n v="34"/>
    <x v="19"/>
    <n v="600"/>
    <n v="5"/>
    <n v="3000"/>
    <n v="146.22999999999999"/>
    <x v="2"/>
    <x v="1"/>
  </r>
  <r>
    <s v="CUST0235"/>
    <n v="0"/>
    <s v="Michael Savage"/>
    <x v="0"/>
    <n v="33"/>
    <x v="2"/>
    <x v="12"/>
    <x v="2"/>
    <x v="0"/>
    <x v="3"/>
    <x v="3"/>
    <x v="2"/>
    <n v="34"/>
    <x v="2"/>
    <n v="20000"/>
    <n v="20"/>
    <n v="400000"/>
    <n v="77.790000000000006"/>
    <x v="2"/>
    <x v="1"/>
  </r>
  <r>
    <s v="CUST0235"/>
    <n v="0"/>
    <s v="Michael Savage"/>
    <x v="0"/>
    <n v="33"/>
    <x v="2"/>
    <x v="12"/>
    <x v="3"/>
    <x v="0"/>
    <x v="3"/>
    <x v="3"/>
    <x v="2"/>
    <n v="34"/>
    <x v="10"/>
    <n v="24000"/>
    <n v="17"/>
    <n v="408000"/>
    <n v="176.6"/>
    <x v="2"/>
    <x v="1"/>
  </r>
  <r>
    <s v="CUST0236"/>
    <n v="1"/>
    <s v="Omamuzo Stephenson"/>
    <x v="1"/>
    <n v="69"/>
    <x v="4"/>
    <x v="7"/>
    <x v="1"/>
    <x v="1"/>
    <x v="2"/>
    <x v="2"/>
    <x v="2"/>
    <n v="26"/>
    <x v="0"/>
    <n v="35000"/>
    <n v="17"/>
    <n v="595000"/>
    <n v="120.7"/>
    <x v="2"/>
    <x v="1"/>
  </r>
  <r>
    <s v="CUST0237"/>
    <n v="1"/>
    <s v="Maryam Moore"/>
    <x v="1"/>
    <n v="56"/>
    <x v="3"/>
    <x v="9"/>
    <x v="0"/>
    <x v="0"/>
    <x v="2"/>
    <x v="2"/>
    <x v="1"/>
    <n v="14"/>
    <x v="6"/>
    <n v="9000"/>
    <n v="12"/>
    <n v="108000"/>
    <n v="142.22"/>
    <x v="2"/>
    <x v="1"/>
  </r>
  <r>
    <s v="CUST0238"/>
    <n v="1"/>
    <s v="John Patel"/>
    <x v="2"/>
    <n v="69"/>
    <x v="4"/>
    <x v="11"/>
    <x v="1"/>
    <x v="1"/>
    <x v="1"/>
    <x v="1"/>
    <x v="2"/>
    <n v="57"/>
    <x v="19"/>
    <n v="600"/>
    <n v="2"/>
    <n v="1200"/>
    <n v="11.09"/>
    <x v="2"/>
    <x v="1"/>
  </r>
  <r>
    <s v="CUST0239"/>
    <n v="1"/>
    <s v="Bala Holt"/>
    <x v="1"/>
    <n v="50"/>
    <x v="3"/>
    <x v="1"/>
    <x v="2"/>
    <x v="1"/>
    <x v="0"/>
    <x v="0"/>
    <x v="2"/>
    <n v="44"/>
    <x v="18"/>
    <n v="25000"/>
    <n v="4"/>
    <n v="100000"/>
    <n v="162.9"/>
    <x v="2"/>
    <x v="1"/>
  </r>
  <r>
    <s v="CUST0239"/>
    <n v="0"/>
    <s v="Bala Holt"/>
    <x v="1"/>
    <n v="50"/>
    <x v="3"/>
    <x v="1"/>
    <x v="3"/>
    <x v="1"/>
    <x v="0"/>
    <x v="0"/>
    <x v="2"/>
    <n v="44"/>
    <x v="10"/>
    <n v="24000"/>
    <n v="18"/>
    <n v="432000"/>
    <n v="173.67"/>
    <x v="2"/>
    <x v="1"/>
  </r>
  <r>
    <s v="CUST0239"/>
    <n v="0"/>
    <s v="Bala Holt"/>
    <x v="1"/>
    <n v="50"/>
    <x v="3"/>
    <x v="1"/>
    <x v="1"/>
    <x v="1"/>
    <x v="0"/>
    <x v="0"/>
    <x v="2"/>
    <n v="44"/>
    <x v="13"/>
    <n v="350"/>
    <n v="18"/>
    <n v="6300"/>
    <n v="148.61000000000001"/>
    <x v="2"/>
    <x v="1"/>
  </r>
  <r>
    <s v="CUST0240"/>
    <n v="1"/>
    <s v="Omamuzo Roberts"/>
    <x v="0"/>
    <n v="46"/>
    <x v="3"/>
    <x v="28"/>
    <x v="2"/>
    <x v="1"/>
    <x v="4"/>
    <x v="4"/>
    <x v="2"/>
    <n v="45"/>
    <x v="4"/>
    <n v="9000"/>
    <n v="7"/>
    <n v="63000"/>
    <n v="148.86000000000001"/>
    <x v="2"/>
    <x v="1"/>
  </r>
  <r>
    <s v="CUST0240"/>
    <n v="0"/>
    <s v="Omamuzo Roberts"/>
    <x v="0"/>
    <n v="46"/>
    <x v="3"/>
    <x v="28"/>
    <x v="1"/>
    <x v="1"/>
    <x v="4"/>
    <x v="4"/>
    <x v="2"/>
    <n v="45"/>
    <x v="1"/>
    <n v="5500"/>
    <n v="12"/>
    <n v="66000"/>
    <n v="166.08"/>
    <x v="2"/>
    <x v="1"/>
  </r>
  <r>
    <s v="CUST0240"/>
    <n v="0"/>
    <s v="Omamuzo Roberts"/>
    <x v="0"/>
    <n v="46"/>
    <x v="3"/>
    <x v="28"/>
    <x v="3"/>
    <x v="1"/>
    <x v="4"/>
    <x v="4"/>
    <x v="2"/>
    <n v="45"/>
    <x v="10"/>
    <n v="24000"/>
    <n v="20"/>
    <n v="480000"/>
    <n v="109.55"/>
    <x v="2"/>
    <x v="1"/>
  </r>
  <r>
    <s v="CUST0241"/>
    <n v="1"/>
    <s v="Bala Calhoun"/>
    <x v="0"/>
    <n v="40"/>
    <x v="2"/>
    <x v="14"/>
    <x v="3"/>
    <x v="1"/>
    <x v="0"/>
    <x v="0"/>
    <x v="3"/>
    <n v="12"/>
    <x v="12"/>
    <n v="14500"/>
    <n v="9"/>
    <n v="130500"/>
    <n v="56.18"/>
    <x v="2"/>
    <x v="1"/>
  </r>
  <r>
    <s v="CUST0241"/>
    <n v="0"/>
    <s v="Bala Calhoun"/>
    <x v="0"/>
    <n v="40"/>
    <x v="2"/>
    <x v="14"/>
    <x v="0"/>
    <x v="1"/>
    <x v="0"/>
    <x v="0"/>
    <x v="3"/>
    <n v="12"/>
    <x v="5"/>
    <n v="4500"/>
    <n v="9"/>
    <n v="40500"/>
    <n v="32.61"/>
    <x v="2"/>
    <x v="1"/>
  </r>
  <r>
    <s v="CUST0241"/>
    <n v="0"/>
    <s v="Bala Calhoun"/>
    <x v="0"/>
    <n v="40"/>
    <x v="2"/>
    <x v="14"/>
    <x v="1"/>
    <x v="1"/>
    <x v="0"/>
    <x v="0"/>
    <x v="3"/>
    <n v="12"/>
    <x v="16"/>
    <n v="900"/>
    <n v="5"/>
    <n v="4500"/>
    <n v="66.45"/>
    <x v="2"/>
    <x v="1"/>
  </r>
  <r>
    <s v="CUST0242"/>
    <n v="1"/>
    <s v="Bola Miller"/>
    <x v="1"/>
    <n v="35"/>
    <x v="2"/>
    <x v="32"/>
    <x v="2"/>
    <x v="0"/>
    <x v="4"/>
    <x v="4"/>
    <x v="2"/>
    <n v="50"/>
    <x v="12"/>
    <n v="14500"/>
    <n v="17"/>
    <n v="246500"/>
    <n v="191.42"/>
    <x v="2"/>
    <x v="1"/>
  </r>
  <r>
    <s v="CUST0242"/>
    <n v="0"/>
    <s v="Bola Miller"/>
    <x v="1"/>
    <n v="35"/>
    <x v="2"/>
    <x v="32"/>
    <x v="3"/>
    <x v="0"/>
    <x v="4"/>
    <x v="4"/>
    <x v="2"/>
    <n v="50"/>
    <x v="4"/>
    <n v="9000"/>
    <n v="6"/>
    <n v="54000"/>
    <n v="157.36000000000001"/>
    <x v="2"/>
    <x v="1"/>
  </r>
  <r>
    <s v="CUST0242"/>
    <n v="0"/>
    <s v="Bola Miller"/>
    <x v="1"/>
    <n v="35"/>
    <x v="2"/>
    <x v="32"/>
    <x v="0"/>
    <x v="0"/>
    <x v="4"/>
    <x v="4"/>
    <x v="2"/>
    <n v="50"/>
    <x v="0"/>
    <n v="35000"/>
    <n v="13"/>
    <n v="455000"/>
    <n v="108.84"/>
    <x v="2"/>
    <x v="1"/>
  </r>
  <r>
    <s v="CUST0243"/>
    <n v="1"/>
    <s v="Chinedu Elliott"/>
    <x v="1"/>
    <n v="60"/>
    <x v="4"/>
    <x v="16"/>
    <x v="1"/>
    <x v="0"/>
    <x v="2"/>
    <x v="2"/>
    <x v="2"/>
    <n v="43"/>
    <x v="20"/>
    <n v="6500"/>
    <n v="1"/>
    <n v="6500"/>
    <n v="164.83"/>
    <x v="2"/>
    <x v="1"/>
  </r>
  <r>
    <s v="CUST0244"/>
    <n v="1"/>
    <s v="Ifeanyi Austin"/>
    <x v="2"/>
    <n v="60"/>
    <x v="4"/>
    <x v="30"/>
    <x v="1"/>
    <x v="0"/>
    <x v="1"/>
    <x v="1"/>
    <x v="2"/>
    <n v="58"/>
    <x v="15"/>
    <n v="7500"/>
    <n v="10"/>
    <n v="75000"/>
    <n v="51.69"/>
    <x v="2"/>
    <x v="1"/>
  </r>
  <r>
    <s v="CUST0244"/>
    <n v="0"/>
    <s v="Ifeanyi Austin"/>
    <x v="2"/>
    <n v="60"/>
    <x v="4"/>
    <x v="30"/>
    <x v="3"/>
    <x v="0"/>
    <x v="1"/>
    <x v="1"/>
    <x v="2"/>
    <n v="58"/>
    <x v="4"/>
    <n v="9000"/>
    <n v="12"/>
    <n v="108000"/>
    <n v="182.31"/>
    <x v="2"/>
    <x v="1"/>
  </r>
  <r>
    <s v="CUST0245"/>
    <n v="1"/>
    <s v="Michael Jones"/>
    <x v="2"/>
    <n v="73"/>
    <x v="4"/>
    <x v="12"/>
    <x v="0"/>
    <x v="0"/>
    <x v="2"/>
    <x v="2"/>
    <x v="1"/>
    <n v="19"/>
    <x v="9"/>
    <n v="16000"/>
    <n v="7"/>
    <n v="112000"/>
    <n v="125.57"/>
    <x v="2"/>
    <x v="1"/>
  </r>
  <r>
    <s v="CUST0246"/>
    <n v="1"/>
    <s v="Fatima Foster"/>
    <x v="2"/>
    <n v="70"/>
    <x v="4"/>
    <x v="13"/>
    <x v="3"/>
    <x v="0"/>
    <x v="1"/>
    <x v="1"/>
    <x v="2"/>
    <n v="35"/>
    <x v="12"/>
    <n v="14500"/>
    <n v="2"/>
    <n v="29000"/>
    <n v="143.52000000000001"/>
    <x v="2"/>
    <x v="1"/>
  </r>
  <r>
    <s v="CUST0247"/>
    <n v="1"/>
    <s v="Chinedu Yates"/>
    <x v="1"/>
    <n v="25"/>
    <x v="0"/>
    <x v="4"/>
    <x v="2"/>
    <x v="0"/>
    <x v="3"/>
    <x v="3"/>
    <x v="2"/>
    <n v="51"/>
    <x v="17"/>
    <n v="75000"/>
    <n v="13"/>
    <n v="975000"/>
    <n v="77.91"/>
    <x v="1"/>
    <x v="0"/>
  </r>
  <r>
    <s v="CUST0248"/>
    <n v="1"/>
    <s v="Boma Peterson"/>
    <x v="0"/>
    <n v="56"/>
    <x v="3"/>
    <x v="17"/>
    <x v="3"/>
    <x v="1"/>
    <x v="3"/>
    <x v="3"/>
    <x v="2"/>
    <n v="44"/>
    <x v="4"/>
    <n v="9000"/>
    <n v="17"/>
    <n v="153000"/>
    <n v="71.86"/>
    <x v="7"/>
    <x v="0"/>
  </r>
  <r>
    <s v="CUST0248"/>
    <n v="0"/>
    <s v="Boma Peterson"/>
    <x v="0"/>
    <n v="56"/>
    <x v="3"/>
    <x v="17"/>
    <x v="2"/>
    <x v="1"/>
    <x v="3"/>
    <x v="3"/>
    <x v="2"/>
    <n v="44"/>
    <x v="2"/>
    <n v="20000"/>
    <n v="10"/>
    <n v="200000"/>
    <n v="58.32"/>
    <x v="7"/>
    <x v="0"/>
  </r>
  <r>
    <s v="CUST0248"/>
    <n v="0"/>
    <s v="Boma Peterson"/>
    <x v="0"/>
    <n v="56"/>
    <x v="3"/>
    <x v="17"/>
    <x v="1"/>
    <x v="1"/>
    <x v="3"/>
    <x v="3"/>
    <x v="2"/>
    <n v="44"/>
    <x v="14"/>
    <n v="1000"/>
    <n v="15"/>
    <n v="15000"/>
    <n v="56.66"/>
    <x v="7"/>
    <x v="0"/>
  </r>
  <r>
    <s v="CUST0249"/>
    <n v="1"/>
    <s v="Omamuzo Jones"/>
    <x v="2"/>
    <n v="66"/>
    <x v="4"/>
    <x v="17"/>
    <x v="2"/>
    <x v="1"/>
    <x v="0"/>
    <x v="0"/>
    <x v="3"/>
    <n v="11"/>
    <x v="10"/>
    <n v="24000"/>
    <n v="12"/>
    <n v="288000"/>
    <n v="135.62"/>
    <x v="2"/>
    <x v="1"/>
  </r>
  <r>
    <s v="CUST0249"/>
    <n v="0"/>
    <s v="Omamuzo Jones"/>
    <x v="2"/>
    <n v="66"/>
    <x v="4"/>
    <x v="17"/>
    <x v="1"/>
    <x v="1"/>
    <x v="0"/>
    <x v="0"/>
    <x v="3"/>
    <n v="11"/>
    <x v="16"/>
    <n v="900"/>
    <n v="18"/>
    <n v="16200"/>
    <n v="110.93"/>
    <x v="2"/>
    <x v="1"/>
  </r>
  <r>
    <s v="CUST0249"/>
    <n v="0"/>
    <s v="Omamuzo Jones"/>
    <x v="2"/>
    <n v="66"/>
    <x v="4"/>
    <x v="17"/>
    <x v="3"/>
    <x v="1"/>
    <x v="0"/>
    <x v="0"/>
    <x v="3"/>
    <n v="11"/>
    <x v="2"/>
    <n v="20000"/>
    <n v="1"/>
    <n v="20000"/>
    <n v="25.09"/>
    <x v="2"/>
    <x v="1"/>
  </r>
  <r>
    <s v="CUST0250"/>
    <n v="1"/>
    <s v="Tamuno Lawrence"/>
    <x v="1"/>
    <n v="26"/>
    <x v="0"/>
    <x v="24"/>
    <x v="0"/>
    <x v="0"/>
    <x v="0"/>
    <x v="0"/>
    <x v="2"/>
    <n v="48"/>
    <x v="5"/>
    <n v="4500"/>
    <n v="9"/>
    <n v="40500"/>
    <n v="123.57"/>
    <x v="2"/>
    <x v="1"/>
  </r>
  <r>
    <s v="CUST0250"/>
    <n v="0"/>
    <s v="Tamuno Lawrence"/>
    <x v="1"/>
    <n v="26"/>
    <x v="0"/>
    <x v="24"/>
    <x v="3"/>
    <x v="0"/>
    <x v="0"/>
    <x v="0"/>
    <x v="2"/>
    <n v="48"/>
    <x v="2"/>
    <n v="20000"/>
    <n v="19"/>
    <n v="380000"/>
    <n v="23.37"/>
    <x v="2"/>
    <x v="1"/>
  </r>
  <r>
    <s v="CUST0250"/>
    <n v="0"/>
    <s v="Tamuno Lawrence"/>
    <x v="1"/>
    <n v="26"/>
    <x v="0"/>
    <x v="24"/>
    <x v="2"/>
    <x v="0"/>
    <x v="0"/>
    <x v="0"/>
    <x v="2"/>
    <n v="48"/>
    <x v="4"/>
    <n v="9000"/>
    <n v="18"/>
    <n v="162000"/>
    <n v="170.35"/>
    <x v="2"/>
    <x v="1"/>
  </r>
  <r>
    <s v="CUST0251"/>
    <n v="1"/>
    <s v="Zina Nicholson"/>
    <x v="0"/>
    <n v="25"/>
    <x v="0"/>
    <x v="14"/>
    <x v="2"/>
    <x v="0"/>
    <x v="0"/>
    <x v="0"/>
    <x v="1"/>
    <n v="17"/>
    <x v="11"/>
    <n v="30000"/>
    <n v="8"/>
    <n v="240000"/>
    <n v="134.41999999999999"/>
    <x v="2"/>
    <x v="1"/>
  </r>
  <r>
    <s v="CUST0251"/>
    <n v="0"/>
    <s v="Zina Nicholson"/>
    <x v="0"/>
    <n v="25"/>
    <x v="0"/>
    <x v="14"/>
    <x v="0"/>
    <x v="0"/>
    <x v="0"/>
    <x v="0"/>
    <x v="1"/>
    <n v="17"/>
    <x v="9"/>
    <n v="16000"/>
    <n v="3"/>
    <n v="48000"/>
    <n v="57.38"/>
    <x v="2"/>
    <x v="1"/>
  </r>
  <r>
    <s v="CUST0252"/>
    <n v="1"/>
    <s v="Bala Graham"/>
    <x v="1"/>
    <n v="56"/>
    <x v="3"/>
    <x v="12"/>
    <x v="2"/>
    <x v="1"/>
    <x v="3"/>
    <x v="3"/>
    <x v="1"/>
    <n v="22"/>
    <x v="11"/>
    <n v="30000"/>
    <n v="8"/>
    <n v="240000"/>
    <n v="1.46"/>
    <x v="0"/>
    <x v="0"/>
  </r>
  <r>
    <s v="CUST0252"/>
    <n v="0"/>
    <s v="Bala Graham"/>
    <x v="1"/>
    <n v="56"/>
    <x v="3"/>
    <x v="12"/>
    <x v="1"/>
    <x v="1"/>
    <x v="3"/>
    <x v="3"/>
    <x v="1"/>
    <n v="22"/>
    <x v="5"/>
    <n v="4500"/>
    <n v="14"/>
    <n v="63000"/>
    <n v="142.58000000000001"/>
    <x v="0"/>
    <x v="0"/>
  </r>
  <r>
    <s v="CUST0253"/>
    <n v="1"/>
    <s v="Zainab Blackwell"/>
    <x v="2"/>
    <n v="62"/>
    <x v="4"/>
    <x v="21"/>
    <x v="1"/>
    <x v="1"/>
    <x v="4"/>
    <x v="4"/>
    <x v="2"/>
    <n v="57"/>
    <x v="14"/>
    <n v="1000"/>
    <n v="20"/>
    <n v="20000"/>
    <n v="35.57"/>
    <x v="2"/>
    <x v="1"/>
  </r>
  <r>
    <s v="CUST0253"/>
    <n v="0"/>
    <s v="Zainab Blackwell"/>
    <x v="2"/>
    <n v="62"/>
    <x v="4"/>
    <x v="21"/>
    <x v="2"/>
    <x v="1"/>
    <x v="4"/>
    <x v="4"/>
    <x v="2"/>
    <n v="57"/>
    <x v="2"/>
    <n v="20000"/>
    <n v="5"/>
    <n v="100000"/>
    <n v="168.44"/>
    <x v="2"/>
    <x v="1"/>
  </r>
  <r>
    <s v="CUST0254"/>
    <n v="1"/>
    <s v="David Rodriguez"/>
    <x v="0"/>
    <n v="41"/>
    <x v="2"/>
    <x v="22"/>
    <x v="3"/>
    <x v="0"/>
    <x v="1"/>
    <x v="1"/>
    <x v="2"/>
    <n v="47"/>
    <x v="10"/>
    <n v="24000"/>
    <n v="2"/>
    <n v="48000"/>
    <n v="42.95"/>
    <x v="2"/>
    <x v="1"/>
  </r>
  <r>
    <s v="CUST0254"/>
    <n v="0"/>
    <s v="David Rodriguez"/>
    <x v="0"/>
    <n v="41"/>
    <x v="2"/>
    <x v="22"/>
    <x v="2"/>
    <x v="0"/>
    <x v="1"/>
    <x v="1"/>
    <x v="2"/>
    <n v="47"/>
    <x v="10"/>
    <n v="24000"/>
    <n v="18"/>
    <n v="432000"/>
    <n v="108.92"/>
    <x v="2"/>
    <x v="1"/>
  </r>
  <r>
    <s v="CUST0254"/>
    <n v="0"/>
    <s v="David Rodriguez"/>
    <x v="0"/>
    <n v="41"/>
    <x v="2"/>
    <x v="22"/>
    <x v="0"/>
    <x v="0"/>
    <x v="1"/>
    <x v="1"/>
    <x v="2"/>
    <n v="47"/>
    <x v="0"/>
    <n v="35000"/>
    <n v="5"/>
    <n v="175000"/>
    <n v="130.94999999999999"/>
    <x v="2"/>
    <x v="1"/>
  </r>
  <r>
    <s v="CUST0255"/>
    <n v="1"/>
    <s v="Ejiro Miller"/>
    <x v="2"/>
    <n v="66"/>
    <x v="4"/>
    <x v="16"/>
    <x v="2"/>
    <x v="1"/>
    <x v="3"/>
    <x v="3"/>
    <x v="3"/>
    <n v="9"/>
    <x v="4"/>
    <n v="9000"/>
    <n v="20"/>
    <n v="180000"/>
    <n v="132.69999999999999"/>
    <x v="2"/>
    <x v="1"/>
  </r>
  <r>
    <s v="CUST0255"/>
    <n v="0"/>
    <s v="Ejiro Miller"/>
    <x v="2"/>
    <n v="66"/>
    <x v="4"/>
    <x v="16"/>
    <x v="1"/>
    <x v="1"/>
    <x v="3"/>
    <x v="3"/>
    <x v="3"/>
    <n v="9"/>
    <x v="19"/>
    <n v="600"/>
    <n v="5"/>
    <n v="3000"/>
    <n v="151.56"/>
    <x v="2"/>
    <x v="1"/>
  </r>
  <r>
    <s v="CUST0256"/>
    <n v="1"/>
    <s v="Alabo Smith"/>
    <x v="2"/>
    <n v="36"/>
    <x v="2"/>
    <x v="20"/>
    <x v="0"/>
    <x v="0"/>
    <x v="2"/>
    <x v="2"/>
    <x v="2"/>
    <n v="48"/>
    <x v="6"/>
    <n v="9000"/>
    <n v="2"/>
    <n v="18000"/>
    <n v="74.2"/>
    <x v="1"/>
    <x v="0"/>
  </r>
  <r>
    <s v="CUST0256"/>
    <n v="0"/>
    <s v="Alabo Smith"/>
    <x v="2"/>
    <n v="36"/>
    <x v="2"/>
    <x v="20"/>
    <x v="3"/>
    <x v="0"/>
    <x v="2"/>
    <x v="2"/>
    <x v="2"/>
    <n v="48"/>
    <x v="2"/>
    <n v="20000"/>
    <n v="12"/>
    <n v="240000"/>
    <n v="103.82"/>
    <x v="1"/>
    <x v="0"/>
  </r>
  <r>
    <s v="CUST0257"/>
    <n v="1"/>
    <s v="Omamuzo Smith"/>
    <x v="1"/>
    <n v="76"/>
    <x v="4"/>
    <x v="2"/>
    <x v="2"/>
    <x v="0"/>
    <x v="1"/>
    <x v="1"/>
    <x v="0"/>
    <n v="3"/>
    <x v="11"/>
    <n v="30000"/>
    <n v="13"/>
    <n v="390000"/>
    <n v="75.64"/>
    <x v="2"/>
    <x v="1"/>
  </r>
  <r>
    <s v="CUST0257"/>
    <n v="0"/>
    <s v="Omamuzo Smith"/>
    <x v="1"/>
    <n v="76"/>
    <x v="4"/>
    <x v="2"/>
    <x v="1"/>
    <x v="0"/>
    <x v="1"/>
    <x v="1"/>
    <x v="0"/>
    <n v="3"/>
    <x v="7"/>
    <n v="3500"/>
    <n v="3"/>
    <n v="10500"/>
    <n v="117.74"/>
    <x v="2"/>
    <x v="1"/>
  </r>
  <r>
    <s v="CUST0257"/>
    <n v="0"/>
    <s v="Omamuzo Smith"/>
    <x v="1"/>
    <n v="76"/>
    <x v="4"/>
    <x v="2"/>
    <x v="0"/>
    <x v="0"/>
    <x v="1"/>
    <x v="1"/>
    <x v="0"/>
    <n v="3"/>
    <x v="6"/>
    <n v="9000"/>
    <n v="8"/>
    <n v="72000"/>
    <n v="75.58"/>
    <x v="2"/>
    <x v="1"/>
  </r>
  <r>
    <s v="CUST0258"/>
    <n v="1"/>
    <s v="Sarah Munoz"/>
    <x v="2"/>
    <n v="67"/>
    <x v="4"/>
    <x v="25"/>
    <x v="1"/>
    <x v="1"/>
    <x v="3"/>
    <x v="3"/>
    <x v="2"/>
    <n v="32"/>
    <x v="9"/>
    <n v="16000"/>
    <n v="9"/>
    <n v="144000"/>
    <n v="103.15"/>
    <x v="6"/>
    <x v="0"/>
  </r>
  <r>
    <s v="CUST0258"/>
    <n v="0"/>
    <s v="Sarah Munoz"/>
    <x v="2"/>
    <n v="67"/>
    <x v="4"/>
    <x v="25"/>
    <x v="3"/>
    <x v="1"/>
    <x v="3"/>
    <x v="3"/>
    <x v="2"/>
    <n v="32"/>
    <x v="2"/>
    <n v="20000"/>
    <n v="6"/>
    <n v="120000"/>
    <n v="30.47"/>
    <x v="6"/>
    <x v="0"/>
  </r>
  <r>
    <s v="CUST0259"/>
    <n v="1"/>
    <s v="Ejiro Collins"/>
    <x v="1"/>
    <n v="31"/>
    <x v="2"/>
    <x v="16"/>
    <x v="1"/>
    <x v="1"/>
    <x v="1"/>
    <x v="1"/>
    <x v="2"/>
    <n v="52"/>
    <x v="19"/>
    <n v="600"/>
    <n v="14"/>
    <n v="8400"/>
    <n v="129.63"/>
    <x v="2"/>
    <x v="1"/>
  </r>
  <r>
    <s v="CUST0259"/>
    <n v="0"/>
    <s v="Ejiro Collins"/>
    <x v="1"/>
    <n v="31"/>
    <x v="2"/>
    <x v="16"/>
    <x v="3"/>
    <x v="1"/>
    <x v="1"/>
    <x v="1"/>
    <x v="2"/>
    <n v="52"/>
    <x v="4"/>
    <n v="9000"/>
    <n v="5"/>
    <n v="45000"/>
    <n v="49.11"/>
    <x v="2"/>
    <x v="1"/>
  </r>
  <r>
    <s v="CUST0260"/>
    <n v="1"/>
    <s v="Amina Johns"/>
    <x v="2"/>
    <n v="33"/>
    <x v="2"/>
    <x v="28"/>
    <x v="1"/>
    <x v="0"/>
    <x v="1"/>
    <x v="1"/>
    <x v="2"/>
    <n v="58"/>
    <x v="3"/>
    <n v="500"/>
    <n v="7"/>
    <n v="3500"/>
    <n v="189.48"/>
    <x v="6"/>
    <x v="0"/>
  </r>
  <r>
    <s v="CUST0260"/>
    <n v="0"/>
    <s v="Amina Johns"/>
    <x v="2"/>
    <n v="33"/>
    <x v="2"/>
    <x v="28"/>
    <x v="2"/>
    <x v="0"/>
    <x v="1"/>
    <x v="1"/>
    <x v="2"/>
    <n v="58"/>
    <x v="8"/>
    <n v="150000"/>
    <n v="16"/>
    <n v="2400000"/>
    <n v="121.5"/>
    <x v="6"/>
    <x v="0"/>
  </r>
  <r>
    <s v="CUST0260"/>
    <n v="0"/>
    <s v="Amina Johns"/>
    <x v="2"/>
    <n v="33"/>
    <x v="2"/>
    <x v="28"/>
    <x v="3"/>
    <x v="0"/>
    <x v="1"/>
    <x v="1"/>
    <x v="2"/>
    <n v="58"/>
    <x v="12"/>
    <n v="14500"/>
    <n v="14"/>
    <n v="203000"/>
    <n v="34.53"/>
    <x v="6"/>
    <x v="0"/>
  </r>
  <r>
    <s v="CUST0261"/>
    <n v="1"/>
    <s v="Obinna Simon"/>
    <x v="1"/>
    <n v="39"/>
    <x v="2"/>
    <x v="28"/>
    <x v="0"/>
    <x v="1"/>
    <x v="4"/>
    <x v="4"/>
    <x v="3"/>
    <n v="11"/>
    <x v="0"/>
    <n v="35000"/>
    <n v="4"/>
    <n v="140000"/>
    <n v="77.400000000000006"/>
    <x v="2"/>
    <x v="1"/>
  </r>
  <r>
    <s v="CUST0262"/>
    <n v="1"/>
    <s v="Funke Alexander"/>
    <x v="2"/>
    <n v="41"/>
    <x v="2"/>
    <x v="8"/>
    <x v="3"/>
    <x v="1"/>
    <x v="3"/>
    <x v="3"/>
    <x v="2"/>
    <n v="53"/>
    <x v="4"/>
    <n v="9000"/>
    <n v="5"/>
    <n v="45000"/>
    <n v="96.71"/>
    <x v="5"/>
    <x v="0"/>
  </r>
  <r>
    <s v="CUST0262"/>
    <n v="0"/>
    <s v="Funke Alexander"/>
    <x v="2"/>
    <n v="41"/>
    <x v="2"/>
    <x v="8"/>
    <x v="2"/>
    <x v="1"/>
    <x v="3"/>
    <x v="3"/>
    <x v="2"/>
    <n v="53"/>
    <x v="4"/>
    <n v="9000"/>
    <n v="14"/>
    <n v="126000"/>
    <n v="179.45"/>
    <x v="5"/>
    <x v="0"/>
  </r>
  <r>
    <s v="CUST0262"/>
    <n v="0"/>
    <s v="Funke Alexander"/>
    <x v="2"/>
    <n v="41"/>
    <x v="2"/>
    <x v="8"/>
    <x v="1"/>
    <x v="1"/>
    <x v="3"/>
    <x v="3"/>
    <x v="2"/>
    <n v="53"/>
    <x v="20"/>
    <n v="6500"/>
    <n v="2"/>
    <n v="13000"/>
    <n v="84.43"/>
    <x v="5"/>
    <x v="0"/>
  </r>
  <r>
    <s v="CUST0263"/>
    <n v="1"/>
    <s v="Sarah Fritz"/>
    <x v="2"/>
    <n v="70"/>
    <x v="4"/>
    <x v="16"/>
    <x v="3"/>
    <x v="1"/>
    <x v="2"/>
    <x v="2"/>
    <x v="2"/>
    <n v="51"/>
    <x v="11"/>
    <n v="30000"/>
    <n v="8"/>
    <n v="240000"/>
    <n v="95.69"/>
    <x v="2"/>
    <x v="1"/>
  </r>
  <r>
    <s v="CUST0263"/>
    <n v="0"/>
    <s v="Sarah Fritz"/>
    <x v="2"/>
    <n v="70"/>
    <x v="4"/>
    <x v="16"/>
    <x v="0"/>
    <x v="1"/>
    <x v="2"/>
    <x v="2"/>
    <x v="2"/>
    <n v="51"/>
    <x v="9"/>
    <n v="16000"/>
    <n v="18"/>
    <n v="288000"/>
    <n v="57.01"/>
    <x v="2"/>
    <x v="1"/>
  </r>
  <r>
    <s v="CUST0263"/>
    <n v="0"/>
    <s v="Sarah Fritz"/>
    <x v="2"/>
    <n v="70"/>
    <x v="4"/>
    <x v="16"/>
    <x v="1"/>
    <x v="1"/>
    <x v="2"/>
    <x v="2"/>
    <x v="2"/>
    <n v="51"/>
    <x v="15"/>
    <n v="7500"/>
    <n v="1"/>
    <n v="7500"/>
    <n v="51.93"/>
    <x v="2"/>
    <x v="1"/>
  </r>
  <r>
    <s v="CUST0264"/>
    <n v="1"/>
    <s v="Tunde Smith"/>
    <x v="2"/>
    <n v="31"/>
    <x v="2"/>
    <x v="8"/>
    <x v="1"/>
    <x v="0"/>
    <x v="2"/>
    <x v="2"/>
    <x v="2"/>
    <n v="25"/>
    <x v="0"/>
    <n v="35000"/>
    <n v="9"/>
    <n v="315000"/>
    <n v="130.49"/>
    <x v="2"/>
    <x v="1"/>
  </r>
  <r>
    <s v="CUST0265"/>
    <n v="1"/>
    <s v="Saidu Martinez"/>
    <x v="2"/>
    <n v="70"/>
    <x v="4"/>
    <x v="3"/>
    <x v="1"/>
    <x v="1"/>
    <x v="0"/>
    <x v="0"/>
    <x v="2"/>
    <n v="44"/>
    <x v="20"/>
    <n v="6500"/>
    <n v="9"/>
    <n v="58500"/>
    <n v="111.2"/>
    <x v="2"/>
    <x v="1"/>
  </r>
  <r>
    <s v="CUST0265"/>
    <n v="0"/>
    <s v="Saidu Martinez"/>
    <x v="2"/>
    <n v="70"/>
    <x v="4"/>
    <x v="3"/>
    <x v="3"/>
    <x v="1"/>
    <x v="0"/>
    <x v="0"/>
    <x v="2"/>
    <n v="44"/>
    <x v="11"/>
    <n v="30000"/>
    <n v="13"/>
    <n v="390000"/>
    <n v="115.74"/>
    <x v="2"/>
    <x v="1"/>
  </r>
  <r>
    <s v="CUST0265"/>
    <n v="0"/>
    <s v="Saidu Martinez"/>
    <x v="2"/>
    <n v="70"/>
    <x v="4"/>
    <x v="3"/>
    <x v="0"/>
    <x v="1"/>
    <x v="0"/>
    <x v="0"/>
    <x v="2"/>
    <n v="44"/>
    <x v="5"/>
    <n v="4500"/>
    <n v="4"/>
    <n v="18000"/>
    <n v="171.07"/>
    <x v="2"/>
    <x v="1"/>
  </r>
  <r>
    <s v="CUST0266"/>
    <n v="1"/>
    <s v="Nura Hunter"/>
    <x v="2"/>
    <n v="73"/>
    <x v="4"/>
    <x v="1"/>
    <x v="3"/>
    <x v="0"/>
    <x v="2"/>
    <x v="2"/>
    <x v="1"/>
    <n v="14"/>
    <x v="4"/>
    <n v="9000"/>
    <n v="5"/>
    <n v="45000"/>
    <n v="160.97"/>
    <x v="2"/>
    <x v="1"/>
  </r>
  <r>
    <s v="CUST0266"/>
    <n v="0"/>
    <s v="Nura Hunter"/>
    <x v="2"/>
    <n v="73"/>
    <x v="4"/>
    <x v="1"/>
    <x v="1"/>
    <x v="0"/>
    <x v="2"/>
    <x v="2"/>
    <x v="1"/>
    <n v="14"/>
    <x v="1"/>
    <n v="5500"/>
    <n v="14"/>
    <n v="77000"/>
    <n v="185.21"/>
    <x v="2"/>
    <x v="1"/>
  </r>
  <r>
    <s v="CUST0266"/>
    <n v="0"/>
    <s v="Nura Hunter"/>
    <x v="2"/>
    <n v="73"/>
    <x v="4"/>
    <x v="1"/>
    <x v="0"/>
    <x v="0"/>
    <x v="2"/>
    <x v="2"/>
    <x v="1"/>
    <n v="14"/>
    <x v="9"/>
    <n v="16000"/>
    <n v="8"/>
    <n v="128000"/>
    <n v="13.28"/>
    <x v="2"/>
    <x v="1"/>
  </r>
  <r>
    <s v="CUST0267"/>
    <n v="1"/>
    <s v="Ejiro Mendoza"/>
    <x v="2"/>
    <n v="26"/>
    <x v="0"/>
    <x v="19"/>
    <x v="3"/>
    <x v="1"/>
    <x v="3"/>
    <x v="3"/>
    <x v="2"/>
    <n v="60"/>
    <x v="12"/>
    <n v="14500"/>
    <n v="7"/>
    <n v="101500"/>
    <n v="88.07"/>
    <x v="2"/>
    <x v="1"/>
  </r>
  <r>
    <s v="CUST0267"/>
    <n v="0"/>
    <s v="Ejiro Mendoza"/>
    <x v="2"/>
    <n v="26"/>
    <x v="0"/>
    <x v="19"/>
    <x v="1"/>
    <x v="1"/>
    <x v="3"/>
    <x v="3"/>
    <x v="2"/>
    <n v="60"/>
    <x v="20"/>
    <n v="6500"/>
    <n v="2"/>
    <n v="13000"/>
    <n v="57.56"/>
    <x v="2"/>
    <x v="1"/>
  </r>
  <r>
    <s v="CUST0268"/>
    <n v="1"/>
    <s v="Michael Peterson"/>
    <x v="2"/>
    <n v="45"/>
    <x v="3"/>
    <x v="1"/>
    <x v="2"/>
    <x v="0"/>
    <x v="1"/>
    <x v="1"/>
    <x v="1"/>
    <n v="24"/>
    <x v="17"/>
    <n v="75000"/>
    <n v="13"/>
    <n v="975000"/>
    <n v="70.95"/>
    <x v="2"/>
    <x v="1"/>
  </r>
  <r>
    <s v="CUST0269"/>
    <n v="1"/>
    <s v="Tamuno Diaz"/>
    <x v="0"/>
    <n v="41"/>
    <x v="2"/>
    <x v="8"/>
    <x v="2"/>
    <x v="0"/>
    <x v="1"/>
    <x v="1"/>
    <x v="2"/>
    <n v="48"/>
    <x v="12"/>
    <n v="14500"/>
    <n v="7"/>
    <n v="101500"/>
    <n v="121.47"/>
    <x v="2"/>
    <x v="1"/>
  </r>
  <r>
    <s v="CUST0269"/>
    <n v="0"/>
    <s v="Tamuno Diaz"/>
    <x v="0"/>
    <n v="41"/>
    <x v="2"/>
    <x v="8"/>
    <x v="0"/>
    <x v="0"/>
    <x v="1"/>
    <x v="1"/>
    <x v="2"/>
    <n v="48"/>
    <x v="0"/>
    <n v="35000"/>
    <n v="19"/>
    <n v="665000"/>
    <n v="185.98"/>
    <x v="2"/>
    <x v="1"/>
  </r>
  <r>
    <s v="CUST0269"/>
    <n v="0"/>
    <s v="Tamuno Diaz"/>
    <x v="0"/>
    <n v="41"/>
    <x v="2"/>
    <x v="8"/>
    <x v="1"/>
    <x v="0"/>
    <x v="1"/>
    <x v="1"/>
    <x v="2"/>
    <n v="48"/>
    <x v="16"/>
    <n v="900"/>
    <n v="14"/>
    <n v="12600"/>
    <n v="52.59"/>
    <x v="2"/>
    <x v="1"/>
  </r>
  <r>
    <s v="CUST0270"/>
    <n v="1"/>
    <s v="Michael Rodriguez"/>
    <x v="0"/>
    <n v="29"/>
    <x v="0"/>
    <x v="23"/>
    <x v="2"/>
    <x v="1"/>
    <x v="3"/>
    <x v="3"/>
    <x v="1"/>
    <n v="22"/>
    <x v="17"/>
    <n v="75000"/>
    <n v="8"/>
    <n v="600000"/>
    <n v="112.85"/>
    <x v="2"/>
    <x v="1"/>
  </r>
  <r>
    <s v="CUST0270"/>
    <n v="0"/>
    <s v="Michael Rodriguez"/>
    <x v="0"/>
    <n v="29"/>
    <x v="0"/>
    <x v="23"/>
    <x v="1"/>
    <x v="1"/>
    <x v="3"/>
    <x v="3"/>
    <x v="1"/>
    <n v="22"/>
    <x v="7"/>
    <n v="3500"/>
    <n v="15"/>
    <n v="52500"/>
    <n v="192.27"/>
    <x v="2"/>
    <x v="1"/>
  </r>
  <r>
    <s v="CUST0270"/>
    <n v="0"/>
    <s v="Michael Rodriguez"/>
    <x v="0"/>
    <n v="29"/>
    <x v="0"/>
    <x v="23"/>
    <x v="1"/>
    <x v="1"/>
    <x v="3"/>
    <x v="3"/>
    <x v="1"/>
    <n v="22"/>
    <x v="0"/>
    <n v="35000"/>
    <n v="1"/>
    <n v="35000"/>
    <n v="179.36"/>
    <x v="2"/>
    <x v="1"/>
  </r>
  <r>
    <s v="CUST0271"/>
    <n v="1"/>
    <s v="John Benson"/>
    <x v="2"/>
    <n v="30"/>
    <x v="2"/>
    <x v="22"/>
    <x v="2"/>
    <x v="0"/>
    <x v="0"/>
    <x v="0"/>
    <x v="2"/>
    <n v="25"/>
    <x v="4"/>
    <n v="9000"/>
    <n v="9"/>
    <n v="81000"/>
    <n v="140.31"/>
    <x v="2"/>
    <x v="1"/>
  </r>
  <r>
    <s v="CUST0271"/>
    <n v="0"/>
    <s v="John Benson"/>
    <x v="2"/>
    <n v="30"/>
    <x v="2"/>
    <x v="22"/>
    <x v="1"/>
    <x v="0"/>
    <x v="0"/>
    <x v="0"/>
    <x v="2"/>
    <n v="25"/>
    <x v="13"/>
    <n v="350"/>
    <n v="13"/>
    <n v="4550"/>
    <n v="57.81"/>
    <x v="2"/>
    <x v="1"/>
  </r>
  <r>
    <s v="CUST0272"/>
    <n v="1"/>
    <s v="Tega Cooper"/>
    <x v="1"/>
    <n v="25"/>
    <x v="0"/>
    <x v="20"/>
    <x v="1"/>
    <x v="1"/>
    <x v="0"/>
    <x v="0"/>
    <x v="1"/>
    <n v="21"/>
    <x v="5"/>
    <n v="4500"/>
    <n v="7"/>
    <n v="31500"/>
    <n v="100.05"/>
    <x v="2"/>
    <x v="1"/>
  </r>
  <r>
    <s v="CUST0272"/>
    <n v="0"/>
    <s v="Tega Cooper"/>
    <x v="1"/>
    <n v="25"/>
    <x v="0"/>
    <x v="20"/>
    <x v="2"/>
    <x v="1"/>
    <x v="0"/>
    <x v="0"/>
    <x v="1"/>
    <n v="21"/>
    <x v="12"/>
    <n v="14500"/>
    <n v="9"/>
    <n v="130500"/>
    <n v="147.22"/>
    <x v="2"/>
    <x v="1"/>
  </r>
  <r>
    <s v="CUST0273"/>
    <n v="1"/>
    <s v="Fatima Lewis"/>
    <x v="1"/>
    <n v="45"/>
    <x v="3"/>
    <x v="18"/>
    <x v="3"/>
    <x v="0"/>
    <x v="0"/>
    <x v="0"/>
    <x v="2"/>
    <n v="54"/>
    <x v="12"/>
    <n v="14500"/>
    <n v="18"/>
    <n v="261000"/>
    <n v="122.96"/>
    <x v="2"/>
    <x v="1"/>
  </r>
  <r>
    <s v="CUST0274"/>
    <n v="1"/>
    <s v="Bola Duffy"/>
    <x v="1"/>
    <n v="77"/>
    <x v="4"/>
    <x v="3"/>
    <x v="2"/>
    <x v="1"/>
    <x v="4"/>
    <x v="4"/>
    <x v="2"/>
    <n v="32"/>
    <x v="11"/>
    <n v="30000"/>
    <n v="14"/>
    <n v="420000"/>
    <n v="11.3"/>
    <x v="1"/>
    <x v="0"/>
  </r>
  <r>
    <s v="CUST0274"/>
    <n v="0"/>
    <s v="Bola Duffy"/>
    <x v="1"/>
    <n v="77"/>
    <x v="4"/>
    <x v="3"/>
    <x v="1"/>
    <x v="1"/>
    <x v="4"/>
    <x v="4"/>
    <x v="2"/>
    <n v="32"/>
    <x v="0"/>
    <n v="35000"/>
    <n v="2"/>
    <n v="70000"/>
    <n v="187.96"/>
    <x v="1"/>
    <x v="0"/>
  </r>
  <r>
    <s v="CUST0274"/>
    <n v="0"/>
    <s v="Bola Duffy"/>
    <x v="1"/>
    <n v="77"/>
    <x v="4"/>
    <x v="3"/>
    <x v="3"/>
    <x v="1"/>
    <x v="4"/>
    <x v="4"/>
    <x v="2"/>
    <n v="32"/>
    <x v="10"/>
    <n v="24000"/>
    <n v="6"/>
    <n v="144000"/>
    <n v="69.78"/>
    <x v="1"/>
    <x v="0"/>
  </r>
  <r>
    <s v="CUST0275"/>
    <n v="1"/>
    <s v="Zina Gallegos"/>
    <x v="0"/>
    <n v="31"/>
    <x v="2"/>
    <x v="8"/>
    <x v="3"/>
    <x v="1"/>
    <x v="1"/>
    <x v="1"/>
    <x v="1"/>
    <n v="21"/>
    <x v="11"/>
    <n v="30000"/>
    <n v="9"/>
    <n v="270000"/>
    <n v="122.75"/>
    <x v="2"/>
    <x v="1"/>
  </r>
  <r>
    <s v="CUST0275"/>
    <n v="0"/>
    <s v="Zina Gallegos"/>
    <x v="0"/>
    <n v="31"/>
    <x v="2"/>
    <x v="8"/>
    <x v="1"/>
    <x v="1"/>
    <x v="1"/>
    <x v="1"/>
    <x v="1"/>
    <n v="21"/>
    <x v="5"/>
    <n v="4500"/>
    <n v="8"/>
    <n v="36000"/>
    <n v="109.94"/>
    <x v="2"/>
    <x v="1"/>
  </r>
  <r>
    <s v="CUST0276"/>
    <n v="1"/>
    <s v="Zainab Rogers"/>
    <x v="2"/>
    <n v="76"/>
    <x v="4"/>
    <x v="26"/>
    <x v="2"/>
    <x v="1"/>
    <x v="4"/>
    <x v="4"/>
    <x v="3"/>
    <n v="12"/>
    <x v="10"/>
    <n v="24000"/>
    <n v="19"/>
    <n v="456000"/>
    <n v="90.42"/>
    <x v="7"/>
    <x v="0"/>
  </r>
  <r>
    <s v="CUST0276"/>
    <n v="0"/>
    <s v="Zainab Rogers"/>
    <x v="2"/>
    <n v="76"/>
    <x v="4"/>
    <x v="26"/>
    <x v="0"/>
    <x v="1"/>
    <x v="4"/>
    <x v="4"/>
    <x v="3"/>
    <n v="12"/>
    <x v="5"/>
    <n v="4500"/>
    <n v="8"/>
    <n v="36000"/>
    <n v="195.86"/>
    <x v="7"/>
    <x v="0"/>
  </r>
  <r>
    <s v="CUST0277"/>
    <n v="1"/>
    <s v="Ngozi Dunn"/>
    <x v="2"/>
    <n v="50"/>
    <x v="3"/>
    <x v="7"/>
    <x v="1"/>
    <x v="1"/>
    <x v="0"/>
    <x v="0"/>
    <x v="2"/>
    <n v="55"/>
    <x v="16"/>
    <n v="900"/>
    <n v="16"/>
    <n v="14400"/>
    <n v="35.729999999999997"/>
    <x v="7"/>
    <x v="0"/>
  </r>
  <r>
    <s v="CUST0278"/>
    <n v="1"/>
    <s v="Amaka Johnson"/>
    <x v="0"/>
    <n v="56"/>
    <x v="3"/>
    <x v="12"/>
    <x v="0"/>
    <x v="1"/>
    <x v="4"/>
    <x v="4"/>
    <x v="1"/>
    <n v="17"/>
    <x v="6"/>
    <n v="9000"/>
    <n v="4"/>
    <n v="36000"/>
    <n v="95.57"/>
    <x v="6"/>
    <x v="0"/>
  </r>
  <r>
    <s v="CUST0279"/>
    <n v="1"/>
    <s v="Alabo Carlson"/>
    <x v="1"/>
    <n v="58"/>
    <x v="3"/>
    <x v="22"/>
    <x v="1"/>
    <x v="1"/>
    <x v="2"/>
    <x v="2"/>
    <x v="1"/>
    <n v="24"/>
    <x v="5"/>
    <n v="4500"/>
    <n v="10"/>
    <n v="45000"/>
    <n v="195.88"/>
    <x v="3"/>
    <x v="0"/>
  </r>
  <r>
    <s v="CUST0279"/>
    <n v="0"/>
    <s v="Alabo Carlson"/>
    <x v="1"/>
    <n v="58"/>
    <x v="3"/>
    <x v="22"/>
    <x v="2"/>
    <x v="1"/>
    <x v="2"/>
    <x v="2"/>
    <x v="1"/>
    <n v="24"/>
    <x v="18"/>
    <n v="25000"/>
    <n v="17"/>
    <n v="425000"/>
    <n v="65.36"/>
    <x v="3"/>
    <x v="0"/>
  </r>
  <r>
    <s v="CUST0280"/>
    <n v="1"/>
    <s v="Grace Brock"/>
    <x v="1"/>
    <n v="73"/>
    <x v="4"/>
    <x v="33"/>
    <x v="0"/>
    <x v="1"/>
    <x v="4"/>
    <x v="4"/>
    <x v="2"/>
    <n v="40"/>
    <x v="6"/>
    <n v="9000"/>
    <n v="20"/>
    <n v="180000"/>
    <n v="84.65"/>
    <x v="2"/>
    <x v="1"/>
  </r>
  <r>
    <s v="CUST0281"/>
    <n v="1"/>
    <s v="Tamuno Ortiz"/>
    <x v="2"/>
    <n v="25"/>
    <x v="0"/>
    <x v="33"/>
    <x v="2"/>
    <x v="0"/>
    <x v="2"/>
    <x v="2"/>
    <x v="1"/>
    <n v="22"/>
    <x v="17"/>
    <n v="75000"/>
    <n v="15"/>
    <n v="1125000"/>
    <n v="54.61"/>
    <x v="2"/>
    <x v="1"/>
  </r>
  <r>
    <s v="CUST0281"/>
    <n v="0"/>
    <s v="Tamuno Ortiz"/>
    <x v="2"/>
    <n v="25"/>
    <x v="0"/>
    <x v="33"/>
    <x v="1"/>
    <x v="0"/>
    <x v="2"/>
    <x v="2"/>
    <x v="1"/>
    <n v="22"/>
    <x v="7"/>
    <n v="3500"/>
    <n v="17"/>
    <n v="59500"/>
    <n v="149.71"/>
    <x v="2"/>
    <x v="1"/>
  </r>
  <r>
    <s v="CUST0282"/>
    <n v="1"/>
    <s v="Alabo Chavez"/>
    <x v="0"/>
    <n v="68"/>
    <x v="4"/>
    <x v="1"/>
    <x v="2"/>
    <x v="0"/>
    <x v="0"/>
    <x v="0"/>
    <x v="2"/>
    <n v="55"/>
    <x v="12"/>
    <n v="14500"/>
    <n v="4"/>
    <n v="58000"/>
    <n v="33.799999999999997"/>
    <x v="2"/>
    <x v="1"/>
  </r>
  <r>
    <s v="CUST0282"/>
    <n v="0"/>
    <s v="Alabo Chavez"/>
    <x v="0"/>
    <n v="68"/>
    <x v="4"/>
    <x v="1"/>
    <x v="1"/>
    <x v="0"/>
    <x v="0"/>
    <x v="0"/>
    <x v="2"/>
    <n v="55"/>
    <x v="14"/>
    <n v="1000"/>
    <n v="16"/>
    <n v="16000"/>
    <n v="13.23"/>
    <x v="2"/>
    <x v="1"/>
  </r>
  <r>
    <s v="CUST0282"/>
    <n v="0"/>
    <s v="Alabo Chavez"/>
    <x v="0"/>
    <n v="68"/>
    <x v="4"/>
    <x v="1"/>
    <x v="3"/>
    <x v="0"/>
    <x v="0"/>
    <x v="0"/>
    <x v="2"/>
    <n v="55"/>
    <x v="10"/>
    <n v="24000"/>
    <n v="13"/>
    <n v="312000"/>
    <n v="11.24"/>
    <x v="2"/>
    <x v="1"/>
  </r>
  <r>
    <s v="CUST0283"/>
    <n v="1"/>
    <s v="Sarah Ballard"/>
    <x v="2"/>
    <n v="26"/>
    <x v="0"/>
    <x v="13"/>
    <x v="2"/>
    <x v="1"/>
    <x v="1"/>
    <x v="1"/>
    <x v="2"/>
    <n v="40"/>
    <x v="12"/>
    <n v="14500"/>
    <n v="15"/>
    <n v="217500"/>
    <n v="147.65"/>
    <x v="2"/>
    <x v="1"/>
  </r>
  <r>
    <s v="CUST0283"/>
    <n v="0"/>
    <s v="Sarah Ballard"/>
    <x v="2"/>
    <n v="26"/>
    <x v="0"/>
    <x v="13"/>
    <x v="3"/>
    <x v="1"/>
    <x v="1"/>
    <x v="1"/>
    <x v="2"/>
    <n v="40"/>
    <x v="2"/>
    <n v="20000"/>
    <n v="6"/>
    <n v="120000"/>
    <n v="26.69"/>
    <x v="2"/>
    <x v="1"/>
  </r>
  <r>
    <s v="CUST0284"/>
    <n v="1"/>
    <s v="Funke Shaffer"/>
    <x v="2"/>
    <n v="20"/>
    <x v="0"/>
    <x v="25"/>
    <x v="2"/>
    <x v="1"/>
    <x v="4"/>
    <x v="4"/>
    <x v="2"/>
    <n v="56"/>
    <x v="11"/>
    <n v="30000"/>
    <n v="18"/>
    <n v="540000"/>
    <n v="193.92"/>
    <x v="2"/>
    <x v="1"/>
  </r>
  <r>
    <s v="CUST0284"/>
    <n v="0"/>
    <s v="Funke Shaffer"/>
    <x v="2"/>
    <n v="20"/>
    <x v="0"/>
    <x v="25"/>
    <x v="1"/>
    <x v="1"/>
    <x v="4"/>
    <x v="4"/>
    <x v="2"/>
    <n v="56"/>
    <x v="19"/>
    <n v="600"/>
    <n v="15"/>
    <n v="9000"/>
    <n v="118.37"/>
    <x v="2"/>
    <x v="1"/>
  </r>
  <r>
    <s v="CUST0284"/>
    <n v="0"/>
    <s v="Funke Shaffer"/>
    <x v="2"/>
    <n v="20"/>
    <x v="0"/>
    <x v="25"/>
    <x v="0"/>
    <x v="1"/>
    <x v="4"/>
    <x v="4"/>
    <x v="2"/>
    <n v="56"/>
    <x v="0"/>
    <n v="35000"/>
    <n v="18"/>
    <n v="630000"/>
    <n v="104.93"/>
    <x v="2"/>
    <x v="1"/>
  </r>
  <r>
    <s v="CUST0285"/>
    <n v="1"/>
    <s v="Maryam Gates"/>
    <x v="0"/>
    <n v="60"/>
    <x v="4"/>
    <x v="31"/>
    <x v="2"/>
    <x v="0"/>
    <x v="4"/>
    <x v="4"/>
    <x v="2"/>
    <n v="52"/>
    <x v="10"/>
    <n v="24000"/>
    <n v="17"/>
    <n v="408000"/>
    <n v="2.61"/>
    <x v="2"/>
    <x v="1"/>
  </r>
  <r>
    <s v="CUST0285"/>
    <n v="0"/>
    <s v="Maryam Gates"/>
    <x v="0"/>
    <n v="60"/>
    <x v="4"/>
    <x v="31"/>
    <x v="3"/>
    <x v="0"/>
    <x v="4"/>
    <x v="4"/>
    <x v="2"/>
    <n v="52"/>
    <x v="2"/>
    <n v="20000"/>
    <n v="16"/>
    <n v="320000"/>
    <n v="69.11"/>
    <x v="2"/>
    <x v="1"/>
  </r>
  <r>
    <s v="CUST0286"/>
    <n v="1"/>
    <s v="David George"/>
    <x v="0"/>
    <n v="17"/>
    <x v="1"/>
    <x v="12"/>
    <x v="0"/>
    <x v="1"/>
    <x v="4"/>
    <x v="4"/>
    <x v="1"/>
    <n v="20"/>
    <x v="5"/>
    <n v="4500"/>
    <n v="18"/>
    <n v="81000"/>
    <n v="82.64"/>
    <x v="2"/>
    <x v="1"/>
  </r>
  <r>
    <s v="CUST0286"/>
    <n v="0"/>
    <s v="David George"/>
    <x v="0"/>
    <n v="17"/>
    <x v="1"/>
    <x v="12"/>
    <x v="1"/>
    <x v="1"/>
    <x v="4"/>
    <x v="4"/>
    <x v="1"/>
    <n v="20"/>
    <x v="1"/>
    <n v="5500"/>
    <n v="6"/>
    <n v="33000"/>
    <n v="79.25"/>
    <x v="2"/>
    <x v="1"/>
  </r>
  <r>
    <s v="CUST0287"/>
    <n v="1"/>
    <s v="Omamuzo Rivera"/>
    <x v="2"/>
    <n v="64"/>
    <x v="4"/>
    <x v="16"/>
    <x v="2"/>
    <x v="1"/>
    <x v="0"/>
    <x v="0"/>
    <x v="0"/>
    <n v="6"/>
    <x v="17"/>
    <n v="75000"/>
    <n v="3"/>
    <n v="225000"/>
    <n v="38.01"/>
    <x v="2"/>
    <x v="1"/>
  </r>
  <r>
    <s v="CUST0287"/>
    <n v="0"/>
    <s v="Omamuzo Rivera"/>
    <x v="2"/>
    <n v="64"/>
    <x v="4"/>
    <x v="16"/>
    <x v="0"/>
    <x v="1"/>
    <x v="0"/>
    <x v="0"/>
    <x v="0"/>
    <n v="6"/>
    <x v="5"/>
    <n v="4500"/>
    <n v="4"/>
    <n v="18000"/>
    <n v="27.76"/>
    <x v="2"/>
    <x v="1"/>
  </r>
  <r>
    <s v="CUST0287"/>
    <n v="0"/>
    <s v="Omamuzo Rivera"/>
    <x v="2"/>
    <n v="64"/>
    <x v="4"/>
    <x v="16"/>
    <x v="1"/>
    <x v="1"/>
    <x v="0"/>
    <x v="0"/>
    <x v="0"/>
    <n v="6"/>
    <x v="1"/>
    <n v="5500"/>
    <n v="9"/>
    <n v="49500"/>
    <n v="123.74"/>
    <x v="2"/>
    <x v="1"/>
  </r>
  <r>
    <s v="CUST0288"/>
    <n v="1"/>
    <s v="Grace Chaney"/>
    <x v="0"/>
    <n v="40"/>
    <x v="2"/>
    <x v="32"/>
    <x v="2"/>
    <x v="0"/>
    <x v="3"/>
    <x v="3"/>
    <x v="3"/>
    <n v="10"/>
    <x v="8"/>
    <n v="150000"/>
    <n v="8"/>
    <n v="1200000"/>
    <n v="145.56"/>
    <x v="3"/>
    <x v="0"/>
  </r>
  <r>
    <s v="CUST0288"/>
    <n v="0"/>
    <s v="Grace Chaney"/>
    <x v="0"/>
    <n v="40"/>
    <x v="2"/>
    <x v="32"/>
    <x v="3"/>
    <x v="0"/>
    <x v="3"/>
    <x v="3"/>
    <x v="3"/>
    <n v="10"/>
    <x v="4"/>
    <n v="9000"/>
    <n v="16"/>
    <n v="144000"/>
    <n v="30.56"/>
    <x v="3"/>
    <x v="0"/>
  </r>
  <r>
    <s v="CUST0289"/>
    <n v="1"/>
    <s v="Fatima Wheeler"/>
    <x v="2"/>
    <n v="59"/>
    <x v="3"/>
    <x v="15"/>
    <x v="2"/>
    <x v="1"/>
    <x v="2"/>
    <x v="2"/>
    <x v="2"/>
    <n v="51"/>
    <x v="2"/>
    <n v="20000"/>
    <n v="5"/>
    <n v="100000"/>
    <n v="168.79"/>
    <x v="2"/>
    <x v="1"/>
  </r>
  <r>
    <s v="CUST0290"/>
    <n v="1"/>
    <s v="Sade Ryan"/>
    <x v="2"/>
    <n v="50"/>
    <x v="3"/>
    <x v="10"/>
    <x v="1"/>
    <x v="0"/>
    <x v="0"/>
    <x v="0"/>
    <x v="2"/>
    <n v="35"/>
    <x v="14"/>
    <n v="1000"/>
    <n v="8"/>
    <n v="8000"/>
    <n v="194.93"/>
    <x v="1"/>
    <x v="0"/>
  </r>
  <r>
    <s v="CUST0290"/>
    <n v="0"/>
    <s v="Sade Ryan"/>
    <x v="2"/>
    <n v="50"/>
    <x v="3"/>
    <x v="10"/>
    <x v="3"/>
    <x v="0"/>
    <x v="0"/>
    <x v="0"/>
    <x v="2"/>
    <n v="35"/>
    <x v="12"/>
    <n v="14500"/>
    <n v="15"/>
    <n v="217500"/>
    <n v="154.36000000000001"/>
    <x v="1"/>
    <x v="0"/>
  </r>
  <r>
    <s v="CUST0291"/>
    <n v="1"/>
    <s v="Halima Mahoney"/>
    <x v="0"/>
    <n v="20"/>
    <x v="0"/>
    <x v="18"/>
    <x v="1"/>
    <x v="1"/>
    <x v="3"/>
    <x v="3"/>
    <x v="2"/>
    <n v="48"/>
    <x v="15"/>
    <n v="7500"/>
    <n v="10"/>
    <n v="75000"/>
    <n v="136.44999999999999"/>
    <x v="2"/>
    <x v="1"/>
  </r>
  <r>
    <s v="CUST0292"/>
    <n v="1"/>
    <s v="Ese Rose"/>
    <x v="2"/>
    <n v="36"/>
    <x v="2"/>
    <x v="19"/>
    <x v="0"/>
    <x v="0"/>
    <x v="2"/>
    <x v="2"/>
    <x v="1"/>
    <n v="17"/>
    <x v="0"/>
    <n v="35000"/>
    <n v="6"/>
    <n v="210000"/>
    <n v="65.239999999999995"/>
    <x v="3"/>
    <x v="0"/>
  </r>
  <r>
    <s v="CUST0292"/>
    <n v="0"/>
    <s v="Ese Rose"/>
    <x v="2"/>
    <n v="36"/>
    <x v="2"/>
    <x v="19"/>
    <x v="3"/>
    <x v="0"/>
    <x v="2"/>
    <x v="2"/>
    <x v="1"/>
    <n v="17"/>
    <x v="11"/>
    <n v="30000"/>
    <n v="13"/>
    <n v="390000"/>
    <n v="117.15"/>
    <x v="3"/>
    <x v="0"/>
  </r>
  <r>
    <s v="CUST0292"/>
    <n v="0"/>
    <s v="Ese Rose"/>
    <x v="2"/>
    <n v="36"/>
    <x v="2"/>
    <x v="19"/>
    <x v="2"/>
    <x v="0"/>
    <x v="2"/>
    <x v="2"/>
    <x v="1"/>
    <n v="17"/>
    <x v="12"/>
    <n v="14500"/>
    <n v="2"/>
    <n v="29000"/>
    <n v="2.2799999999999998"/>
    <x v="3"/>
    <x v="0"/>
  </r>
  <r>
    <s v="CUST0293"/>
    <n v="1"/>
    <s v="John Jones"/>
    <x v="2"/>
    <n v="35"/>
    <x v="2"/>
    <x v="3"/>
    <x v="3"/>
    <x v="0"/>
    <x v="4"/>
    <x v="4"/>
    <x v="1"/>
    <n v="16"/>
    <x v="11"/>
    <n v="30000"/>
    <n v="18"/>
    <n v="540000"/>
    <n v="129.09"/>
    <x v="0"/>
    <x v="0"/>
  </r>
  <r>
    <s v="CUST0293"/>
    <n v="0"/>
    <s v="John Jones"/>
    <x v="2"/>
    <n v="35"/>
    <x v="2"/>
    <x v="3"/>
    <x v="1"/>
    <x v="0"/>
    <x v="4"/>
    <x v="4"/>
    <x v="1"/>
    <n v="16"/>
    <x v="14"/>
    <n v="1000"/>
    <n v="8"/>
    <n v="8000"/>
    <n v="25.6"/>
    <x v="0"/>
    <x v="0"/>
  </r>
  <r>
    <s v="CUST0294"/>
    <n v="1"/>
    <s v="Ese Bailey"/>
    <x v="2"/>
    <n v="60"/>
    <x v="4"/>
    <x v="30"/>
    <x v="3"/>
    <x v="0"/>
    <x v="2"/>
    <x v="2"/>
    <x v="0"/>
    <n v="2"/>
    <x v="12"/>
    <n v="14500"/>
    <n v="18"/>
    <n v="261000"/>
    <n v="112.03"/>
    <x v="2"/>
    <x v="1"/>
  </r>
  <r>
    <s v="CUST0294"/>
    <n v="0"/>
    <s v="Ese Bailey"/>
    <x v="2"/>
    <n v="60"/>
    <x v="4"/>
    <x v="30"/>
    <x v="0"/>
    <x v="0"/>
    <x v="2"/>
    <x v="2"/>
    <x v="0"/>
    <n v="2"/>
    <x v="0"/>
    <n v="35000"/>
    <n v="6"/>
    <n v="210000"/>
    <n v="38.36"/>
    <x v="2"/>
    <x v="1"/>
  </r>
  <r>
    <s v="CUST0295"/>
    <n v="1"/>
    <s v="David Higgins"/>
    <x v="2"/>
    <n v="60"/>
    <x v="4"/>
    <x v="32"/>
    <x v="2"/>
    <x v="1"/>
    <x v="1"/>
    <x v="1"/>
    <x v="1"/>
    <n v="18"/>
    <x v="18"/>
    <n v="25000"/>
    <n v="17"/>
    <n v="425000"/>
    <n v="91.09"/>
    <x v="2"/>
    <x v="1"/>
  </r>
  <r>
    <s v="CUST0295"/>
    <n v="0"/>
    <s v="David Higgins"/>
    <x v="2"/>
    <n v="60"/>
    <x v="4"/>
    <x v="32"/>
    <x v="0"/>
    <x v="1"/>
    <x v="1"/>
    <x v="1"/>
    <x v="1"/>
    <n v="18"/>
    <x v="0"/>
    <n v="35000"/>
    <n v="1"/>
    <n v="35000"/>
    <n v="146.86000000000001"/>
    <x v="2"/>
    <x v="1"/>
  </r>
  <r>
    <s v="CUST0296"/>
    <n v="1"/>
    <s v="Ejiro Scott"/>
    <x v="2"/>
    <n v="46"/>
    <x v="3"/>
    <x v="32"/>
    <x v="0"/>
    <x v="0"/>
    <x v="0"/>
    <x v="0"/>
    <x v="2"/>
    <n v="43"/>
    <x v="6"/>
    <n v="9000"/>
    <n v="11"/>
    <n v="99000"/>
    <n v="64.86"/>
    <x v="2"/>
    <x v="1"/>
  </r>
  <r>
    <s v="CUST0296"/>
    <n v="0"/>
    <s v="Ejiro Scott"/>
    <x v="2"/>
    <n v="46"/>
    <x v="3"/>
    <x v="32"/>
    <x v="2"/>
    <x v="0"/>
    <x v="0"/>
    <x v="0"/>
    <x v="2"/>
    <n v="43"/>
    <x v="2"/>
    <n v="20000"/>
    <n v="3"/>
    <n v="60000"/>
    <n v="19.7"/>
    <x v="2"/>
    <x v="1"/>
  </r>
  <r>
    <s v="CUST0297"/>
    <n v="1"/>
    <s v="Bola Spencer"/>
    <x v="0"/>
    <n v="32"/>
    <x v="2"/>
    <x v="20"/>
    <x v="1"/>
    <x v="0"/>
    <x v="4"/>
    <x v="4"/>
    <x v="1"/>
    <n v="13"/>
    <x v="20"/>
    <n v="6500"/>
    <n v="19"/>
    <n v="123500"/>
    <n v="124.98"/>
    <x v="3"/>
    <x v="0"/>
  </r>
  <r>
    <s v="CUST0297"/>
    <n v="0"/>
    <s v="Bola Spencer"/>
    <x v="0"/>
    <n v="32"/>
    <x v="2"/>
    <x v="20"/>
    <x v="2"/>
    <x v="0"/>
    <x v="4"/>
    <x v="4"/>
    <x v="1"/>
    <n v="13"/>
    <x v="10"/>
    <n v="24000"/>
    <n v="8"/>
    <n v="192000"/>
    <n v="10.29"/>
    <x v="3"/>
    <x v="0"/>
  </r>
  <r>
    <s v="CUST0297"/>
    <n v="0"/>
    <s v="Bola Spencer"/>
    <x v="0"/>
    <n v="32"/>
    <x v="2"/>
    <x v="20"/>
    <x v="0"/>
    <x v="0"/>
    <x v="4"/>
    <x v="4"/>
    <x v="1"/>
    <n v="13"/>
    <x v="9"/>
    <n v="16000"/>
    <n v="7"/>
    <n v="112000"/>
    <n v="3.11"/>
    <x v="3"/>
    <x v="0"/>
  </r>
  <r>
    <s v="CUST0298"/>
    <n v="1"/>
    <s v="Grace Davis"/>
    <x v="2"/>
    <n v="26"/>
    <x v="0"/>
    <x v="2"/>
    <x v="2"/>
    <x v="0"/>
    <x v="2"/>
    <x v="2"/>
    <x v="1"/>
    <n v="24"/>
    <x v="4"/>
    <n v="9000"/>
    <n v="10"/>
    <n v="90000"/>
    <n v="146.99"/>
    <x v="2"/>
    <x v="1"/>
  </r>
  <r>
    <s v="CUST0299"/>
    <n v="1"/>
    <s v="Kunle Fuller"/>
    <x v="2"/>
    <n v="43"/>
    <x v="2"/>
    <x v="8"/>
    <x v="0"/>
    <x v="0"/>
    <x v="3"/>
    <x v="3"/>
    <x v="3"/>
    <n v="7"/>
    <x v="5"/>
    <n v="4500"/>
    <n v="18"/>
    <n v="81000"/>
    <n v="111.91"/>
    <x v="2"/>
    <x v="1"/>
  </r>
  <r>
    <s v="CUST0300"/>
    <n v="1"/>
    <s v="Ibim Wilkerson"/>
    <x v="2"/>
    <n v="29"/>
    <x v="0"/>
    <x v="25"/>
    <x v="1"/>
    <x v="1"/>
    <x v="1"/>
    <x v="1"/>
    <x v="2"/>
    <n v="45"/>
    <x v="19"/>
    <n v="600"/>
    <n v="20"/>
    <n v="12000"/>
    <n v="107.01"/>
    <x v="6"/>
    <x v="0"/>
  </r>
  <r>
    <s v="CUST0300"/>
    <n v="0"/>
    <s v="Ibim Wilkerson"/>
    <x v="2"/>
    <n v="29"/>
    <x v="0"/>
    <x v="25"/>
    <x v="2"/>
    <x v="1"/>
    <x v="1"/>
    <x v="1"/>
    <x v="2"/>
    <n v="45"/>
    <x v="8"/>
    <n v="150000"/>
    <n v="11"/>
    <n v="1650000"/>
    <n v="186.74"/>
    <x v="6"/>
    <x v="0"/>
  </r>
  <r>
    <s v="CUST0300"/>
    <n v="0"/>
    <s v="Ibim Wilkerson"/>
    <x v="2"/>
    <n v="29"/>
    <x v="0"/>
    <x v="25"/>
    <x v="0"/>
    <x v="1"/>
    <x v="1"/>
    <x v="1"/>
    <x v="2"/>
    <n v="45"/>
    <x v="6"/>
    <n v="9000"/>
    <n v="14"/>
    <n v="126000"/>
    <n v="169.05"/>
    <x v="6"/>
    <x v="0"/>
  </r>
  <r>
    <s v="CUST0301"/>
    <n v="1"/>
    <s v="Boma Knight"/>
    <x v="1"/>
    <n v="57"/>
    <x v="3"/>
    <x v="7"/>
    <x v="1"/>
    <x v="0"/>
    <x v="2"/>
    <x v="2"/>
    <x v="2"/>
    <n v="25"/>
    <x v="16"/>
    <n v="900"/>
    <n v="20"/>
    <n v="18000"/>
    <n v="196.6"/>
    <x v="2"/>
    <x v="1"/>
  </r>
  <r>
    <s v="CUST0301"/>
    <n v="0"/>
    <s v="Boma Knight"/>
    <x v="1"/>
    <n v="57"/>
    <x v="3"/>
    <x v="7"/>
    <x v="3"/>
    <x v="0"/>
    <x v="2"/>
    <x v="2"/>
    <x v="2"/>
    <n v="25"/>
    <x v="4"/>
    <n v="9000"/>
    <n v="10"/>
    <n v="90000"/>
    <n v="103.76"/>
    <x v="2"/>
    <x v="1"/>
  </r>
  <r>
    <s v="CUST0302"/>
    <n v="1"/>
    <s v="Tunde Wallace"/>
    <x v="1"/>
    <n v="54"/>
    <x v="3"/>
    <x v="16"/>
    <x v="2"/>
    <x v="0"/>
    <x v="1"/>
    <x v="1"/>
    <x v="2"/>
    <n v="55"/>
    <x v="2"/>
    <n v="20000"/>
    <n v="12"/>
    <n v="240000"/>
    <n v="8.0299999999999994"/>
    <x v="2"/>
    <x v="1"/>
  </r>
  <r>
    <s v="CUST0302"/>
    <n v="0"/>
    <s v="Tunde Wallace"/>
    <x v="1"/>
    <n v="54"/>
    <x v="3"/>
    <x v="16"/>
    <x v="1"/>
    <x v="0"/>
    <x v="1"/>
    <x v="1"/>
    <x v="2"/>
    <n v="55"/>
    <x v="19"/>
    <n v="600"/>
    <n v="12"/>
    <n v="7200"/>
    <n v="28.11"/>
    <x v="2"/>
    <x v="1"/>
  </r>
  <r>
    <s v="CUST0302"/>
    <n v="0"/>
    <s v="Tunde Wallace"/>
    <x v="1"/>
    <n v="54"/>
    <x v="3"/>
    <x v="16"/>
    <x v="3"/>
    <x v="0"/>
    <x v="1"/>
    <x v="1"/>
    <x v="2"/>
    <n v="55"/>
    <x v="10"/>
    <n v="24000"/>
    <n v="9"/>
    <n v="216000"/>
    <n v="50.35"/>
    <x v="2"/>
    <x v="1"/>
  </r>
  <r>
    <s v="CUST0303"/>
    <n v="1"/>
    <s v="Maryam Walker"/>
    <x v="0"/>
    <n v="27"/>
    <x v="0"/>
    <x v="10"/>
    <x v="1"/>
    <x v="0"/>
    <x v="2"/>
    <x v="2"/>
    <x v="2"/>
    <n v="47"/>
    <x v="14"/>
    <n v="1000"/>
    <n v="10"/>
    <n v="10000"/>
    <n v="119.25"/>
    <x v="2"/>
    <x v="1"/>
  </r>
  <r>
    <s v="CUST0304"/>
    <n v="1"/>
    <s v="Bola Castro"/>
    <x v="1"/>
    <n v="64"/>
    <x v="4"/>
    <x v="33"/>
    <x v="1"/>
    <x v="0"/>
    <x v="2"/>
    <x v="2"/>
    <x v="2"/>
    <n v="59"/>
    <x v="13"/>
    <n v="350"/>
    <n v="20"/>
    <n v="7000"/>
    <n v="149.66"/>
    <x v="2"/>
    <x v="1"/>
  </r>
  <r>
    <s v="CUST0304"/>
    <n v="0"/>
    <s v="Bola Castro"/>
    <x v="1"/>
    <n v="64"/>
    <x v="4"/>
    <x v="33"/>
    <x v="3"/>
    <x v="0"/>
    <x v="2"/>
    <x v="2"/>
    <x v="2"/>
    <n v="59"/>
    <x v="4"/>
    <n v="9000"/>
    <n v="13"/>
    <n v="117000"/>
    <n v="126.96"/>
    <x v="2"/>
    <x v="1"/>
  </r>
  <r>
    <s v="CUST0305"/>
    <n v="1"/>
    <s v="Sade Shepard"/>
    <x v="2"/>
    <n v="55"/>
    <x v="3"/>
    <x v="8"/>
    <x v="1"/>
    <x v="0"/>
    <x v="2"/>
    <x v="2"/>
    <x v="1"/>
    <n v="21"/>
    <x v="9"/>
    <n v="16000"/>
    <n v="13"/>
    <n v="208000"/>
    <n v="134.88999999999999"/>
    <x v="2"/>
    <x v="1"/>
  </r>
  <r>
    <s v="CUST0306"/>
    <n v="1"/>
    <s v="Alabo Cortez"/>
    <x v="1"/>
    <n v="80"/>
    <x v="4"/>
    <x v="33"/>
    <x v="1"/>
    <x v="0"/>
    <x v="4"/>
    <x v="4"/>
    <x v="2"/>
    <n v="28"/>
    <x v="16"/>
    <n v="900"/>
    <n v="9"/>
    <n v="8100"/>
    <n v="109.86"/>
    <x v="4"/>
    <x v="0"/>
  </r>
  <r>
    <s v="CUST0307"/>
    <n v="1"/>
    <s v="Chinedu Hoffman"/>
    <x v="2"/>
    <n v="67"/>
    <x v="4"/>
    <x v="28"/>
    <x v="1"/>
    <x v="1"/>
    <x v="0"/>
    <x v="0"/>
    <x v="2"/>
    <n v="50"/>
    <x v="15"/>
    <n v="7500"/>
    <n v="7"/>
    <n v="52500"/>
    <n v="130.62"/>
    <x v="2"/>
    <x v="1"/>
  </r>
  <r>
    <s v="CUST0308"/>
    <n v="1"/>
    <s v="Sarah Flores"/>
    <x v="2"/>
    <n v="47"/>
    <x v="3"/>
    <x v="7"/>
    <x v="3"/>
    <x v="0"/>
    <x v="2"/>
    <x v="2"/>
    <x v="1"/>
    <n v="18"/>
    <x v="12"/>
    <n v="14500"/>
    <n v="7"/>
    <n v="101500"/>
    <n v="73.37"/>
    <x v="2"/>
    <x v="1"/>
  </r>
  <r>
    <s v="CUST0308"/>
    <n v="0"/>
    <s v="Sarah Flores"/>
    <x v="2"/>
    <n v="47"/>
    <x v="3"/>
    <x v="7"/>
    <x v="1"/>
    <x v="0"/>
    <x v="2"/>
    <x v="2"/>
    <x v="1"/>
    <n v="18"/>
    <x v="7"/>
    <n v="3500"/>
    <n v="1"/>
    <n v="3500"/>
    <n v="69.23"/>
    <x v="2"/>
    <x v="1"/>
  </r>
  <r>
    <s v="CUST0308"/>
    <n v="0"/>
    <s v="Sarah Flores"/>
    <x v="2"/>
    <n v="47"/>
    <x v="3"/>
    <x v="7"/>
    <x v="0"/>
    <x v="0"/>
    <x v="2"/>
    <x v="2"/>
    <x v="1"/>
    <n v="18"/>
    <x v="6"/>
    <n v="9000"/>
    <n v="12"/>
    <n v="108000"/>
    <n v="34.270000000000003"/>
    <x v="2"/>
    <x v="1"/>
  </r>
  <r>
    <s v="CUST0309"/>
    <n v="1"/>
    <s v="Alabo Guerra"/>
    <x v="2"/>
    <n v="34"/>
    <x v="2"/>
    <x v="30"/>
    <x v="3"/>
    <x v="0"/>
    <x v="0"/>
    <x v="0"/>
    <x v="2"/>
    <n v="60"/>
    <x v="4"/>
    <n v="9000"/>
    <n v="8"/>
    <n v="72000"/>
    <n v="148.05000000000001"/>
    <x v="2"/>
    <x v="1"/>
  </r>
  <r>
    <s v="CUST0310"/>
    <n v="1"/>
    <s v="Obinna Ballard"/>
    <x v="0"/>
    <n v="52"/>
    <x v="3"/>
    <x v="34"/>
    <x v="2"/>
    <x v="1"/>
    <x v="2"/>
    <x v="2"/>
    <x v="2"/>
    <n v="45"/>
    <x v="12"/>
    <n v="14500"/>
    <n v="7"/>
    <n v="101500"/>
    <n v="148.13"/>
    <x v="2"/>
    <x v="1"/>
  </r>
  <r>
    <s v="CUST0311"/>
    <n v="1"/>
    <s v="Fatima Freeman"/>
    <x v="0"/>
    <n v="49"/>
    <x v="3"/>
    <x v="31"/>
    <x v="3"/>
    <x v="0"/>
    <x v="4"/>
    <x v="4"/>
    <x v="2"/>
    <n v="45"/>
    <x v="4"/>
    <n v="9000"/>
    <n v="20"/>
    <n v="180000"/>
    <n v="57.16"/>
    <x v="2"/>
    <x v="1"/>
  </r>
  <r>
    <s v="CUST0311"/>
    <n v="0"/>
    <s v="Fatima Freeman"/>
    <x v="0"/>
    <n v="49"/>
    <x v="3"/>
    <x v="31"/>
    <x v="0"/>
    <x v="0"/>
    <x v="4"/>
    <x v="4"/>
    <x v="2"/>
    <n v="45"/>
    <x v="6"/>
    <n v="9000"/>
    <n v="1"/>
    <n v="9000"/>
    <n v="11.09"/>
    <x v="2"/>
    <x v="1"/>
  </r>
  <r>
    <s v="CUST0311"/>
    <n v="0"/>
    <s v="Fatima Freeman"/>
    <x v="0"/>
    <n v="49"/>
    <x v="3"/>
    <x v="31"/>
    <x v="1"/>
    <x v="0"/>
    <x v="4"/>
    <x v="4"/>
    <x v="2"/>
    <n v="45"/>
    <x v="14"/>
    <n v="1000"/>
    <n v="9"/>
    <n v="9000"/>
    <n v="78.03"/>
    <x v="2"/>
    <x v="1"/>
  </r>
  <r>
    <s v="CUST0312"/>
    <n v="1"/>
    <s v="Ejiro Barker"/>
    <x v="2"/>
    <n v="29"/>
    <x v="0"/>
    <x v="17"/>
    <x v="3"/>
    <x v="1"/>
    <x v="0"/>
    <x v="0"/>
    <x v="2"/>
    <n v="56"/>
    <x v="10"/>
    <n v="24000"/>
    <n v="6"/>
    <n v="144000"/>
    <n v="106.55"/>
    <x v="2"/>
    <x v="1"/>
  </r>
  <r>
    <s v="CUST0312"/>
    <n v="0"/>
    <s v="Ejiro Barker"/>
    <x v="2"/>
    <n v="29"/>
    <x v="0"/>
    <x v="17"/>
    <x v="0"/>
    <x v="1"/>
    <x v="0"/>
    <x v="0"/>
    <x v="2"/>
    <n v="56"/>
    <x v="5"/>
    <n v="4500"/>
    <n v="15"/>
    <n v="67500"/>
    <n v="100.38"/>
    <x v="2"/>
    <x v="1"/>
  </r>
  <r>
    <s v="CUST0312"/>
    <n v="0"/>
    <s v="Ejiro Barker"/>
    <x v="2"/>
    <n v="29"/>
    <x v="0"/>
    <x v="17"/>
    <x v="2"/>
    <x v="1"/>
    <x v="0"/>
    <x v="0"/>
    <x v="2"/>
    <n v="56"/>
    <x v="4"/>
    <n v="9000"/>
    <n v="17"/>
    <n v="153000"/>
    <n v="8.43"/>
    <x v="2"/>
    <x v="1"/>
  </r>
  <r>
    <s v="CUST0313"/>
    <n v="1"/>
    <s v="Maryam Hernandez"/>
    <x v="2"/>
    <n v="58"/>
    <x v="3"/>
    <x v="12"/>
    <x v="2"/>
    <x v="1"/>
    <x v="1"/>
    <x v="1"/>
    <x v="2"/>
    <n v="48"/>
    <x v="10"/>
    <n v="24000"/>
    <n v="17"/>
    <n v="408000"/>
    <n v="47.62"/>
    <x v="2"/>
    <x v="1"/>
  </r>
  <r>
    <s v="CUST0313"/>
    <n v="0"/>
    <s v="Maryam Hernandez"/>
    <x v="2"/>
    <n v="58"/>
    <x v="3"/>
    <x v="12"/>
    <x v="1"/>
    <x v="1"/>
    <x v="1"/>
    <x v="1"/>
    <x v="2"/>
    <n v="48"/>
    <x v="3"/>
    <n v="500"/>
    <n v="9"/>
    <n v="4500"/>
    <n v="162.47"/>
    <x v="2"/>
    <x v="1"/>
  </r>
  <r>
    <s v="CUST0314"/>
    <n v="1"/>
    <s v="Omamuzo King"/>
    <x v="1"/>
    <n v="19"/>
    <x v="0"/>
    <x v="29"/>
    <x v="1"/>
    <x v="0"/>
    <x v="4"/>
    <x v="4"/>
    <x v="3"/>
    <n v="10"/>
    <x v="13"/>
    <n v="350"/>
    <n v="19"/>
    <n v="6650"/>
    <n v="83.76"/>
    <x v="2"/>
    <x v="1"/>
  </r>
  <r>
    <s v="CUST0315"/>
    <n v="1"/>
    <s v="Obinna Anderson"/>
    <x v="2"/>
    <n v="70"/>
    <x v="4"/>
    <x v="24"/>
    <x v="0"/>
    <x v="1"/>
    <x v="0"/>
    <x v="0"/>
    <x v="2"/>
    <n v="29"/>
    <x v="5"/>
    <n v="4500"/>
    <n v="5"/>
    <n v="22500"/>
    <n v="86.3"/>
    <x v="2"/>
    <x v="1"/>
  </r>
  <r>
    <s v="CUST0315"/>
    <n v="0"/>
    <s v="Obinna Anderson"/>
    <x v="2"/>
    <n v="70"/>
    <x v="4"/>
    <x v="24"/>
    <x v="3"/>
    <x v="1"/>
    <x v="0"/>
    <x v="0"/>
    <x v="2"/>
    <n v="29"/>
    <x v="10"/>
    <n v="24000"/>
    <n v="11"/>
    <n v="264000"/>
    <n v="183.46"/>
    <x v="2"/>
    <x v="1"/>
  </r>
  <r>
    <s v="CUST0315"/>
    <n v="0"/>
    <s v="Obinna Anderson"/>
    <x v="2"/>
    <n v="70"/>
    <x v="4"/>
    <x v="24"/>
    <x v="1"/>
    <x v="1"/>
    <x v="0"/>
    <x v="0"/>
    <x v="2"/>
    <n v="29"/>
    <x v="14"/>
    <n v="1000"/>
    <n v="4"/>
    <n v="4000"/>
    <n v="111.69"/>
    <x v="2"/>
    <x v="1"/>
  </r>
  <r>
    <s v="CUST0316"/>
    <n v="1"/>
    <s v="Shehu Rogers"/>
    <x v="1"/>
    <n v="56"/>
    <x v="3"/>
    <x v="5"/>
    <x v="1"/>
    <x v="0"/>
    <x v="4"/>
    <x v="4"/>
    <x v="2"/>
    <n v="49"/>
    <x v="3"/>
    <n v="500"/>
    <n v="7"/>
    <n v="3500"/>
    <n v="30.82"/>
    <x v="2"/>
    <x v="1"/>
  </r>
  <r>
    <s v="CUST0316"/>
    <n v="0"/>
    <s v="Shehu Rogers"/>
    <x v="1"/>
    <n v="56"/>
    <x v="3"/>
    <x v="5"/>
    <x v="2"/>
    <x v="0"/>
    <x v="4"/>
    <x v="4"/>
    <x v="2"/>
    <n v="49"/>
    <x v="2"/>
    <n v="20000"/>
    <n v="1"/>
    <n v="20000"/>
    <n v="26.74"/>
    <x v="2"/>
    <x v="1"/>
  </r>
  <r>
    <s v="CUST0317"/>
    <n v="1"/>
    <s v="Zainab Shaw"/>
    <x v="0"/>
    <n v="45"/>
    <x v="3"/>
    <x v="16"/>
    <x v="0"/>
    <x v="0"/>
    <x v="2"/>
    <x v="2"/>
    <x v="2"/>
    <n v="44"/>
    <x v="0"/>
    <n v="35000"/>
    <n v="12"/>
    <n v="420000"/>
    <n v="142.55000000000001"/>
    <x v="1"/>
    <x v="0"/>
  </r>
  <r>
    <s v="CUST0317"/>
    <n v="0"/>
    <s v="Zainab Shaw"/>
    <x v="0"/>
    <n v="45"/>
    <x v="3"/>
    <x v="16"/>
    <x v="2"/>
    <x v="0"/>
    <x v="2"/>
    <x v="2"/>
    <x v="2"/>
    <n v="44"/>
    <x v="11"/>
    <n v="30000"/>
    <n v="16"/>
    <n v="480000"/>
    <n v="170.5"/>
    <x v="1"/>
    <x v="0"/>
  </r>
  <r>
    <s v="CUST0318"/>
    <n v="1"/>
    <s v="John Martinez"/>
    <x v="0"/>
    <n v="33"/>
    <x v="2"/>
    <x v="1"/>
    <x v="2"/>
    <x v="0"/>
    <x v="4"/>
    <x v="4"/>
    <x v="1"/>
    <n v="15"/>
    <x v="17"/>
    <n v="75000"/>
    <n v="7"/>
    <n v="525000"/>
    <n v="44.9"/>
    <x v="2"/>
    <x v="1"/>
  </r>
  <r>
    <s v="CUST0319"/>
    <n v="1"/>
    <s v="Fatima Powell"/>
    <x v="2"/>
    <n v="24"/>
    <x v="0"/>
    <x v="20"/>
    <x v="1"/>
    <x v="1"/>
    <x v="2"/>
    <x v="2"/>
    <x v="2"/>
    <n v="56"/>
    <x v="15"/>
    <n v="7500"/>
    <n v="20"/>
    <n v="150000"/>
    <n v="155.35"/>
    <x v="2"/>
    <x v="1"/>
  </r>
  <r>
    <s v="CUST0320"/>
    <n v="1"/>
    <s v="Omamuzo Perez"/>
    <x v="0"/>
    <n v="56"/>
    <x v="3"/>
    <x v="10"/>
    <x v="0"/>
    <x v="0"/>
    <x v="4"/>
    <x v="4"/>
    <x v="2"/>
    <n v="34"/>
    <x v="0"/>
    <n v="35000"/>
    <n v="2"/>
    <n v="70000"/>
    <n v="196.77"/>
    <x v="2"/>
    <x v="1"/>
  </r>
  <r>
    <s v="CUST0321"/>
    <n v="1"/>
    <s v="Omamuzo Schwartz"/>
    <x v="2"/>
    <n v="22"/>
    <x v="0"/>
    <x v="18"/>
    <x v="1"/>
    <x v="1"/>
    <x v="2"/>
    <x v="2"/>
    <x v="2"/>
    <n v="29"/>
    <x v="15"/>
    <n v="7500"/>
    <n v="2"/>
    <n v="15000"/>
    <n v="59.24"/>
    <x v="2"/>
    <x v="1"/>
  </r>
  <r>
    <s v="CUST0321"/>
    <n v="0"/>
    <s v="Omamuzo Schwartz"/>
    <x v="2"/>
    <n v="22"/>
    <x v="0"/>
    <x v="18"/>
    <x v="3"/>
    <x v="1"/>
    <x v="2"/>
    <x v="2"/>
    <x v="2"/>
    <n v="29"/>
    <x v="10"/>
    <n v="24000"/>
    <n v="15"/>
    <n v="360000"/>
    <n v="180.78"/>
    <x v="2"/>
    <x v="1"/>
  </r>
  <r>
    <s v="CUST0322"/>
    <n v="1"/>
    <s v="Alabo Jackson"/>
    <x v="2"/>
    <n v="27"/>
    <x v="0"/>
    <x v="28"/>
    <x v="3"/>
    <x v="0"/>
    <x v="4"/>
    <x v="4"/>
    <x v="3"/>
    <n v="12"/>
    <x v="12"/>
    <n v="14500"/>
    <n v="7"/>
    <n v="101500"/>
    <n v="118.27"/>
    <x v="2"/>
    <x v="1"/>
  </r>
  <r>
    <s v="CUST0322"/>
    <n v="0"/>
    <s v="Alabo Jackson"/>
    <x v="2"/>
    <n v="27"/>
    <x v="0"/>
    <x v="28"/>
    <x v="1"/>
    <x v="0"/>
    <x v="4"/>
    <x v="4"/>
    <x v="3"/>
    <n v="12"/>
    <x v="1"/>
    <n v="5500"/>
    <n v="11"/>
    <n v="60500"/>
    <n v="18.489999999999998"/>
    <x v="2"/>
    <x v="1"/>
  </r>
  <r>
    <s v="CUST0323"/>
    <n v="1"/>
    <s v="Amina Nguyen"/>
    <x v="2"/>
    <n v="31"/>
    <x v="2"/>
    <x v="33"/>
    <x v="0"/>
    <x v="0"/>
    <x v="2"/>
    <x v="2"/>
    <x v="2"/>
    <n v="46"/>
    <x v="0"/>
    <n v="35000"/>
    <n v="6"/>
    <n v="210000"/>
    <n v="9.26"/>
    <x v="7"/>
    <x v="0"/>
  </r>
  <r>
    <s v="CUST0323"/>
    <n v="0"/>
    <s v="Amina Nguyen"/>
    <x v="2"/>
    <n v="31"/>
    <x v="2"/>
    <x v="33"/>
    <x v="1"/>
    <x v="0"/>
    <x v="2"/>
    <x v="2"/>
    <x v="2"/>
    <n v="46"/>
    <x v="7"/>
    <n v="3500"/>
    <n v="5"/>
    <n v="17500"/>
    <n v="113.32"/>
    <x v="7"/>
    <x v="0"/>
  </r>
  <r>
    <s v="CUST0324"/>
    <n v="1"/>
    <s v="Amina Taylor"/>
    <x v="1"/>
    <n v="34"/>
    <x v="2"/>
    <x v="20"/>
    <x v="2"/>
    <x v="0"/>
    <x v="2"/>
    <x v="2"/>
    <x v="2"/>
    <n v="27"/>
    <x v="11"/>
    <n v="30000"/>
    <n v="5"/>
    <n v="150000"/>
    <n v="23.95"/>
    <x v="2"/>
    <x v="1"/>
  </r>
  <r>
    <s v="CUST0324"/>
    <n v="0"/>
    <s v="Amina Taylor"/>
    <x v="1"/>
    <n v="34"/>
    <x v="2"/>
    <x v="20"/>
    <x v="1"/>
    <x v="0"/>
    <x v="2"/>
    <x v="2"/>
    <x v="2"/>
    <n v="27"/>
    <x v="13"/>
    <n v="350"/>
    <n v="9"/>
    <n v="3150"/>
    <n v="1.2"/>
    <x v="2"/>
    <x v="1"/>
  </r>
  <r>
    <s v="CUST0325"/>
    <n v="1"/>
    <s v="Tunde Terry"/>
    <x v="0"/>
    <n v="74"/>
    <x v="4"/>
    <x v="12"/>
    <x v="0"/>
    <x v="1"/>
    <x v="3"/>
    <x v="3"/>
    <x v="2"/>
    <n v="35"/>
    <x v="0"/>
    <n v="35000"/>
    <n v="15"/>
    <n v="525000"/>
    <n v="91.02"/>
    <x v="2"/>
    <x v="1"/>
  </r>
  <r>
    <s v="CUST0326"/>
    <n v="1"/>
    <s v="Chinedu Krueger"/>
    <x v="2"/>
    <n v="16"/>
    <x v="1"/>
    <x v="7"/>
    <x v="1"/>
    <x v="1"/>
    <x v="1"/>
    <x v="1"/>
    <x v="2"/>
    <n v="40"/>
    <x v="16"/>
    <n v="900"/>
    <n v="20"/>
    <n v="18000"/>
    <n v="133.57"/>
    <x v="3"/>
    <x v="0"/>
  </r>
  <r>
    <s v="CUST0327"/>
    <n v="1"/>
    <s v="Maryam Rhodes"/>
    <x v="2"/>
    <n v="58"/>
    <x v="3"/>
    <x v="33"/>
    <x v="0"/>
    <x v="0"/>
    <x v="0"/>
    <x v="0"/>
    <x v="3"/>
    <n v="7"/>
    <x v="9"/>
    <n v="16000"/>
    <n v="10"/>
    <n v="160000"/>
    <n v="19.079999999999998"/>
    <x v="4"/>
    <x v="0"/>
  </r>
  <r>
    <s v="CUST0327"/>
    <n v="0"/>
    <s v="Maryam Rhodes"/>
    <x v="2"/>
    <n v="58"/>
    <x v="3"/>
    <x v="33"/>
    <x v="1"/>
    <x v="0"/>
    <x v="0"/>
    <x v="0"/>
    <x v="3"/>
    <n v="7"/>
    <x v="7"/>
    <n v="3500"/>
    <n v="13"/>
    <n v="45500"/>
    <n v="74.03"/>
    <x v="4"/>
    <x v="0"/>
  </r>
  <r>
    <s v="CUST0327"/>
    <n v="0"/>
    <s v="Maryam Rhodes"/>
    <x v="2"/>
    <n v="58"/>
    <x v="3"/>
    <x v="33"/>
    <x v="2"/>
    <x v="0"/>
    <x v="0"/>
    <x v="0"/>
    <x v="3"/>
    <n v="7"/>
    <x v="2"/>
    <n v="20000"/>
    <n v="18"/>
    <n v="360000"/>
    <n v="151.81"/>
    <x v="4"/>
    <x v="0"/>
  </r>
  <r>
    <s v="CUST0328"/>
    <n v="1"/>
    <s v="Kunle Liu"/>
    <x v="1"/>
    <n v="53"/>
    <x v="3"/>
    <x v="31"/>
    <x v="0"/>
    <x v="0"/>
    <x v="2"/>
    <x v="2"/>
    <x v="3"/>
    <n v="8"/>
    <x v="9"/>
    <n v="16000"/>
    <n v="17"/>
    <n v="272000"/>
    <n v="22.31"/>
    <x v="2"/>
    <x v="1"/>
  </r>
  <r>
    <s v="CUST0328"/>
    <n v="0"/>
    <s v="Kunle Liu"/>
    <x v="1"/>
    <n v="53"/>
    <x v="3"/>
    <x v="31"/>
    <x v="2"/>
    <x v="0"/>
    <x v="2"/>
    <x v="2"/>
    <x v="3"/>
    <n v="8"/>
    <x v="2"/>
    <n v="20000"/>
    <n v="20"/>
    <n v="400000"/>
    <n v="96.99"/>
    <x v="2"/>
    <x v="1"/>
  </r>
  <r>
    <s v="CUST0328"/>
    <n v="0"/>
    <s v="Kunle Liu"/>
    <x v="1"/>
    <n v="53"/>
    <x v="3"/>
    <x v="31"/>
    <x v="3"/>
    <x v="0"/>
    <x v="2"/>
    <x v="2"/>
    <x v="3"/>
    <n v="8"/>
    <x v="11"/>
    <n v="30000"/>
    <n v="11"/>
    <n v="330000"/>
    <n v="85.7"/>
    <x v="2"/>
    <x v="1"/>
  </r>
  <r>
    <s v="CUST0329"/>
    <n v="1"/>
    <s v="Saidu Anderson"/>
    <x v="2"/>
    <n v="61"/>
    <x v="4"/>
    <x v="21"/>
    <x v="0"/>
    <x v="1"/>
    <x v="4"/>
    <x v="4"/>
    <x v="2"/>
    <n v="34"/>
    <x v="5"/>
    <n v="4500"/>
    <n v="1"/>
    <n v="4500"/>
    <n v="0.82"/>
    <x v="2"/>
    <x v="1"/>
  </r>
  <r>
    <s v="CUST0329"/>
    <n v="0"/>
    <s v="Saidu Anderson"/>
    <x v="2"/>
    <n v="61"/>
    <x v="4"/>
    <x v="21"/>
    <x v="2"/>
    <x v="1"/>
    <x v="4"/>
    <x v="4"/>
    <x v="2"/>
    <n v="34"/>
    <x v="8"/>
    <n v="150000"/>
    <n v="4"/>
    <n v="600000"/>
    <n v="125.28"/>
    <x v="2"/>
    <x v="1"/>
  </r>
  <r>
    <s v="CUST0329"/>
    <n v="0"/>
    <s v="Saidu Anderson"/>
    <x v="2"/>
    <n v="61"/>
    <x v="4"/>
    <x v="21"/>
    <x v="1"/>
    <x v="1"/>
    <x v="4"/>
    <x v="4"/>
    <x v="2"/>
    <n v="34"/>
    <x v="13"/>
    <n v="350"/>
    <n v="14"/>
    <n v="4900"/>
    <n v="160.01"/>
    <x v="2"/>
    <x v="1"/>
  </r>
  <r>
    <s v="CUST0330"/>
    <n v="1"/>
    <s v="Ibim Harrison"/>
    <x v="2"/>
    <n v="21"/>
    <x v="0"/>
    <x v="26"/>
    <x v="2"/>
    <x v="1"/>
    <x v="1"/>
    <x v="1"/>
    <x v="2"/>
    <n v="36"/>
    <x v="10"/>
    <n v="24000"/>
    <n v="18"/>
    <n v="432000"/>
    <n v="60.41"/>
    <x v="2"/>
    <x v="1"/>
  </r>
  <r>
    <s v="CUST0330"/>
    <n v="0"/>
    <s v="Ibim Harrison"/>
    <x v="2"/>
    <n v="21"/>
    <x v="0"/>
    <x v="26"/>
    <x v="0"/>
    <x v="1"/>
    <x v="1"/>
    <x v="1"/>
    <x v="2"/>
    <n v="36"/>
    <x v="6"/>
    <n v="9000"/>
    <n v="4"/>
    <n v="36000"/>
    <n v="153.52000000000001"/>
    <x v="2"/>
    <x v="1"/>
  </r>
  <r>
    <s v="CUST0330"/>
    <n v="0"/>
    <s v="Ibim Harrison"/>
    <x v="2"/>
    <n v="21"/>
    <x v="0"/>
    <x v="26"/>
    <x v="3"/>
    <x v="1"/>
    <x v="1"/>
    <x v="1"/>
    <x v="2"/>
    <n v="36"/>
    <x v="11"/>
    <n v="30000"/>
    <n v="19"/>
    <n v="570000"/>
    <n v="68.599999999999994"/>
    <x v="2"/>
    <x v="1"/>
  </r>
  <r>
    <s v="CUST0331"/>
    <n v="1"/>
    <s v="Funke Francis"/>
    <x v="1"/>
    <n v="38"/>
    <x v="2"/>
    <x v="18"/>
    <x v="0"/>
    <x v="1"/>
    <x v="4"/>
    <x v="4"/>
    <x v="2"/>
    <n v="54"/>
    <x v="0"/>
    <n v="35000"/>
    <n v="15"/>
    <n v="525000"/>
    <n v="31.5"/>
    <x v="2"/>
    <x v="1"/>
  </r>
  <r>
    <s v="CUST0332"/>
    <n v="1"/>
    <s v="David Ward"/>
    <x v="0"/>
    <n v="58"/>
    <x v="3"/>
    <x v="2"/>
    <x v="2"/>
    <x v="1"/>
    <x v="3"/>
    <x v="3"/>
    <x v="2"/>
    <n v="60"/>
    <x v="12"/>
    <n v="14500"/>
    <n v="11"/>
    <n v="159500"/>
    <n v="115.69"/>
    <x v="7"/>
    <x v="0"/>
  </r>
  <r>
    <s v="CUST0332"/>
    <n v="0"/>
    <s v="David Ward"/>
    <x v="0"/>
    <n v="58"/>
    <x v="3"/>
    <x v="2"/>
    <x v="1"/>
    <x v="1"/>
    <x v="3"/>
    <x v="3"/>
    <x v="2"/>
    <n v="60"/>
    <x v="7"/>
    <n v="3500"/>
    <n v="5"/>
    <n v="17500"/>
    <n v="13.71"/>
    <x v="7"/>
    <x v="0"/>
  </r>
  <r>
    <s v="CUST0332"/>
    <n v="0"/>
    <s v="David Ward"/>
    <x v="0"/>
    <n v="58"/>
    <x v="3"/>
    <x v="2"/>
    <x v="3"/>
    <x v="1"/>
    <x v="3"/>
    <x v="3"/>
    <x v="2"/>
    <n v="60"/>
    <x v="11"/>
    <n v="30000"/>
    <n v="11"/>
    <n v="330000"/>
    <n v="168.23"/>
    <x v="7"/>
    <x v="0"/>
  </r>
  <r>
    <s v="CUST0333"/>
    <n v="1"/>
    <s v="Omamuzo Miller"/>
    <x v="0"/>
    <n v="37"/>
    <x v="2"/>
    <x v="6"/>
    <x v="3"/>
    <x v="0"/>
    <x v="2"/>
    <x v="2"/>
    <x v="2"/>
    <n v="39"/>
    <x v="12"/>
    <n v="14500"/>
    <n v="8"/>
    <n v="116000"/>
    <n v="17.82"/>
    <x v="2"/>
    <x v="1"/>
  </r>
  <r>
    <s v="CUST0333"/>
    <n v="0"/>
    <s v="Omamuzo Miller"/>
    <x v="0"/>
    <n v="37"/>
    <x v="2"/>
    <x v="6"/>
    <x v="0"/>
    <x v="0"/>
    <x v="2"/>
    <x v="2"/>
    <x v="2"/>
    <n v="39"/>
    <x v="6"/>
    <n v="9000"/>
    <n v="10"/>
    <n v="90000"/>
    <n v="90.66"/>
    <x v="2"/>
    <x v="1"/>
  </r>
  <r>
    <s v="CUST0334"/>
    <n v="1"/>
    <s v="Fatima Carter"/>
    <x v="0"/>
    <n v="54"/>
    <x v="3"/>
    <x v="20"/>
    <x v="3"/>
    <x v="0"/>
    <x v="0"/>
    <x v="0"/>
    <x v="1"/>
    <n v="24"/>
    <x v="10"/>
    <n v="24000"/>
    <n v="11"/>
    <n v="264000"/>
    <n v="31.24"/>
    <x v="2"/>
    <x v="1"/>
  </r>
  <r>
    <s v="CUST0334"/>
    <n v="0"/>
    <s v="Fatima Carter"/>
    <x v="0"/>
    <n v="54"/>
    <x v="3"/>
    <x v="20"/>
    <x v="0"/>
    <x v="0"/>
    <x v="0"/>
    <x v="0"/>
    <x v="1"/>
    <n v="24"/>
    <x v="0"/>
    <n v="35000"/>
    <n v="17"/>
    <n v="595000"/>
    <n v="146.62"/>
    <x v="2"/>
    <x v="1"/>
  </r>
  <r>
    <s v="CUST0335"/>
    <n v="1"/>
    <s v="Maryam Patterson"/>
    <x v="2"/>
    <n v="57"/>
    <x v="3"/>
    <x v="5"/>
    <x v="1"/>
    <x v="0"/>
    <x v="0"/>
    <x v="0"/>
    <x v="2"/>
    <n v="53"/>
    <x v="20"/>
    <n v="6500"/>
    <n v="10"/>
    <n v="65000"/>
    <n v="23.61"/>
    <x v="2"/>
    <x v="1"/>
  </r>
  <r>
    <s v="CUST0335"/>
    <n v="0"/>
    <s v="Maryam Patterson"/>
    <x v="2"/>
    <n v="57"/>
    <x v="3"/>
    <x v="5"/>
    <x v="2"/>
    <x v="0"/>
    <x v="0"/>
    <x v="0"/>
    <x v="2"/>
    <n v="53"/>
    <x v="4"/>
    <n v="9000"/>
    <n v="20"/>
    <n v="180000"/>
    <n v="137.57"/>
    <x v="2"/>
    <x v="1"/>
  </r>
  <r>
    <s v="CUST0336"/>
    <n v="1"/>
    <s v="Chinedu Reynolds"/>
    <x v="1"/>
    <n v="58"/>
    <x v="3"/>
    <x v="2"/>
    <x v="0"/>
    <x v="0"/>
    <x v="1"/>
    <x v="1"/>
    <x v="3"/>
    <n v="7"/>
    <x v="5"/>
    <n v="4500"/>
    <n v="9"/>
    <n v="40500"/>
    <n v="38.909999999999997"/>
    <x v="2"/>
    <x v="1"/>
  </r>
  <r>
    <s v="CUST0336"/>
    <n v="0"/>
    <s v="Chinedu Reynolds"/>
    <x v="1"/>
    <n v="58"/>
    <x v="3"/>
    <x v="2"/>
    <x v="1"/>
    <x v="0"/>
    <x v="1"/>
    <x v="1"/>
    <x v="3"/>
    <n v="7"/>
    <x v="20"/>
    <n v="6500"/>
    <n v="15"/>
    <n v="97500"/>
    <n v="64.17"/>
    <x v="2"/>
    <x v="1"/>
  </r>
  <r>
    <s v="CUST0337"/>
    <n v="1"/>
    <s v="Ifeanyi Cunningham"/>
    <x v="0"/>
    <n v="50"/>
    <x v="3"/>
    <x v="5"/>
    <x v="3"/>
    <x v="0"/>
    <x v="1"/>
    <x v="1"/>
    <x v="1"/>
    <n v="18"/>
    <x v="10"/>
    <n v="24000"/>
    <n v="5"/>
    <n v="120000"/>
    <n v="64.040000000000006"/>
    <x v="2"/>
    <x v="1"/>
  </r>
  <r>
    <s v="CUST0337"/>
    <n v="0"/>
    <s v="Ifeanyi Cunningham"/>
    <x v="0"/>
    <n v="50"/>
    <x v="3"/>
    <x v="5"/>
    <x v="1"/>
    <x v="0"/>
    <x v="1"/>
    <x v="1"/>
    <x v="1"/>
    <n v="18"/>
    <x v="3"/>
    <n v="500"/>
    <n v="6"/>
    <n v="3000"/>
    <n v="115.03"/>
    <x v="2"/>
    <x v="1"/>
  </r>
  <r>
    <s v="CUST0337"/>
    <n v="0"/>
    <s v="Ifeanyi Cunningham"/>
    <x v="0"/>
    <n v="50"/>
    <x v="3"/>
    <x v="5"/>
    <x v="0"/>
    <x v="0"/>
    <x v="1"/>
    <x v="1"/>
    <x v="1"/>
    <n v="18"/>
    <x v="9"/>
    <n v="16000"/>
    <n v="11"/>
    <n v="176000"/>
    <n v="62.62"/>
    <x v="2"/>
    <x v="1"/>
  </r>
  <r>
    <s v="CUST0338"/>
    <n v="1"/>
    <s v="David Crosby"/>
    <x v="2"/>
    <n v="72"/>
    <x v="4"/>
    <x v="4"/>
    <x v="1"/>
    <x v="0"/>
    <x v="1"/>
    <x v="1"/>
    <x v="0"/>
    <n v="2"/>
    <x v="15"/>
    <n v="7500"/>
    <n v="20"/>
    <n v="150000"/>
    <n v="36.21"/>
    <x v="3"/>
    <x v="0"/>
  </r>
  <r>
    <s v="CUST0339"/>
    <n v="1"/>
    <s v="Alabo Davis"/>
    <x v="2"/>
    <n v="61"/>
    <x v="4"/>
    <x v="24"/>
    <x v="0"/>
    <x v="1"/>
    <x v="3"/>
    <x v="3"/>
    <x v="2"/>
    <n v="53"/>
    <x v="0"/>
    <n v="35000"/>
    <n v="10"/>
    <n v="350000"/>
    <n v="19.899999999999999"/>
    <x v="1"/>
    <x v="0"/>
  </r>
  <r>
    <s v="CUST0339"/>
    <n v="0"/>
    <s v="Alabo Davis"/>
    <x v="2"/>
    <n v="61"/>
    <x v="4"/>
    <x v="24"/>
    <x v="3"/>
    <x v="1"/>
    <x v="3"/>
    <x v="3"/>
    <x v="2"/>
    <n v="53"/>
    <x v="12"/>
    <n v="14500"/>
    <n v="8"/>
    <n v="116000"/>
    <n v="94.37"/>
    <x v="1"/>
    <x v="0"/>
  </r>
  <r>
    <s v="CUST0340"/>
    <n v="1"/>
    <s v="Obinna Thomas"/>
    <x v="1"/>
    <n v="49"/>
    <x v="3"/>
    <x v="3"/>
    <x v="3"/>
    <x v="1"/>
    <x v="2"/>
    <x v="2"/>
    <x v="3"/>
    <n v="12"/>
    <x v="12"/>
    <n v="14500"/>
    <n v="16"/>
    <n v="232000"/>
    <n v="23.02"/>
    <x v="2"/>
    <x v="1"/>
  </r>
  <r>
    <s v="CUST0341"/>
    <n v="1"/>
    <s v="Zina Valenzuela"/>
    <x v="2"/>
    <n v="37"/>
    <x v="2"/>
    <x v="14"/>
    <x v="3"/>
    <x v="1"/>
    <x v="3"/>
    <x v="3"/>
    <x v="2"/>
    <n v="39"/>
    <x v="11"/>
    <n v="30000"/>
    <n v="13"/>
    <n v="390000"/>
    <n v="106.78"/>
    <x v="1"/>
    <x v="0"/>
  </r>
  <r>
    <s v="CUST0341"/>
    <n v="0"/>
    <s v="Zina Valenzuela"/>
    <x v="2"/>
    <n v="37"/>
    <x v="2"/>
    <x v="14"/>
    <x v="0"/>
    <x v="1"/>
    <x v="3"/>
    <x v="3"/>
    <x v="2"/>
    <n v="39"/>
    <x v="0"/>
    <n v="35000"/>
    <n v="8"/>
    <n v="280000"/>
    <n v="48.1"/>
    <x v="1"/>
    <x v="0"/>
  </r>
  <r>
    <s v="CUST0341"/>
    <n v="0"/>
    <s v="Zina Valenzuela"/>
    <x v="2"/>
    <n v="37"/>
    <x v="2"/>
    <x v="14"/>
    <x v="1"/>
    <x v="1"/>
    <x v="3"/>
    <x v="3"/>
    <x v="2"/>
    <n v="39"/>
    <x v="20"/>
    <n v="6500"/>
    <n v="16"/>
    <n v="104000"/>
    <n v="32.22"/>
    <x v="1"/>
    <x v="0"/>
  </r>
  <r>
    <s v="CUST0342"/>
    <n v="1"/>
    <s v="Omamuzo Holmes"/>
    <x v="2"/>
    <n v="24"/>
    <x v="0"/>
    <x v="26"/>
    <x v="0"/>
    <x v="0"/>
    <x v="4"/>
    <x v="4"/>
    <x v="2"/>
    <n v="53"/>
    <x v="9"/>
    <n v="16000"/>
    <n v="19"/>
    <n v="304000"/>
    <n v="148"/>
    <x v="2"/>
    <x v="1"/>
  </r>
  <r>
    <s v="CUST0342"/>
    <n v="0"/>
    <s v="Omamuzo Holmes"/>
    <x v="2"/>
    <n v="24"/>
    <x v="0"/>
    <x v="26"/>
    <x v="3"/>
    <x v="0"/>
    <x v="4"/>
    <x v="4"/>
    <x v="2"/>
    <n v="53"/>
    <x v="12"/>
    <n v="14500"/>
    <n v="20"/>
    <n v="290000"/>
    <n v="23.31"/>
    <x v="2"/>
    <x v="1"/>
  </r>
  <r>
    <s v="CUST0343"/>
    <n v="1"/>
    <s v="Zina Diaz"/>
    <x v="1"/>
    <n v="57"/>
    <x v="3"/>
    <x v="13"/>
    <x v="1"/>
    <x v="1"/>
    <x v="4"/>
    <x v="4"/>
    <x v="3"/>
    <n v="12"/>
    <x v="16"/>
    <n v="900"/>
    <n v="5"/>
    <n v="4500"/>
    <n v="18.559999999999999"/>
    <x v="3"/>
    <x v="0"/>
  </r>
  <r>
    <s v="CUST0343"/>
    <n v="0"/>
    <s v="Zina Diaz"/>
    <x v="1"/>
    <n v="57"/>
    <x v="3"/>
    <x v="13"/>
    <x v="0"/>
    <x v="1"/>
    <x v="4"/>
    <x v="4"/>
    <x v="3"/>
    <n v="12"/>
    <x v="9"/>
    <n v="16000"/>
    <n v="5"/>
    <n v="80000"/>
    <n v="151.54"/>
    <x v="3"/>
    <x v="0"/>
  </r>
  <r>
    <s v="CUST0343"/>
    <n v="0"/>
    <s v="Zina Diaz"/>
    <x v="1"/>
    <n v="57"/>
    <x v="3"/>
    <x v="13"/>
    <x v="2"/>
    <x v="1"/>
    <x v="4"/>
    <x v="4"/>
    <x v="3"/>
    <n v="12"/>
    <x v="8"/>
    <n v="150000"/>
    <n v="13"/>
    <n v="1950000"/>
    <n v="106.49"/>
    <x v="3"/>
    <x v="0"/>
  </r>
  <r>
    <s v="CUST0344"/>
    <n v="1"/>
    <s v="Alabo Baker"/>
    <x v="1"/>
    <n v="41"/>
    <x v="2"/>
    <x v="9"/>
    <x v="3"/>
    <x v="1"/>
    <x v="4"/>
    <x v="4"/>
    <x v="1"/>
    <n v="20"/>
    <x v="4"/>
    <n v="9000"/>
    <n v="17"/>
    <n v="153000"/>
    <n v="122.49"/>
    <x v="2"/>
    <x v="1"/>
  </r>
  <r>
    <s v="CUST0344"/>
    <n v="0"/>
    <s v="Alabo Baker"/>
    <x v="1"/>
    <n v="41"/>
    <x v="2"/>
    <x v="9"/>
    <x v="2"/>
    <x v="1"/>
    <x v="4"/>
    <x v="4"/>
    <x v="1"/>
    <n v="20"/>
    <x v="17"/>
    <n v="75000"/>
    <n v="10"/>
    <n v="750000"/>
    <n v="169.6"/>
    <x v="2"/>
    <x v="1"/>
  </r>
  <r>
    <s v="CUST0345"/>
    <n v="1"/>
    <s v="Sade Mercer"/>
    <x v="1"/>
    <n v="63"/>
    <x v="4"/>
    <x v="4"/>
    <x v="0"/>
    <x v="0"/>
    <x v="1"/>
    <x v="1"/>
    <x v="2"/>
    <n v="46"/>
    <x v="0"/>
    <n v="35000"/>
    <n v="13"/>
    <n v="455000"/>
    <n v="140.59"/>
    <x v="2"/>
    <x v="1"/>
  </r>
  <r>
    <s v="CUST0346"/>
    <n v="1"/>
    <s v="Ese Harper"/>
    <x v="2"/>
    <n v="64"/>
    <x v="4"/>
    <x v="10"/>
    <x v="1"/>
    <x v="1"/>
    <x v="0"/>
    <x v="0"/>
    <x v="2"/>
    <n v="28"/>
    <x v="7"/>
    <n v="3500"/>
    <n v="5"/>
    <n v="17500"/>
    <n v="168.07"/>
    <x v="2"/>
    <x v="1"/>
  </r>
  <r>
    <s v="CUST0347"/>
    <n v="1"/>
    <s v="Abubakar Mcknight"/>
    <x v="0"/>
    <n v="32"/>
    <x v="2"/>
    <x v="21"/>
    <x v="1"/>
    <x v="0"/>
    <x v="0"/>
    <x v="0"/>
    <x v="0"/>
    <n v="5"/>
    <x v="14"/>
    <n v="1000"/>
    <n v="14"/>
    <n v="14000"/>
    <n v="27.88"/>
    <x v="2"/>
    <x v="1"/>
  </r>
  <r>
    <s v="CUST0347"/>
    <n v="0"/>
    <s v="Abubakar Mcknight"/>
    <x v="0"/>
    <n v="32"/>
    <x v="2"/>
    <x v="21"/>
    <x v="3"/>
    <x v="0"/>
    <x v="0"/>
    <x v="0"/>
    <x v="0"/>
    <n v="5"/>
    <x v="12"/>
    <n v="14500"/>
    <n v="20"/>
    <n v="290000"/>
    <n v="178.77"/>
    <x v="2"/>
    <x v="1"/>
  </r>
  <r>
    <s v="CUST0348"/>
    <n v="1"/>
    <s v="Boma Anderson"/>
    <x v="2"/>
    <n v="39"/>
    <x v="2"/>
    <x v="2"/>
    <x v="1"/>
    <x v="1"/>
    <x v="4"/>
    <x v="4"/>
    <x v="2"/>
    <n v="36"/>
    <x v="16"/>
    <n v="900"/>
    <n v="8"/>
    <n v="7200"/>
    <n v="115.8"/>
    <x v="2"/>
    <x v="1"/>
  </r>
  <r>
    <s v="CUST0349"/>
    <n v="1"/>
    <s v="Michael Smith"/>
    <x v="0"/>
    <n v="50"/>
    <x v="3"/>
    <x v="15"/>
    <x v="3"/>
    <x v="1"/>
    <x v="3"/>
    <x v="3"/>
    <x v="0"/>
    <n v="3"/>
    <x v="12"/>
    <n v="14500"/>
    <n v="3"/>
    <n v="43500"/>
    <n v="192.37"/>
    <x v="2"/>
    <x v="1"/>
  </r>
  <r>
    <s v="CUST0349"/>
    <n v="0"/>
    <s v="Michael Smith"/>
    <x v="0"/>
    <n v="50"/>
    <x v="3"/>
    <x v="15"/>
    <x v="2"/>
    <x v="1"/>
    <x v="3"/>
    <x v="3"/>
    <x v="0"/>
    <n v="3"/>
    <x v="11"/>
    <n v="30000"/>
    <n v="17"/>
    <n v="510000"/>
    <n v="146.16999999999999"/>
    <x v="2"/>
    <x v="1"/>
  </r>
  <r>
    <s v="CUST0350"/>
    <n v="1"/>
    <s v="Zainab Compton"/>
    <x v="0"/>
    <n v="75"/>
    <x v="4"/>
    <x v="8"/>
    <x v="3"/>
    <x v="0"/>
    <x v="0"/>
    <x v="0"/>
    <x v="2"/>
    <n v="34"/>
    <x v="10"/>
    <n v="24000"/>
    <n v="11"/>
    <n v="264000"/>
    <n v="11.03"/>
    <x v="2"/>
    <x v="1"/>
  </r>
  <r>
    <s v="CUST0350"/>
    <n v="0"/>
    <s v="Zainab Compton"/>
    <x v="0"/>
    <n v="75"/>
    <x v="4"/>
    <x v="8"/>
    <x v="2"/>
    <x v="0"/>
    <x v="0"/>
    <x v="0"/>
    <x v="2"/>
    <n v="34"/>
    <x v="4"/>
    <n v="9000"/>
    <n v="17"/>
    <n v="153000"/>
    <n v="94.04"/>
    <x v="2"/>
    <x v="1"/>
  </r>
  <r>
    <s v="CUST0350"/>
    <n v="0"/>
    <s v="Zainab Compton"/>
    <x v="0"/>
    <n v="75"/>
    <x v="4"/>
    <x v="8"/>
    <x v="0"/>
    <x v="0"/>
    <x v="0"/>
    <x v="0"/>
    <x v="2"/>
    <n v="34"/>
    <x v="0"/>
    <n v="35000"/>
    <n v="11"/>
    <n v="385000"/>
    <n v="115.01"/>
    <x v="2"/>
    <x v="1"/>
  </r>
  <r>
    <s v="CUST0351"/>
    <n v="1"/>
    <s v="Ibim Mills"/>
    <x v="0"/>
    <n v="61"/>
    <x v="4"/>
    <x v="14"/>
    <x v="2"/>
    <x v="1"/>
    <x v="3"/>
    <x v="3"/>
    <x v="3"/>
    <n v="11"/>
    <x v="11"/>
    <n v="30000"/>
    <n v="10"/>
    <n v="300000"/>
    <n v="114.79"/>
    <x v="2"/>
    <x v="1"/>
  </r>
  <r>
    <s v="CUST0351"/>
    <n v="0"/>
    <s v="Ibim Mills"/>
    <x v="0"/>
    <n v="61"/>
    <x v="4"/>
    <x v="14"/>
    <x v="3"/>
    <x v="1"/>
    <x v="3"/>
    <x v="3"/>
    <x v="3"/>
    <n v="11"/>
    <x v="10"/>
    <n v="24000"/>
    <n v="16"/>
    <n v="384000"/>
    <n v="5.95"/>
    <x v="2"/>
    <x v="1"/>
  </r>
  <r>
    <s v="CUST0351"/>
    <n v="0"/>
    <s v="Ibim Mills"/>
    <x v="0"/>
    <n v="61"/>
    <x v="4"/>
    <x v="14"/>
    <x v="0"/>
    <x v="1"/>
    <x v="3"/>
    <x v="3"/>
    <x v="3"/>
    <n v="11"/>
    <x v="9"/>
    <n v="16000"/>
    <n v="3"/>
    <n v="48000"/>
    <n v="25.8"/>
    <x v="2"/>
    <x v="1"/>
  </r>
  <r>
    <s v="CUST0352"/>
    <n v="1"/>
    <s v="Zainab Rivera"/>
    <x v="1"/>
    <n v="48"/>
    <x v="3"/>
    <x v="21"/>
    <x v="0"/>
    <x v="1"/>
    <x v="1"/>
    <x v="1"/>
    <x v="1"/>
    <n v="18"/>
    <x v="0"/>
    <n v="35000"/>
    <n v="6"/>
    <n v="210000"/>
    <n v="74.27"/>
    <x v="2"/>
    <x v="1"/>
  </r>
  <r>
    <s v="CUST0352"/>
    <n v="0"/>
    <s v="Zainab Rivera"/>
    <x v="1"/>
    <n v="48"/>
    <x v="3"/>
    <x v="21"/>
    <x v="2"/>
    <x v="1"/>
    <x v="1"/>
    <x v="1"/>
    <x v="1"/>
    <n v="18"/>
    <x v="10"/>
    <n v="24000"/>
    <n v="8"/>
    <n v="192000"/>
    <n v="156.61000000000001"/>
    <x v="2"/>
    <x v="1"/>
  </r>
  <r>
    <s v="CUST0352"/>
    <n v="0"/>
    <s v="Zainab Rivera"/>
    <x v="1"/>
    <n v="48"/>
    <x v="3"/>
    <x v="21"/>
    <x v="3"/>
    <x v="1"/>
    <x v="1"/>
    <x v="1"/>
    <x v="1"/>
    <n v="18"/>
    <x v="12"/>
    <n v="14500"/>
    <n v="17"/>
    <n v="246500"/>
    <n v="36.57"/>
    <x v="2"/>
    <x v="1"/>
  </r>
  <r>
    <s v="CUST0353"/>
    <n v="1"/>
    <s v="Bola Patterson"/>
    <x v="2"/>
    <n v="59"/>
    <x v="3"/>
    <x v="33"/>
    <x v="1"/>
    <x v="0"/>
    <x v="4"/>
    <x v="4"/>
    <x v="2"/>
    <n v="39"/>
    <x v="1"/>
    <n v="5500"/>
    <n v="6"/>
    <n v="33000"/>
    <n v="145.34"/>
    <x v="2"/>
    <x v="1"/>
  </r>
  <r>
    <s v="CUST0353"/>
    <n v="0"/>
    <s v="Bola Patterson"/>
    <x v="2"/>
    <n v="59"/>
    <x v="3"/>
    <x v="33"/>
    <x v="3"/>
    <x v="0"/>
    <x v="4"/>
    <x v="4"/>
    <x v="2"/>
    <n v="39"/>
    <x v="2"/>
    <n v="20000"/>
    <n v="12"/>
    <n v="240000"/>
    <n v="115.76"/>
    <x v="2"/>
    <x v="1"/>
  </r>
  <r>
    <s v="CUST0354"/>
    <n v="1"/>
    <s v="Sade Brown"/>
    <x v="2"/>
    <n v="49"/>
    <x v="3"/>
    <x v="27"/>
    <x v="0"/>
    <x v="0"/>
    <x v="4"/>
    <x v="4"/>
    <x v="3"/>
    <n v="11"/>
    <x v="0"/>
    <n v="35000"/>
    <n v="5"/>
    <n v="175000"/>
    <n v="95.18"/>
    <x v="2"/>
    <x v="1"/>
  </r>
  <r>
    <s v="CUST0354"/>
    <n v="0"/>
    <s v="Sade Brown"/>
    <x v="2"/>
    <n v="49"/>
    <x v="3"/>
    <x v="27"/>
    <x v="1"/>
    <x v="0"/>
    <x v="4"/>
    <x v="4"/>
    <x v="3"/>
    <n v="11"/>
    <x v="20"/>
    <n v="6500"/>
    <n v="1"/>
    <n v="6500"/>
    <n v="174.12"/>
    <x v="2"/>
    <x v="1"/>
  </r>
  <r>
    <s v="CUST0355"/>
    <n v="1"/>
    <s v="Abubakar Martin"/>
    <x v="0"/>
    <n v="73"/>
    <x v="4"/>
    <x v="6"/>
    <x v="2"/>
    <x v="1"/>
    <x v="1"/>
    <x v="1"/>
    <x v="2"/>
    <n v="34"/>
    <x v="18"/>
    <n v="25000"/>
    <n v="4"/>
    <n v="100000"/>
    <n v="54.43"/>
    <x v="2"/>
    <x v="1"/>
  </r>
  <r>
    <s v="CUST0355"/>
    <n v="0"/>
    <s v="Abubakar Martin"/>
    <x v="0"/>
    <n v="73"/>
    <x v="4"/>
    <x v="6"/>
    <x v="0"/>
    <x v="1"/>
    <x v="1"/>
    <x v="1"/>
    <x v="2"/>
    <n v="34"/>
    <x v="6"/>
    <n v="9000"/>
    <n v="13"/>
    <n v="117000"/>
    <n v="131.04"/>
    <x v="2"/>
    <x v="1"/>
  </r>
  <r>
    <s v="CUST0355"/>
    <n v="0"/>
    <s v="Abubakar Martin"/>
    <x v="0"/>
    <n v="73"/>
    <x v="4"/>
    <x v="6"/>
    <x v="1"/>
    <x v="1"/>
    <x v="1"/>
    <x v="1"/>
    <x v="2"/>
    <n v="34"/>
    <x v="1"/>
    <n v="5500"/>
    <n v="8"/>
    <n v="44000"/>
    <n v="154.74"/>
    <x v="2"/>
    <x v="1"/>
  </r>
  <r>
    <s v="CUST0356"/>
    <n v="1"/>
    <s v="Bala Gibson"/>
    <x v="0"/>
    <n v="59"/>
    <x v="3"/>
    <x v="20"/>
    <x v="1"/>
    <x v="1"/>
    <x v="1"/>
    <x v="1"/>
    <x v="2"/>
    <n v="36"/>
    <x v="14"/>
    <n v="1000"/>
    <n v="15"/>
    <n v="15000"/>
    <n v="105.29"/>
    <x v="2"/>
    <x v="1"/>
  </r>
  <r>
    <s v="CUST0357"/>
    <n v="1"/>
    <s v="Oghene Winters"/>
    <x v="0"/>
    <n v="44"/>
    <x v="2"/>
    <x v="14"/>
    <x v="0"/>
    <x v="1"/>
    <x v="1"/>
    <x v="1"/>
    <x v="1"/>
    <n v="13"/>
    <x v="9"/>
    <n v="16000"/>
    <n v="4"/>
    <n v="64000"/>
    <n v="141.76"/>
    <x v="2"/>
    <x v="1"/>
  </r>
  <r>
    <s v="CUST0358"/>
    <n v="1"/>
    <s v="Chinedu Smith"/>
    <x v="0"/>
    <n v="32"/>
    <x v="2"/>
    <x v="6"/>
    <x v="3"/>
    <x v="0"/>
    <x v="0"/>
    <x v="0"/>
    <x v="2"/>
    <n v="58"/>
    <x v="11"/>
    <n v="30000"/>
    <n v="11"/>
    <n v="330000"/>
    <n v="153.99"/>
    <x v="5"/>
    <x v="0"/>
  </r>
  <r>
    <s v="CUST0358"/>
    <n v="0"/>
    <s v="Chinedu Smith"/>
    <x v="0"/>
    <n v="32"/>
    <x v="2"/>
    <x v="6"/>
    <x v="2"/>
    <x v="0"/>
    <x v="0"/>
    <x v="0"/>
    <x v="2"/>
    <n v="58"/>
    <x v="10"/>
    <n v="24000"/>
    <n v="3"/>
    <n v="72000"/>
    <n v="32.81"/>
    <x v="5"/>
    <x v="0"/>
  </r>
  <r>
    <s v="CUST0358"/>
    <n v="0"/>
    <s v="Chinedu Smith"/>
    <x v="0"/>
    <n v="32"/>
    <x v="2"/>
    <x v="6"/>
    <x v="0"/>
    <x v="0"/>
    <x v="0"/>
    <x v="0"/>
    <x v="2"/>
    <n v="58"/>
    <x v="6"/>
    <n v="9000"/>
    <n v="13"/>
    <n v="117000"/>
    <n v="155.53"/>
    <x v="5"/>
    <x v="0"/>
  </r>
  <r>
    <s v="CUST0359"/>
    <n v="1"/>
    <s v="Omamuzo Juarez"/>
    <x v="1"/>
    <n v="58"/>
    <x v="3"/>
    <x v="4"/>
    <x v="0"/>
    <x v="1"/>
    <x v="0"/>
    <x v="0"/>
    <x v="2"/>
    <n v="53"/>
    <x v="0"/>
    <n v="35000"/>
    <n v="16"/>
    <n v="560000"/>
    <n v="36.1"/>
    <x v="2"/>
    <x v="1"/>
  </r>
  <r>
    <s v="CUST0359"/>
    <n v="0"/>
    <s v="Omamuzo Juarez"/>
    <x v="1"/>
    <n v="58"/>
    <x v="3"/>
    <x v="4"/>
    <x v="2"/>
    <x v="1"/>
    <x v="0"/>
    <x v="0"/>
    <x v="2"/>
    <n v="53"/>
    <x v="2"/>
    <n v="20000"/>
    <n v="14"/>
    <n v="280000"/>
    <n v="29.2"/>
    <x v="2"/>
    <x v="1"/>
  </r>
  <r>
    <s v="CUST0360"/>
    <n v="1"/>
    <s v="Fatima Webb"/>
    <x v="0"/>
    <n v="29"/>
    <x v="0"/>
    <x v="30"/>
    <x v="1"/>
    <x v="1"/>
    <x v="1"/>
    <x v="1"/>
    <x v="3"/>
    <n v="7"/>
    <x v="1"/>
    <n v="5500"/>
    <n v="1"/>
    <n v="5500"/>
    <n v="30.2"/>
    <x v="7"/>
    <x v="0"/>
  </r>
  <r>
    <s v="CUST0360"/>
    <n v="0"/>
    <s v="Fatima Webb"/>
    <x v="0"/>
    <n v="29"/>
    <x v="0"/>
    <x v="30"/>
    <x v="3"/>
    <x v="1"/>
    <x v="1"/>
    <x v="1"/>
    <x v="3"/>
    <n v="7"/>
    <x v="4"/>
    <n v="9000"/>
    <n v="9"/>
    <n v="81000"/>
    <n v="133.09"/>
    <x v="7"/>
    <x v="0"/>
  </r>
  <r>
    <s v="CUST0361"/>
    <n v="1"/>
    <s v="Obinna Andrews"/>
    <x v="2"/>
    <n v="58"/>
    <x v="3"/>
    <x v="10"/>
    <x v="3"/>
    <x v="0"/>
    <x v="4"/>
    <x v="4"/>
    <x v="2"/>
    <n v="33"/>
    <x v="4"/>
    <n v="9000"/>
    <n v="16"/>
    <n v="144000"/>
    <n v="77.19"/>
    <x v="2"/>
    <x v="1"/>
  </r>
  <r>
    <s v="CUST0361"/>
    <n v="0"/>
    <s v="Obinna Andrews"/>
    <x v="2"/>
    <n v="58"/>
    <x v="3"/>
    <x v="10"/>
    <x v="2"/>
    <x v="0"/>
    <x v="4"/>
    <x v="4"/>
    <x v="2"/>
    <n v="33"/>
    <x v="2"/>
    <n v="20000"/>
    <n v="12"/>
    <n v="240000"/>
    <n v="113.67"/>
    <x v="2"/>
    <x v="1"/>
  </r>
  <r>
    <s v="CUST0361"/>
    <n v="0"/>
    <s v="Obinna Andrews"/>
    <x v="2"/>
    <n v="58"/>
    <x v="3"/>
    <x v="10"/>
    <x v="1"/>
    <x v="0"/>
    <x v="4"/>
    <x v="4"/>
    <x v="2"/>
    <n v="33"/>
    <x v="7"/>
    <n v="3500"/>
    <n v="13"/>
    <n v="45500"/>
    <n v="136.53"/>
    <x v="2"/>
    <x v="1"/>
  </r>
  <r>
    <s v="CUST0362"/>
    <n v="1"/>
    <s v="Sade Donaldson"/>
    <x v="2"/>
    <n v="27"/>
    <x v="0"/>
    <x v="3"/>
    <x v="3"/>
    <x v="1"/>
    <x v="2"/>
    <x v="2"/>
    <x v="0"/>
    <n v="6"/>
    <x v="12"/>
    <n v="14500"/>
    <n v="10"/>
    <n v="145000"/>
    <n v="132.32"/>
    <x v="2"/>
    <x v="1"/>
  </r>
  <r>
    <s v="CUST0363"/>
    <n v="1"/>
    <s v="Omamuzo Alexander"/>
    <x v="2"/>
    <n v="29"/>
    <x v="0"/>
    <x v="25"/>
    <x v="0"/>
    <x v="1"/>
    <x v="0"/>
    <x v="0"/>
    <x v="0"/>
    <n v="6"/>
    <x v="0"/>
    <n v="35000"/>
    <n v="18"/>
    <n v="630000"/>
    <n v="78.06"/>
    <x v="6"/>
    <x v="0"/>
  </r>
  <r>
    <s v="CUST0364"/>
    <n v="1"/>
    <s v="Maryam Harmon"/>
    <x v="0"/>
    <n v="79"/>
    <x v="4"/>
    <x v="11"/>
    <x v="3"/>
    <x v="1"/>
    <x v="2"/>
    <x v="2"/>
    <x v="0"/>
    <n v="2"/>
    <x v="2"/>
    <n v="20000"/>
    <n v="17"/>
    <n v="340000"/>
    <n v="161.52000000000001"/>
    <x v="1"/>
    <x v="0"/>
  </r>
  <r>
    <s v="CUST0364"/>
    <n v="0"/>
    <s v="Maryam Harmon"/>
    <x v="0"/>
    <n v="79"/>
    <x v="4"/>
    <x v="11"/>
    <x v="0"/>
    <x v="1"/>
    <x v="2"/>
    <x v="2"/>
    <x v="0"/>
    <n v="2"/>
    <x v="0"/>
    <n v="35000"/>
    <n v="18"/>
    <n v="630000"/>
    <n v="188.05"/>
    <x v="1"/>
    <x v="0"/>
  </r>
  <r>
    <s v="CUST0364"/>
    <n v="0"/>
    <s v="Maryam Harmon"/>
    <x v="0"/>
    <n v="79"/>
    <x v="4"/>
    <x v="11"/>
    <x v="1"/>
    <x v="1"/>
    <x v="2"/>
    <x v="2"/>
    <x v="0"/>
    <n v="2"/>
    <x v="19"/>
    <n v="600"/>
    <n v="8"/>
    <n v="4800"/>
    <n v="148.34"/>
    <x v="1"/>
    <x v="0"/>
  </r>
  <r>
    <s v="CUST0365"/>
    <n v="1"/>
    <s v="Kunle Myers"/>
    <x v="0"/>
    <n v="20"/>
    <x v="0"/>
    <x v="5"/>
    <x v="3"/>
    <x v="1"/>
    <x v="4"/>
    <x v="4"/>
    <x v="2"/>
    <n v="42"/>
    <x v="4"/>
    <n v="9000"/>
    <n v="2"/>
    <n v="18000"/>
    <n v="34.86"/>
    <x v="2"/>
    <x v="1"/>
  </r>
  <r>
    <s v="CUST0365"/>
    <n v="0"/>
    <s v="Kunle Myers"/>
    <x v="0"/>
    <n v="20"/>
    <x v="0"/>
    <x v="5"/>
    <x v="1"/>
    <x v="1"/>
    <x v="4"/>
    <x v="4"/>
    <x v="2"/>
    <n v="42"/>
    <x v="3"/>
    <n v="500"/>
    <n v="4"/>
    <n v="2000"/>
    <n v="164.24"/>
    <x v="2"/>
    <x v="1"/>
  </r>
  <r>
    <s v="CUST0365"/>
    <n v="0"/>
    <s v="Kunle Myers"/>
    <x v="0"/>
    <n v="20"/>
    <x v="0"/>
    <x v="5"/>
    <x v="2"/>
    <x v="1"/>
    <x v="4"/>
    <x v="4"/>
    <x v="2"/>
    <n v="42"/>
    <x v="8"/>
    <n v="150000"/>
    <n v="19"/>
    <n v="2850000"/>
    <n v="122.44"/>
    <x v="2"/>
    <x v="1"/>
  </r>
  <r>
    <s v="CUST0366"/>
    <n v="1"/>
    <s v="Kunle Brady"/>
    <x v="2"/>
    <n v="29"/>
    <x v="0"/>
    <x v="27"/>
    <x v="2"/>
    <x v="1"/>
    <x v="1"/>
    <x v="1"/>
    <x v="2"/>
    <n v="39"/>
    <x v="17"/>
    <n v="75000"/>
    <n v="19"/>
    <n v="1425000"/>
    <n v="65.180000000000007"/>
    <x v="2"/>
    <x v="1"/>
  </r>
  <r>
    <s v="CUST0366"/>
    <n v="0"/>
    <s v="Kunle Brady"/>
    <x v="2"/>
    <n v="29"/>
    <x v="0"/>
    <x v="27"/>
    <x v="1"/>
    <x v="1"/>
    <x v="1"/>
    <x v="1"/>
    <x v="2"/>
    <n v="39"/>
    <x v="20"/>
    <n v="6500"/>
    <n v="7"/>
    <n v="45500"/>
    <n v="27.9"/>
    <x v="2"/>
    <x v="1"/>
  </r>
  <r>
    <s v="CUST0367"/>
    <n v="1"/>
    <s v="Bola Carpenter"/>
    <x v="1"/>
    <n v="38"/>
    <x v="2"/>
    <x v="26"/>
    <x v="2"/>
    <x v="0"/>
    <x v="0"/>
    <x v="0"/>
    <x v="3"/>
    <n v="8"/>
    <x v="11"/>
    <n v="30000"/>
    <n v="19"/>
    <n v="570000"/>
    <n v="88.01"/>
    <x v="2"/>
    <x v="1"/>
  </r>
  <r>
    <s v="CUST0368"/>
    <n v="1"/>
    <s v="Bola Meadows"/>
    <x v="2"/>
    <n v="33"/>
    <x v="2"/>
    <x v="13"/>
    <x v="3"/>
    <x v="1"/>
    <x v="1"/>
    <x v="1"/>
    <x v="2"/>
    <n v="50"/>
    <x v="4"/>
    <n v="9000"/>
    <n v="3"/>
    <n v="27000"/>
    <n v="36.29"/>
    <x v="2"/>
    <x v="1"/>
  </r>
  <r>
    <s v="CUST0369"/>
    <n v="1"/>
    <s v="Abubakar Rodriguez"/>
    <x v="2"/>
    <n v="69"/>
    <x v="4"/>
    <x v="31"/>
    <x v="0"/>
    <x v="0"/>
    <x v="2"/>
    <x v="2"/>
    <x v="1"/>
    <n v="14"/>
    <x v="9"/>
    <n v="16000"/>
    <n v="16"/>
    <n v="256000"/>
    <n v="119.46"/>
    <x v="2"/>
    <x v="1"/>
  </r>
  <r>
    <s v="CUST0369"/>
    <n v="0"/>
    <s v="Abubakar Rodriguez"/>
    <x v="2"/>
    <n v="69"/>
    <x v="4"/>
    <x v="31"/>
    <x v="3"/>
    <x v="0"/>
    <x v="2"/>
    <x v="2"/>
    <x v="1"/>
    <n v="14"/>
    <x v="10"/>
    <n v="24000"/>
    <n v="10"/>
    <n v="240000"/>
    <n v="190.08"/>
    <x v="2"/>
    <x v="1"/>
  </r>
  <r>
    <s v="CUST0370"/>
    <n v="1"/>
    <s v="Oghene Bush"/>
    <x v="0"/>
    <n v="69"/>
    <x v="4"/>
    <x v="34"/>
    <x v="2"/>
    <x v="0"/>
    <x v="3"/>
    <x v="3"/>
    <x v="1"/>
    <n v="13"/>
    <x v="8"/>
    <n v="150000"/>
    <n v="7"/>
    <n v="1050000"/>
    <n v="154.18"/>
    <x v="2"/>
    <x v="1"/>
  </r>
  <r>
    <s v="CUST0370"/>
    <n v="0"/>
    <s v="Oghene Bush"/>
    <x v="0"/>
    <n v="69"/>
    <x v="4"/>
    <x v="34"/>
    <x v="1"/>
    <x v="0"/>
    <x v="3"/>
    <x v="3"/>
    <x v="1"/>
    <n v="13"/>
    <x v="3"/>
    <n v="500"/>
    <n v="4"/>
    <n v="2000"/>
    <n v="11.09"/>
    <x v="2"/>
    <x v="1"/>
  </r>
  <r>
    <s v="CUST0370"/>
    <n v="0"/>
    <s v="Oghene Bush"/>
    <x v="0"/>
    <n v="69"/>
    <x v="4"/>
    <x v="34"/>
    <x v="3"/>
    <x v="0"/>
    <x v="3"/>
    <x v="3"/>
    <x v="1"/>
    <n v="13"/>
    <x v="2"/>
    <n v="20000"/>
    <n v="16"/>
    <n v="320000"/>
    <n v="137.21"/>
    <x v="2"/>
    <x v="1"/>
  </r>
  <r>
    <s v="CUST0371"/>
    <n v="1"/>
    <s v="Grace Wilkerson"/>
    <x v="1"/>
    <n v="38"/>
    <x v="2"/>
    <x v="1"/>
    <x v="1"/>
    <x v="0"/>
    <x v="2"/>
    <x v="2"/>
    <x v="0"/>
    <n v="4"/>
    <x v="14"/>
    <n v="1000"/>
    <n v="18"/>
    <n v="18000"/>
    <n v="148.21"/>
    <x v="4"/>
    <x v="0"/>
  </r>
  <r>
    <s v="CUST0371"/>
    <n v="0"/>
    <s v="Grace Wilkerson"/>
    <x v="1"/>
    <n v="38"/>
    <x v="2"/>
    <x v="1"/>
    <x v="3"/>
    <x v="0"/>
    <x v="2"/>
    <x v="2"/>
    <x v="0"/>
    <n v="4"/>
    <x v="2"/>
    <n v="20000"/>
    <n v="1"/>
    <n v="20000"/>
    <n v="32.03"/>
    <x v="4"/>
    <x v="0"/>
  </r>
  <r>
    <s v="CUST0372"/>
    <n v="1"/>
    <s v="Grace Salas"/>
    <x v="2"/>
    <n v="30"/>
    <x v="2"/>
    <x v="23"/>
    <x v="0"/>
    <x v="0"/>
    <x v="3"/>
    <x v="3"/>
    <x v="2"/>
    <n v="47"/>
    <x v="6"/>
    <n v="9000"/>
    <n v="4"/>
    <n v="36000"/>
    <n v="46.4"/>
    <x v="2"/>
    <x v="1"/>
  </r>
  <r>
    <s v="CUST0372"/>
    <n v="0"/>
    <s v="Grace Salas"/>
    <x v="2"/>
    <n v="30"/>
    <x v="2"/>
    <x v="23"/>
    <x v="2"/>
    <x v="0"/>
    <x v="3"/>
    <x v="3"/>
    <x v="2"/>
    <n v="47"/>
    <x v="18"/>
    <n v="25000"/>
    <n v="8"/>
    <n v="200000"/>
    <n v="45.94"/>
    <x v="2"/>
    <x v="1"/>
  </r>
  <r>
    <s v="CUST0373"/>
    <n v="1"/>
    <s v="Ibim Adams"/>
    <x v="2"/>
    <n v="41"/>
    <x v="2"/>
    <x v="6"/>
    <x v="0"/>
    <x v="0"/>
    <x v="3"/>
    <x v="3"/>
    <x v="0"/>
    <n v="5"/>
    <x v="0"/>
    <n v="35000"/>
    <n v="12"/>
    <n v="420000"/>
    <n v="36.020000000000003"/>
    <x v="2"/>
    <x v="1"/>
  </r>
  <r>
    <s v="CUST0373"/>
    <n v="0"/>
    <s v="Ibim Adams"/>
    <x v="2"/>
    <n v="41"/>
    <x v="2"/>
    <x v="6"/>
    <x v="3"/>
    <x v="0"/>
    <x v="3"/>
    <x v="3"/>
    <x v="0"/>
    <n v="5"/>
    <x v="2"/>
    <n v="20000"/>
    <n v="7"/>
    <n v="140000"/>
    <n v="91.82"/>
    <x v="2"/>
    <x v="1"/>
  </r>
  <r>
    <s v="CUST0374"/>
    <n v="1"/>
    <s v="Oghene Oliver"/>
    <x v="0"/>
    <n v="50"/>
    <x v="3"/>
    <x v="18"/>
    <x v="1"/>
    <x v="1"/>
    <x v="3"/>
    <x v="3"/>
    <x v="3"/>
    <n v="9"/>
    <x v="1"/>
    <n v="5500"/>
    <n v="11"/>
    <n v="60500"/>
    <n v="83.94"/>
    <x v="6"/>
    <x v="0"/>
  </r>
  <r>
    <s v="CUST0375"/>
    <n v="1"/>
    <s v="Nura Oconnell"/>
    <x v="2"/>
    <n v="53"/>
    <x v="3"/>
    <x v="1"/>
    <x v="1"/>
    <x v="0"/>
    <x v="1"/>
    <x v="1"/>
    <x v="2"/>
    <n v="37"/>
    <x v="1"/>
    <n v="5500"/>
    <n v="14"/>
    <n v="77000"/>
    <n v="56.19"/>
    <x v="2"/>
    <x v="1"/>
  </r>
  <r>
    <s v="CUST0375"/>
    <n v="0"/>
    <s v="Nura Oconnell"/>
    <x v="2"/>
    <n v="53"/>
    <x v="3"/>
    <x v="1"/>
    <x v="3"/>
    <x v="0"/>
    <x v="1"/>
    <x v="1"/>
    <x v="2"/>
    <n v="37"/>
    <x v="2"/>
    <n v="20000"/>
    <n v="14"/>
    <n v="280000"/>
    <n v="49.94"/>
    <x v="2"/>
    <x v="1"/>
  </r>
  <r>
    <s v="CUST0375"/>
    <n v="0"/>
    <s v="Nura Oconnell"/>
    <x v="2"/>
    <n v="53"/>
    <x v="3"/>
    <x v="1"/>
    <x v="0"/>
    <x v="0"/>
    <x v="1"/>
    <x v="1"/>
    <x v="2"/>
    <n v="37"/>
    <x v="5"/>
    <n v="4500"/>
    <n v="19"/>
    <n v="85500"/>
    <n v="178.42"/>
    <x v="2"/>
    <x v="1"/>
  </r>
  <r>
    <s v="CUST0376"/>
    <n v="1"/>
    <s v="Obinna Miller"/>
    <x v="2"/>
    <n v="16"/>
    <x v="1"/>
    <x v="15"/>
    <x v="1"/>
    <x v="0"/>
    <x v="3"/>
    <x v="3"/>
    <x v="0"/>
    <n v="3"/>
    <x v="14"/>
    <n v="1000"/>
    <n v="8"/>
    <n v="8000"/>
    <n v="90.76"/>
    <x v="0"/>
    <x v="0"/>
  </r>
  <r>
    <s v="CUST0377"/>
    <n v="1"/>
    <s v="Chinedu Christian"/>
    <x v="1"/>
    <n v="17"/>
    <x v="1"/>
    <x v="15"/>
    <x v="1"/>
    <x v="0"/>
    <x v="2"/>
    <x v="2"/>
    <x v="3"/>
    <n v="9"/>
    <x v="3"/>
    <n v="500"/>
    <n v="15"/>
    <n v="7500"/>
    <n v="32.78"/>
    <x v="3"/>
    <x v="0"/>
  </r>
  <r>
    <s v="CUST0378"/>
    <n v="1"/>
    <s v="Funke Carlson"/>
    <x v="2"/>
    <n v="74"/>
    <x v="4"/>
    <x v="2"/>
    <x v="1"/>
    <x v="0"/>
    <x v="0"/>
    <x v="0"/>
    <x v="2"/>
    <n v="56"/>
    <x v="16"/>
    <n v="900"/>
    <n v="3"/>
    <n v="2700"/>
    <n v="172.15"/>
    <x v="2"/>
    <x v="1"/>
  </r>
  <r>
    <s v="CUST0378"/>
    <n v="0"/>
    <s v="Funke Carlson"/>
    <x v="2"/>
    <n v="74"/>
    <x v="4"/>
    <x v="2"/>
    <x v="2"/>
    <x v="0"/>
    <x v="0"/>
    <x v="0"/>
    <x v="2"/>
    <n v="56"/>
    <x v="17"/>
    <n v="75000"/>
    <n v="11"/>
    <n v="825000"/>
    <n v="178.74"/>
    <x v="2"/>
    <x v="1"/>
  </r>
  <r>
    <s v="CUST0379"/>
    <n v="1"/>
    <s v="Sarah Woods"/>
    <x v="1"/>
    <n v="20"/>
    <x v="0"/>
    <x v="14"/>
    <x v="3"/>
    <x v="1"/>
    <x v="3"/>
    <x v="3"/>
    <x v="2"/>
    <n v="49"/>
    <x v="10"/>
    <n v="24000"/>
    <n v="2"/>
    <n v="48000"/>
    <n v="176.23"/>
    <x v="2"/>
    <x v="1"/>
  </r>
  <r>
    <s v="CUST0380"/>
    <n v="1"/>
    <s v="Michael Jacobs"/>
    <x v="1"/>
    <n v="62"/>
    <x v="4"/>
    <x v="4"/>
    <x v="2"/>
    <x v="0"/>
    <x v="4"/>
    <x v="4"/>
    <x v="2"/>
    <n v="25"/>
    <x v="2"/>
    <n v="20000"/>
    <n v="7"/>
    <n v="140000"/>
    <n v="112.37"/>
    <x v="2"/>
    <x v="1"/>
  </r>
  <r>
    <s v="CUST0380"/>
    <n v="0"/>
    <s v="Michael Jacobs"/>
    <x v="1"/>
    <n v="62"/>
    <x v="4"/>
    <x v="4"/>
    <x v="3"/>
    <x v="0"/>
    <x v="4"/>
    <x v="4"/>
    <x v="2"/>
    <n v="25"/>
    <x v="2"/>
    <n v="20000"/>
    <n v="8"/>
    <n v="160000"/>
    <n v="196.26"/>
    <x v="2"/>
    <x v="1"/>
  </r>
  <r>
    <s v="CUST0381"/>
    <n v="1"/>
    <s v="David Murphy"/>
    <x v="2"/>
    <n v="30"/>
    <x v="2"/>
    <x v="31"/>
    <x v="1"/>
    <x v="0"/>
    <x v="2"/>
    <x v="2"/>
    <x v="2"/>
    <n v="49"/>
    <x v="16"/>
    <n v="900"/>
    <n v="12"/>
    <n v="10800"/>
    <n v="13.14"/>
    <x v="2"/>
    <x v="1"/>
  </r>
  <r>
    <s v="CUST0381"/>
    <n v="0"/>
    <s v="David Murphy"/>
    <x v="2"/>
    <n v="30"/>
    <x v="2"/>
    <x v="31"/>
    <x v="0"/>
    <x v="0"/>
    <x v="2"/>
    <x v="2"/>
    <x v="2"/>
    <n v="49"/>
    <x v="0"/>
    <n v="35000"/>
    <n v="17"/>
    <n v="595000"/>
    <n v="97.5"/>
    <x v="2"/>
    <x v="1"/>
  </r>
  <r>
    <s v="CUST0382"/>
    <n v="1"/>
    <s v="Ifeanyi Cooper"/>
    <x v="1"/>
    <n v="76"/>
    <x v="4"/>
    <x v="11"/>
    <x v="3"/>
    <x v="1"/>
    <x v="1"/>
    <x v="1"/>
    <x v="2"/>
    <n v="29"/>
    <x v="12"/>
    <n v="14500"/>
    <n v="10"/>
    <n v="145000"/>
    <n v="179.64"/>
    <x v="5"/>
    <x v="0"/>
  </r>
  <r>
    <s v="CUST0383"/>
    <n v="1"/>
    <s v="Kunle Manning"/>
    <x v="2"/>
    <n v="29"/>
    <x v="0"/>
    <x v="1"/>
    <x v="3"/>
    <x v="1"/>
    <x v="4"/>
    <x v="4"/>
    <x v="3"/>
    <n v="8"/>
    <x v="10"/>
    <n v="24000"/>
    <n v="16"/>
    <n v="384000"/>
    <n v="186.38"/>
    <x v="6"/>
    <x v="0"/>
  </r>
  <r>
    <s v="CUST0383"/>
    <n v="0"/>
    <s v="Kunle Manning"/>
    <x v="2"/>
    <n v="29"/>
    <x v="0"/>
    <x v="1"/>
    <x v="0"/>
    <x v="1"/>
    <x v="4"/>
    <x v="4"/>
    <x v="3"/>
    <n v="8"/>
    <x v="6"/>
    <n v="9000"/>
    <n v="1"/>
    <n v="9000"/>
    <n v="84.32"/>
    <x v="6"/>
    <x v="0"/>
  </r>
  <r>
    <s v="CUST0383"/>
    <n v="0"/>
    <s v="Kunle Manning"/>
    <x v="2"/>
    <n v="29"/>
    <x v="0"/>
    <x v="1"/>
    <x v="2"/>
    <x v="1"/>
    <x v="4"/>
    <x v="4"/>
    <x v="3"/>
    <n v="8"/>
    <x v="10"/>
    <n v="24000"/>
    <n v="1"/>
    <n v="24000"/>
    <n v="38.22"/>
    <x v="6"/>
    <x v="0"/>
  </r>
  <r>
    <s v="CUST0384"/>
    <n v="1"/>
    <s v="Nura Rodriguez"/>
    <x v="1"/>
    <n v="58"/>
    <x v="3"/>
    <x v="15"/>
    <x v="1"/>
    <x v="1"/>
    <x v="4"/>
    <x v="4"/>
    <x v="2"/>
    <n v="42"/>
    <x v="19"/>
    <n v="600"/>
    <n v="10"/>
    <n v="6000"/>
    <n v="179.71"/>
    <x v="2"/>
    <x v="1"/>
  </r>
  <r>
    <s v="CUST0384"/>
    <n v="0"/>
    <s v="Nura Rodriguez"/>
    <x v="1"/>
    <n v="58"/>
    <x v="3"/>
    <x v="15"/>
    <x v="0"/>
    <x v="1"/>
    <x v="4"/>
    <x v="4"/>
    <x v="2"/>
    <n v="42"/>
    <x v="5"/>
    <n v="4500"/>
    <n v="8"/>
    <n v="36000"/>
    <n v="157.96"/>
    <x v="2"/>
    <x v="1"/>
  </r>
  <r>
    <s v="CUST0384"/>
    <n v="0"/>
    <s v="Nura Rodriguez"/>
    <x v="1"/>
    <n v="58"/>
    <x v="3"/>
    <x v="15"/>
    <x v="2"/>
    <x v="1"/>
    <x v="4"/>
    <x v="4"/>
    <x v="2"/>
    <n v="42"/>
    <x v="8"/>
    <n v="150000"/>
    <n v="10"/>
    <n v="1500000"/>
    <n v="74.69"/>
    <x v="2"/>
    <x v="1"/>
  </r>
  <r>
    <s v="CUST0385"/>
    <n v="1"/>
    <s v="Sade George"/>
    <x v="2"/>
    <n v="34"/>
    <x v="2"/>
    <x v="25"/>
    <x v="2"/>
    <x v="1"/>
    <x v="3"/>
    <x v="3"/>
    <x v="2"/>
    <n v="30"/>
    <x v="11"/>
    <n v="30000"/>
    <n v="4"/>
    <n v="120000"/>
    <n v="32.67"/>
    <x v="2"/>
    <x v="1"/>
  </r>
  <r>
    <s v="CUST0385"/>
    <n v="0"/>
    <s v="Sade George"/>
    <x v="2"/>
    <n v="34"/>
    <x v="2"/>
    <x v="25"/>
    <x v="3"/>
    <x v="1"/>
    <x v="3"/>
    <x v="3"/>
    <x v="2"/>
    <n v="30"/>
    <x v="4"/>
    <n v="9000"/>
    <n v="19"/>
    <n v="171000"/>
    <n v="198.76"/>
    <x v="2"/>
    <x v="1"/>
  </r>
  <r>
    <s v="CUST0385"/>
    <n v="0"/>
    <s v="Sade George"/>
    <x v="2"/>
    <n v="34"/>
    <x v="2"/>
    <x v="25"/>
    <x v="1"/>
    <x v="1"/>
    <x v="3"/>
    <x v="3"/>
    <x v="2"/>
    <n v="30"/>
    <x v="19"/>
    <n v="600"/>
    <n v="12"/>
    <n v="7200"/>
    <n v="88.46"/>
    <x v="2"/>
    <x v="1"/>
  </r>
  <r>
    <s v="CUST0386"/>
    <n v="1"/>
    <s v="Shehu Torres"/>
    <x v="2"/>
    <n v="42"/>
    <x v="2"/>
    <x v="19"/>
    <x v="2"/>
    <x v="1"/>
    <x v="2"/>
    <x v="2"/>
    <x v="1"/>
    <n v="23"/>
    <x v="2"/>
    <n v="20000"/>
    <n v="13"/>
    <n v="260000"/>
    <n v="184.13"/>
    <x v="2"/>
    <x v="1"/>
  </r>
  <r>
    <s v="CUST0387"/>
    <n v="1"/>
    <s v="Grace Walsh"/>
    <x v="0"/>
    <n v="34"/>
    <x v="2"/>
    <x v="2"/>
    <x v="2"/>
    <x v="1"/>
    <x v="3"/>
    <x v="3"/>
    <x v="3"/>
    <n v="10"/>
    <x v="10"/>
    <n v="24000"/>
    <n v="19"/>
    <n v="456000"/>
    <n v="193.94"/>
    <x v="2"/>
    <x v="1"/>
  </r>
  <r>
    <s v="CUST0387"/>
    <n v="0"/>
    <s v="Grace Walsh"/>
    <x v="0"/>
    <n v="34"/>
    <x v="2"/>
    <x v="2"/>
    <x v="0"/>
    <x v="1"/>
    <x v="3"/>
    <x v="3"/>
    <x v="3"/>
    <n v="10"/>
    <x v="5"/>
    <n v="4500"/>
    <n v="15"/>
    <n v="67500"/>
    <n v="160.02000000000001"/>
    <x v="2"/>
    <x v="1"/>
  </r>
  <r>
    <s v="CUST0388"/>
    <n v="1"/>
    <s v="Tega Cervantes"/>
    <x v="0"/>
    <n v="30"/>
    <x v="2"/>
    <x v="31"/>
    <x v="1"/>
    <x v="0"/>
    <x v="2"/>
    <x v="2"/>
    <x v="3"/>
    <n v="9"/>
    <x v="7"/>
    <n v="3500"/>
    <n v="2"/>
    <n v="7000"/>
    <n v="18.95"/>
    <x v="0"/>
    <x v="0"/>
  </r>
  <r>
    <s v="CUST0389"/>
    <n v="1"/>
    <s v="Bala Dunn"/>
    <x v="0"/>
    <n v="44"/>
    <x v="2"/>
    <x v="29"/>
    <x v="3"/>
    <x v="0"/>
    <x v="3"/>
    <x v="3"/>
    <x v="0"/>
    <n v="2"/>
    <x v="2"/>
    <n v="20000"/>
    <n v="20"/>
    <n v="400000"/>
    <n v="98.35"/>
    <x v="2"/>
    <x v="1"/>
  </r>
  <r>
    <s v="CUST0389"/>
    <n v="0"/>
    <s v="Bala Dunn"/>
    <x v="0"/>
    <n v="44"/>
    <x v="2"/>
    <x v="29"/>
    <x v="2"/>
    <x v="0"/>
    <x v="3"/>
    <x v="3"/>
    <x v="0"/>
    <n v="2"/>
    <x v="4"/>
    <n v="9000"/>
    <n v="12"/>
    <n v="108000"/>
    <n v="181.74"/>
    <x v="2"/>
    <x v="1"/>
  </r>
  <r>
    <s v="CUST0389"/>
    <n v="0"/>
    <s v="Bala Dunn"/>
    <x v="0"/>
    <n v="44"/>
    <x v="2"/>
    <x v="29"/>
    <x v="0"/>
    <x v="0"/>
    <x v="3"/>
    <x v="3"/>
    <x v="0"/>
    <n v="2"/>
    <x v="0"/>
    <n v="35000"/>
    <n v="14"/>
    <n v="490000"/>
    <n v="30.02"/>
    <x v="2"/>
    <x v="1"/>
  </r>
  <r>
    <s v="CUST0390"/>
    <n v="1"/>
    <s v="Ejiro Gonzalez"/>
    <x v="1"/>
    <n v="65"/>
    <x v="4"/>
    <x v="3"/>
    <x v="3"/>
    <x v="0"/>
    <x v="2"/>
    <x v="2"/>
    <x v="1"/>
    <n v="19"/>
    <x v="12"/>
    <n v="14500"/>
    <n v="14"/>
    <n v="203000"/>
    <n v="148.43"/>
    <x v="2"/>
    <x v="1"/>
  </r>
  <r>
    <s v="CUST0390"/>
    <n v="0"/>
    <s v="Ejiro Gonzalez"/>
    <x v="1"/>
    <n v="65"/>
    <x v="4"/>
    <x v="3"/>
    <x v="1"/>
    <x v="0"/>
    <x v="2"/>
    <x v="2"/>
    <x v="1"/>
    <n v="19"/>
    <x v="1"/>
    <n v="5500"/>
    <n v="14"/>
    <n v="77000"/>
    <n v="58.08"/>
    <x v="2"/>
    <x v="1"/>
  </r>
  <r>
    <s v="CUST0391"/>
    <n v="1"/>
    <s v="Ibim Schwartz"/>
    <x v="1"/>
    <n v="33"/>
    <x v="2"/>
    <x v="33"/>
    <x v="2"/>
    <x v="0"/>
    <x v="4"/>
    <x v="4"/>
    <x v="1"/>
    <n v="14"/>
    <x v="2"/>
    <n v="20000"/>
    <n v="9"/>
    <n v="180000"/>
    <n v="1.82"/>
    <x v="2"/>
    <x v="1"/>
  </r>
  <r>
    <s v="CUST0391"/>
    <n v="0"/>
    <s v="Ibim Schwartz"/>
    <x v="1"/>
    <n v="33"/>
    <x v="2"/>
    <x v="33"/>
    <x v="3"/>
    <x v="0"/>
    <x v="4"/>
    <x v="4"/>
    <x v="1"/>
    <n v="14"/>
    <x v="12"/>
    <n v="14500"/>
    <n v="15"/>
    <n v="217500"/>
    <n v="35.39"/>
    <x v="2"/>
    <x v="1"/>
  </r>
  <r>
    <s v="CUST0391"/>
    <n v="0"/>
    <s v="Ibim Schwartz"/>
    <x v="1"/>
    <n v="33"/>
    <x v="2"/>
    <x v="33"/>
    <x v="0"/>
    <x v="0"/>
    <x v="4"/>
    <x v="4"/>
    <x v="1"/>
    <n v="14"/>
    <x v="5"/>
    <n v="4500"/>
    <n v="13"/>
    <n v="58500"/>
    <n v="40.25"/>
    <x v="2"/>
    <x v="1"/>
  </r>
  <r>
    <s v="CUST0392"/>
    <n v="1"/>
    <s v="Abubakar Hayes"/>
    <x v="1"/>
    <n v="78"/>
    <x v="4"/>
    <x v="19"/>
    <x v="0"/>
    <x v="1"/>
    <x v="4"/>
    <x v="4"/>
    <x v="2"/>
    <n v="54"/>
    <x v="9"/>
    <n v="16000"/>
    <n v="10"/>
    <n v="160000"/>
    <n v="31.23"/>
    <x v="2"/>
    <x v="1"/>
  </r>
  <r>
    <s v="CUST0392"/>
    <n v="0"/>
    <s v="Abubakar Hayes"/>
    <x v="1"/>
    <n v="78"/>
    <x v="4"/>
    <x v="19"/>
    <x v="3"/>
    <x v="1"/>
    <x v="4"/>
    <x v="4"/>
    <x v="2"/>
    <n v="54"/>
    <x v="12"/>
    <n v="14500"/>
    <n v="10"/>
    <n v="145000"/>
    <n v="25.27"/>
    <x v="2"/>
    <x v="1"/>
  </r>
  <r>
    <s v="CUST0393"/>
    <n v="1"/>
    <s v="Ibim Ballard"/>
    <x v="0"/>
    <n v="38"/>
    <x v="2"/>
    <x v="12"/>
    <x v="2"/>
    <x v="0"/>
    <x v="2"/>
    <x v="2"/>
    <x v="0"/>
    <n v="2"/>
    <x v="8"/>
    <n v="150000"/>
    <n v="9"/>
    <n v="1350000"/>
    <n v="113.33"/>
    <x v="2"/>
    <x v="1"/>
  </r>
  <r>
    <s v="CUST0394"/>
    <n v="1"/>
    <s v="John Nielsen"/>
    <x v="1"/>
    <n v="31"/>
    <x v="2"/>
    <x v="3"/>
    <x v="2"/>
    <x v="0"/>
    <x v="0"/>
    <x v="0"/>
    <x v="2"/>
    <n v="55"/>
    <x v="8"/>
    <n v="150000"/>
    <n v="5"/>
    <n v="750000"/>
    <n v="175.72"/>
    <x v="2"/>
    <x v="1"/>
  </r>
  <r>
    <s v="CUST0395"/>
    <n v="1"/>
    <s v="Oghene Pacheco"/>
    <x v="2"/>
    <n v="36"/>
    <x v="2"/>
    <x v="4"/>
    <x v="3"/>
    <x v="1"/>
    <x v="2"/>
    <x v="2"/>
    <x v="1"/>
    <n v="24"/>
    <x v="2"/>
    <n v="20000"/>
    <n v="20"/>
    <n v="400000"/>
    <n v="153.06"/>
    <x v="4"/>
    <x v="0"/>
  </r>
  <r>
    <s v="CUST0395"/>
    <n v="0"/>
    <s v="Oghene Pacheco"/>
    <x v="2"/>
    <n v="36"/>
    <x v="2"/>
    <x v="4"/>
    <x v="2"/>
    <x v="1"/>
    <x v="2"/>
    <x v="2"/>
    <x v="1"/>
    <n v="24"/>
    <x v="11"/>
    <n v="30000"/>
    <n v="11"/>
    <n v="330000"/>
    <n v="108.97"/>
    <x v="4"/>
    <x v="0"/>
  </r>
  <r>
    <s v="CUST0395"/>
    <n v="0"/>
    <s v="Oghene Pacheco"/>
    <x v="2"/>
    <n v="36"/>
    <x v="2"/>
    <x v="4"/>
    <x v="1"/>
    <x v="1"/>
    <x v="2"/>
    <x v="2"/>
    <x v="1"/>
    <n v="24"/>
    <x v="3"/>
    <n v="500"/>
    <n v="12"/>
    <n v="6000"/>
    <n v="54.66"/>
    <x v="4"/>
    <x v="0"/>
  </r>
  <r>
    <s v="CUST0396"/>
    <n v="1"/>
    <s v="Ngozi Johnson"/>
    <x v="1"/>
    <n v="61"/>
    <x v="4"/>
    <x v="5"/>
    <x v="2"/>
    <x v="0"/>
    <x v="2"/>
    <x v="2"/>
    <x v="3"/>
    <n v="9"/>
    <x v="2"/>
    <n v="20000"/>
    <n v="17"/>
    <n v="340000"/>
    <n v="43.97"/>
    <x v="2"/>
    <x v="1"/>
  </r>
  <r>
    <s v="CUST0396"/>
    <n v="0"/>
    <s v="Ngozi Johnson"/>
    <x v="1"/>
    <n v="61"/>
    <x v="4"/>
    <x v="5"/>
    <x v="3"/>
    <x v="0"/>
    <x v="2"/>
    <x v="2"/>
    <x v="3"/>
    <n v="9"/>
    <x v="2"/>
    <n v="20000"/>
    <n v="18"/>
    <n v="360000"/>
    <n v="166.4"/>
    <x v="2"/>
    <x v="1"/>
  </r>
  <r>
    <s v="CUST0397"/>
    <n v="1"/>
    <s v="Sarah Perry"/>
    <x v="0"/>
    <n v="30"/>
    <x v="2"/>
    <x v="15"/>
    <x v="1"/>
    <x v="1"/>
    <x v="1"/>
    <x v="1"/>
    <x v="2"/>
    <n v="59"/>
    <x v="7"/>
    <n v="3500"/>
    <n v="12"/>
    <n v="42000"/>
    <n v="62.66"/>
    <x v="2"/>
    <x v="1"/>
  </r>
  <r>
    <s v="CUST0398"/>
    <n v="1"/>
    <s v="Amaka Shannon"/>
    <x v="1"/>
    <n v="72"/>
    <x v="4"/>
    <x v="8"/>
    <x v="0"/>
    <x v="1"/>
    <x v="1"/>
    <x v="1"/>
    <x v="3"/>
    <n v="12"/>
    <x v="5"/>
    <n v="4500"/>
    <n v="5"/>
    <n v="22500"/>
    <n v="171.43"/>
    <x v="2"/>
    <x v="1"/>
  </r>
  <r>
    <s v="CUST0399"/>
    <n v="1"/>
    <s v="Nura Delgado"/>
    <x v="0"/>
    <n v="55"/>
    <x v="3"/>
    <x v="21"/>
    <x v="3"/>
    <x v="0"/>
    <x v="4"/>
    <x v="4"/>
    <x v="3"/>
    <n v="9"/>
    <x v="4"/>
    <n v="9000"/>
    <n v="14"/>
    <n v="126000"/>
    <n v="155.05000000000001"/>
    <x v="2"/>
    <x v="1"/>
  </r>
  <r>
    <s v="CUST0400"/>
    <n v="1"/>
    <s v="Bola Vincent"/>
    <x v="0"/>
    <n v="41"/>
    <x v="2"/>
    <x v="13"/>
    <x v="3"/>
    <x v="0"/>
    <x v="4"/>
    <x v="4"/>
    <x v="2"/>
    <n v="51"/>
    <x v="11"/>
    <n v="30000"/>
    <n v="4"/>
    <n v="120000"/>
    <n v="133.68"/>
    <x v="4"/>
    <x v="0"/>
  </r>
  <r>
    <s v="CUST0401"/>
    <n v="1"/>
    <s v="Ifeanyi Adkins"/>
    <x v="1"/>
    <n v="42"/>
    <x v="2"/>
    <x v="18"/>
    <x v="2"/>
    <x v="0"/>
    <x v="1"/>
    <x v="1"/>
    <x v="2"/>
    <n v="43"/>
    <x v="18"/>
    <n v="25000"/>
    <n v="17"/>
    <n v="425000"/>
    <n v="32.53"/>
    <x v="1"/>
    <x v="0"/>
  </r>
  <r>
    <s v="CUST0401"/>
    <n v="0"/>
    <s v="Ifeanyi Adkins"/>
    <x v="1"/>
    <n v="42"/>
    <x v="2"/>
    <x v="18"/>
    <x v="1"/>
    <x v="0"/>
    <x v="1"/>
    <x v="1"/>
    <x v="2"/>
    <n v="43"/>
    <x v="13"/>
    <n v="350"/>
    <n v="3"/>
    <n v="1050"/>
    <n v="101.23"/>
    <x v="1"/>
    <x v="0"/>
  </r>
  <r>
    <s v="CUST0401"/>
    <n v="0"/>
    <s v="Ifeanyi Adkins"/>
    <x v="1"/>
    <n v="42"/>
    <x v="2"/>
    <x v="18"/>
    <x v="0"/>
    <x v="0"/>
    <x v="1"/>
    <x v="1"/>
    <x v="2"/>
    <n v="43"/>
    <x v="9"/>
    <n v="16000"/>
    <n v="1"/>
    <n v="16000"/>
    <n v="164.01"/>
    <x v="1"/>
    <x v="0"/>
  </r>
  <r>
    <s v="CUST0402"/>
    <n v="1"/>
    <s v="Sarah Oconnor"/>
    <x v="0"/>
    <n v="43"/>
    <x v="2"/>
    <x v="18"/>
    <x v="1"/>
    <x v="1"/>
    <x v="1"/>
    <x v="1"/>
    <x v="3"/>
    <n v="11"/>
    <x v="1"/>
    <n v="5500"/>
    <n v="4"/>
    <n v="22000"/>
    <n v="134.87"/>
    <x v="2"/>
    <x v="1"/>
  </r>
  <r>
    <s v="CUST0402"/>
    <n v="0"/>
    <s v="Sarah Oconnor"/>
    <x v="0"/>
    <n v="43"/>
    <x v="2"/>
    <x v="18"/>
    <x v="0"/>
    <x v="1"/>
    <x v="1"/>
    <x v="1"/>
    <x v="3"/>
    <n v="11"/>
    <x v="5"/>
    <n v="4500"/>
    <n v="13"/>
    <n v="58500"/>
    <n v="167.03"/>
    <x v="2"/>
    <x v="1"/>
  </r>
  <r>
    <s v="CUST0402"/>
    <n v="0"/>
    <s v="Sarah Oconnor"/>
    <x v="0"/>
    <n v="43"/>
    <x v="2"/>
    <x v="18"/>
    <x v="3"/>
    <x v="1"/>
    <x v="1"/>
    <x v="1"/>
    <x v="3"/>
    <n v="11"/>
    <x v="12"/>
    <n v="14500"/>
    <n v="8"/>
    <n v="116000"/>
    <n v="43.25"/>
    <x v="2"/>
    <x v="1"/>
  </r>
  <r>
    <s v="CUST0403"/>
    <n v="1"/>
    <s v="Ibim Soto"/>
    <x v="0"/>
    <n v="30"/>
    <x v="2"/>
    <x v="32"/>
    <x v="2"/>
    <x v="0"/>
    <x v="3"/>
    <x v="3"/>
    <x v="2"/>
    <n v="30"/>
    <x v="4"/>
    <n v="9000"/>
    <n v="16"/>
    <n v="144000"/>
    <n v="16.91"/>
    <x v="1"/>
    <x v="0"/>
  </r>
  <r>
    <s v="CUST0403"/>
    <n v="0"/>
    <s v="Ibim Soto"/>
    <x v="0"/>
    <n v="30"/>
    <x v="2"/>
    <x v="32"/>
    <x v="1"/>
    <x v="0"/>
    <x v="3"/>
    <x v="3"/>
    <x v="2"/>
    <n v="30"/>
    <x v="14"/>
    <n v="1000"/>
    <n v="15"/>
    <n v="15000"/>
    <n v="77.260000000000005"/>
    <x v="1"/>
    <x v="0"/>
  </r>
  <r>
    <s v="CUST0404"/>
    <n v="1"/>
    <s v="Maryam Buck"/>
    <x v="2"/>
    <n v="72"/>
    <x v="4"/>
    <x v="16"/>
    <x v="2"/>
    <x v="1"/>
    <x v="0"/>
    <x v="0"/>
    <x v="1"/>
    <n v="19"/>
    <x v="4"/>
    <n v="9000"/>
    <n v="16"/>
    <n v="144000"/>
    <n v="199.75"/>
    <x v="2"/>
    <x v="1"/>
  </r>
  <r>
    <s v="CUST0404"/>
    <n v="0"/>
    <s v="Maryam Buck"/>
    <x v="2"/>
    <n v="72"/>
    <x v="4"/>
    <x v="16"/>
    <x v="3"/>
    <x v="1"/>
    <x v="0"/>
    <x v="0"/>
    <x v="1"/>
    <n v="19"/>
    <x v="4"/>
    <n v="9000"/>
    <n v="17"/>
    <n v="153000"/>
    <n v="79.58"/>
    <x v="2"/>
    <x v="1"/>
  </r>
  <r>
    <s v="CUST0405"/>
    <n v="1"/>
    <s v="Chinedu Brown"/>
    <x v="0"/>
    <n v="31"/>
    <x v="2"/>
    <x v="5"/>
    <x v="0"/>
    <x v="1"/>
    <x v="0"/>
    <x v="0"/>
    <x v="2"/>
    <n v="26"/>
    <x v="0"/>
    <n v="35000"/>
    <n v="14"/>
    <n v="490000"/>
    <n v="24.99"/>
    <x v="6"/>
    <x v="0"/>
  </r>
  <r>
    <s v="CUST0405"/>
    <n v="0"/>
    <s v="Chinedu Brown"/>
    <x v="0"/>
    <n v="31"/>
    <x v="2"/>
    <x v="5"/>
    <x v="2"/>
    <x v="1"/>
    <x v="0"/>
    <x v="0"/>
    <x v="2"/>
    <n v="26"/>
    <x v="8"/>
    <n v="150000"/>
    <n v="19"/>
    <n v="2850000"/>
    <n v="56.06"/>
    <x v="6"/>
    <x v="0"/>
  </r>
  <r>
    <s v="CUST0406"/>
    <n v="1"/>
    <s v="Zainab Soto"/>
    <x v="2"/>
    <n v="67"/>
    <x v="4"/>
    <x v="25"/>
    <x v="1"/>
    <x v="1"/>
    <x v="4"/>
    <x v="4"/>
    <x v="2"/>
    <n v="43"/>
    <x v="14"/>
    <n v="1000"/>
    <n v="16"/>
    <n v="16000"/>
    <n v="24.88"/>
    <x v="2"/>
    <x v="1"/>
  </r>
  <r>
    <s v="CUST0407"/>
    <n v="1"/>
    <s v="Grace Thompson"/>
    <x v="0"/>
    <n v="45"/>
    <x v="3"/>
    <x v="21"/>
    <x v="0"/>
    <x v="0"/>
    <x v="1"/>
    <x v="1"/>
    <x v="3"/>
    <n v="7"/>
    <x v="0"/>
    <n v="35000"/>
    <n v="11"/>
    <n v="385000"/>
    <n v="121.11"/>
    <x v="2"/>
    <x v="1"/>
  </r>
  <r>
    <s v="CUST0408"/>
    <n v="1"/>
    <s v="Obinna Daniels"/>
    <x v="2"/>
    <n v="54"/>
    <x v="3"/>
    <x v="13"/>
    <x v="1"/>
    <x v="0"/>
    <x v="4"/>
    <x v="4"/>
    <x v="2"/>
    <n v="43"/>
    <x v="3"/>
    <n v="500"/>
    <n v="18"/>
    <n v="9000"/>
    <n v="108.72"/>
    <x v="7"/>
    <x v="0"/>
  </r>
  <r>
    <s v="CUST0408"/>
    <n v="0"/>
    <s v="Obinna Daniels"/>
    <x v="2"/>
    <n v="54"/>
    <x v="3"/>
    <x v="13"/>
    <x v="2"/>
    <x v="0"/>
    <x v="4"/>
    <x v="4"/>
    <x v="2"/>
    <n v="43"/>
    <x v="4"/>
    <n v="9000"/>
    <n v="2"/>
    <n v="18000"/>
    <n v="190.54"/>
    <x v="7"/>
    <x v="0"/>
  </r>
  <r>
    <s v="CUST0409"/>
    <n v="1"/>
    <s v="Boma Burns"/>
    <x v="2"/>
    <n v="31"/>
    <x v="2"/>
    <x v="6"/>
    <x v="0"/>
    <x v="1"/>
    <x v="4"/>
    <x v="4"/>
    <x v="1"/>
    <n v="21"/>
    <x v="6"/>
    <n v="9000"/>
    <n v="6"/>
    <n v="54000"/>
    <n v="177"/>
    <x v="2"/>
    <x v="1"/>
  </r>
  <r>
    <s v="CUST0410"/>
    <n v="1"/>
    <s v="Grace Snyder"/>
    <x v="2"/>
    <n v="71"/>
    <x v="4"/>
    <x v="21"/>
    <x v="1"/>
    <x v="1"/>
    <x v="4"/>
    <x v="4"/>
    <x v="2"/>
    <n v="46"/>
    <x v="1"/>
    <n v="5500"/>
    <n v="6"/>
    <n v="33000"/>
    <n v="112.67"/>
    <x v="2"/>
    <x v="1"/>
  </r>
  <r>
    <s v="CUST0410"/>
    <n v="0"/>
    <s v="Grace Snyder"/>
    <x v="2"/>
    <n v="71"/>
    <x v="4"/>
    <x v="21"/>
    <x v="2"/>
    <x v="1"/>
    <x v="4"/>
    <x v="4"/>
    <x v="2"/>
    <n v="46"/>
    <x v="4"/>
    <n v="9000"/>
    <n v="16"/>
    <n v="144000"/>
    <n v="78.58"/>
    <x v="2"/>
    <x v="1"/>
  </r>
  <r>
    <s v="CUST0410"/>
    <n v="0"/>
    <s v="Grace Snyder"/>
    <x v="2"/>
    <n v="71"/>
    <x v="4"/>
    <x v="21"/>
    <x v="0"/>
    <x v="1"/>
    <x v="4"/>
    <x v="4"/>
    <x v="2"/>
    <n v="46"/>
    <x v="0"/>
    <n v="35000"/>
    <n v="12"/>
    <n v="420000"/>
    <n v="123.58"/>
    <x v="2"/>
    <x v="1"/>
  </r>
  <r>
    <s v="CUST0411"/>
    <n v="1"/>
    <s v="Abubakar Lane"/>
    <x v="0"/>
    <n v="57"/>
    <x v="3"/>
    <x v="4"/>
    <x v="3"/>
    <x v="0"/>
    <x v="0"/>
    <x v="0"/>
    <x v="2"/>
    <n v="38"/>
    <x v="11"/>
    <n v="30000"/>
    <n v="14"/>
    <n v="420000"/>
    <n v="76.42"/>
    <x v="2"/>
    <x v="1"/>
  </r>
  <r>
    <s v="CUST0411"/>
    <n v="0"/>
    <s v="Abubakar Lane"/>
    <x v="0"/>
    <n v="57"/>
    <x v="3"/>
    <x v="4"/>
    <x v="2"/>
    <x v="0"/>
    <x v="0"/>
    <x v="0"/>
    <x v="2"/>
    <n v="38"/>
    <x v="18"/>
    <n v="25000"/>
    <n v="14"/>
    <n v="350000"/>
    <n v="198.39"/>
    <x v="2"/>
    <x v="1"/>
  </r>
  <r>
    <s v="CUST0412"/>
    <n v="1"/>
    <s v="Oghene Bartlett"/>
    <x v="1"/>
    <n v="23"/>
    <x v="0"/>
    <x v="7"/>
    <x v="2"/>
    <x v="0"/>
    <x v="3"/>
    <x v="3"/>
    <x v="1"/>
    <n v="16"/>
    <x v="2"/>
    <n v="20000"/>
    <n v="1"/>
    <n v="20000"/>
    <n v="67.849999999999994"/>
    <x v="7"/>
    <x v="0"/>
  </r>
  <r>
    <s v="CUST0413"/>
    <n v="1"/>
    <s v="David Giles"/>
    <x v="2"/>
    <n v="57"/>
    <x v="3"/>
    <x v="19"/>
    <x v="2"/>
    <x v="1"/>
    <x v="3"/>
    <x v="3"/>
    <x v="2"/>
    <n v="43"/>
    <x v="8"/>
    <n v="150000"/>
    <n v="11"/>
    <n v="1650000"/>
    <n v="117.8"/>
    <x v="2"/>
    <x v="1"/>
  </r>
  <r>
    <s v="CUST0413"/>
    <n v="0"/>
    <s v="David Giles"/>
    <x v="2"/>
    <n v="57"/>
    <x v="3"/>
    <x v="19"/>
    <x v="3"/>
    <x v="1"/>
    <x v="3"/>
    <x v="3"/>
    <x v="2"/>
    <n v="43"/>
    <x v="12"/>
    <n v="14500"/>
    <n v="11"/>
    <n v="159500"/>
    <n v="114.29"/>
    <x v="2"/>
    <x v="1"/>
  </r>
  <r>
    <s v="CUST0414"/>
    <n v="1"/>
    <s v="Ngozi Williams"/>
    <x v="2"/>
    <n v="78"/>
    <x v="4"/>
    <x v="13"/>
    <x v="2"/>
    <x v="0"/>
    <x v="3"/>
    <x v="3"/>
    <x v="1"/>
    <n v="22"/>
    <x v="18"/>
    <n v="25000"/>
    <n v="7"/>
    <n v="175000"/>
    <n v="193.9"/>
    <x v="2"/>
    <x v="1"/>
  </r>
  <r>
    <s v="CUST0414"/>
    <n v="0"/>
    <s v="Ngozi Williams"/>
    <x v="2"/>
    <n v="78"/>
    <x v="4"/>
    <x v="13"/>
    <x v="3"/>
    <x v="0"/>
    <x v="3"/>
    <x v="3"/>
    <x v="1"/>
    <n v="22"/>
    <x v="12"/>
    <n v="14500"/>
    <n v="3"/>
    <n v="43500"/>
    <n v="127.27"/>
    <x v="2"/>
    <x v="1"/>
  </r>
  <r>
    <s v="CUST0414"/>
    <n v="0"/>
    <s v="Ngozi Williams"/>
    <x v="2"/>
    <n v="78"/>
    <x v="4"/>
    <x v="13"/>
    <x v="0"/>
    <x v="0"/>
    <x v="3"/>
    <x v="3"/>
    <x v="1"/>
    <n v="22"/>
    <x v="5"/>
    <n v="4500"/>
    <n v="2"/>
    <n v="9000"/>
    <n v="57.83"/>
    <x v="2"/>
    <x v="1"/>
  </r>
  <r>
    <s v="CUST0415"/>
    <n v="1"/>
    <s v="Maryam Anthony"/>
    <x v="0"/>
    <n v="67"/>
    <x v="4"/>
    <x v="16"/>
    <x v="1"/>
    <x v="0"/>
    <x v="3"/>
    <x v="3"/>
    <x v="2"/>
    <n v="46"/>
    <x v="15"/>
    <n v="7500"/>
    <n v="3"/>
    <n v="22500"/>
    <n v="42.34"/>
    <x v="2"/>
    <x v="1"/>
  </r>
  <r>
    <s v="CUST0416"/>
    <n v="1"/>
    <s v="Maryam Blankenship"/>
    <x v="1"/>
    <n v="80"/>
    <x v="4"/>
    <x v="24"/>
    <x v="1"/>
    <x v="1"/>
    <x v="0"/>
    <x v="0"/>
    <x v="2"/>
    <n v="43"/>
    <x v="20"/>
    <n v="6500"/>
    <n v="1"/>
    <n v="6500"/>
    <n v="36.53"/>
    <x v="2"/>
    <x v="1"/>
  </r>
  <r>
    <s v="CUST0416"/>
    <n v="0"/>
    <s v="Maryam Blankenship"/>
    <x v="1"/>
    <n v="80"/>
    <x v="4"/>
    <x v="24"/>
    <x v="2"/>
    <x v="1"/>
    <x v="0"/>
    <x v="0"/>
    <x v="2"/>
    <n v="43"/>
    <x v="11"/>
    <n v="30000"/>
    <n v="7"/>
    <n v="210000"/>
    <n v="115.58"/>
    <x v="2"/>
    <x v="1"/>
  </r>
  <r>
    <s v="CUST0417"/>
    <n v="1"/>
    <s v="Zina Hernandez"/>
    <x v="0"/>
    <n v="50"/>
    <x v="3"/>
    <x v="11"/>
    <x v="0"/>
    <x v="1"/>
    <x v="3"/>
    <x v="3"/>
    <x v="2"/>
    <n v="60"/>
    <x v="5"/>
    <n v="4500"/>
    <n v="10"/>
    <n v="45000"/>
    <n v="149.41"/>
    <x v="5"/>
    <x v="0"/>
  </r>
  <r>
    <s v="CUST0418"/>
    <n v="1"/>
    <s v="Boma Johnson"/>
    <x v="2"/>
    <n v="68"/>
    <x v="4"/>
    <x v="32"/>
    <x v="0"/>
    <x v="0"/>
    <x v="4"/>
    <x v="4"/>
    <x v="2"/>
    <n v="41"/>
    <x v="0"/>
    <n v="35000"/>
    <n v="5"/>
    <n v="175000"/>
    <n v="48.08"/>
    <x v="4"/>
    <x v="0"/>
  </r>
  <r>
    <s v="CUST0418"/>
    <n v="0"/>
    <s v="Boma Johnson"/>
    <x v="2"/>
    <n v="68"/>
    <x v="4"/>
    <x v="32"/>
    <x v="1"/>
    <x v="0"/>
    <x v="4"/>
    <x v="4"/>
    <x v="2"/>
    <n v="41"/>
    <x v="13"/>
    <n v="350"/>
    <n v="10"/>
    <n v="3500"/>
    <n v="6.03"/>
    <x v="4"/>
    <x v="0"/>
  </r>
  <r>
    <s v="CUST0418"/>
    <n v="0"/>
    <s v="Boma Johnson"/>
    <x v="2"/>
    <n v="68"/>
    <x v="4"/>
    <x v="32"/>
    <x v="3"/>
    <x v="0"/>
    <x v="4"/>
    <x v="4"/>
    <x v="2"/>
    <n v="41"/>
    <x v="12"/>
    <n v="14500"/>
    <n v="14"/>
    <n v="203000"/>
    <n v="97.33"/>
    <x v="4"/>
    <x v="0"/>
  </r>
  <r>
    <s v="CUST0419"/>
    <n v="1"/>
    <s v="Boma Sanchez"/>
    <x v="2"/>
    <n v="20"/>
    <x v="0"/>
    <x v="18"/>
    <x v="0"/>
    <x v="0"/>
    <x v="1"/>
    <x v="1"/>
    <x v="1"/>
    <n v="18"/>
    <x v="9"/>
    <n v="16000"/>
    <n v="16"/>
    <n v="256000"/>
    <n v="192.78"/>
    <x v="1"/>
    <x v="0"/>
  </r>
  <r>
    <s v="CUST0419"/>
    <n v="0"/>
    <s v="Boma Sanchez"/>
    <x v="2"/>
    <n v="20"/>
    <x v="0"/>
    <x v="18"/>
    <x v="2"/>
    <x v="0"/>
    <x v="1"/>
    <x v="1"/>
    <x v="1"/>
    <n v="18"/>
    <x v="4"/>
    <n v="9000"/>
    <n v="3"/>
    <n v="27000"/>
    <n v="11.54"/>
    <x v="1"/>
    <x v="0"/>
  </r>
  <r>
    <s v="CUST0420"/>
    <n v="1"/>
    <s v="Ese Miller"/>
    <x v="1"/>
    <n v="54"/>
    <x v="3"/>
    <x v="23"/>
    <x v="0"/>
    <x v="1"/>
    <x v="1"/>
    <x v="1"/>
    <x v="2"/>
    <n v="58"/>
    <x v="9"/>
    <n v="16000"/>
    <n v="19"/>
    <n v="304000"/>
    <n v="104.63"/>
    <x v="2"/>
    <x v="1"/>
  </r>
  <r>
    <s v="CUST0420"/>
    <n v="0"/>
    <s v="Ese Miller"/>
    <x v="1"/>
    <n v="54"/>
    <x v="3"/>
    <x v="23"/>
    <x v="3"/>
    <x v="1"/>
    <x v="1"/>
    <x v="1"/>
    <x v="2"/>
    <n v="58"/>
    <x v="10"/>
    <n v="24000"/>
    <n v="3"/>
    <n v="72000"/>
    <n v="50.74"/>
    <x v="2"/>
    <x v="1"/>
  </r>
  <r>
    <s v="CUST0420"/>
    <n v="0"/>
    <s v="Ese Miller"/>
    <x v="1"/>
    <n v="54"/>
    <x v="3"/>
    <x v="23"/>
    <x v="2"/>
    <x v="1"/>
    <x v="1"/>
    <x v="1"/>
    <x v="2"/>
    <n v="58"/>
    <x v="12"/>
    <n v="14500"/>
    <n v="11"/>
    <n v="159500"/>
    <n v="120.16"/>
    <x v="2"/>
    <x v="1"/>
  </r>
  <r>
    <s v="CUST0421"/>
    <n v="1"/>
    <s v="Tega Stokes"/>
    <x v="2"/>
    <n v="65"/>
    <x v="4"/>
    <x v="7"/>
    <x v="1"/>
    <x v="1"/>
    <x v="1"/>
    <x v="1"/>
    <x v="1"/>
    <n v="14"/>
    <x v="16"/>
    <n v="900"/>
    <n v="12"/>
    <n v="10800"/>
    <n v="98.33"/>
    <x v="4"/>
    <x v="0"/>
  </r>
  <r>
    <s v="CUST0421"/>
    <n v="0"/>
    <s v="Tega Stokes"/>
    <x v="2"/>
    <n v="65"/>
    <x v="4"/>
    <x v="7"/>
    <x v="0"/>
    <x v="1"/>
    <x v="1"/>
    <x v="1"/>
    <x v="1"/>
    <n v="14"/>
    <x v="9"/>
    <n v="16000"/>
    <n v="14"/>
    <n v="224000"/>
    <n v="63.64"/>
    <x v="4"/>
    <x v="0"/>
  </r>
  <r>
    <s v="CUST0422"/>
    <n v="1"/>
    <s v="John Smith"/>
    <x v="2"/>
    <n v="47"/>
    <x v="3"/>
    <x v="29"/>
    <x v="3"/>
    <x v="0"/>
    <x v="2"/>
    <x v="2"/>
    <x v="1"/>
    <n v="24"/>
    <x v="4"/>
    <n v="9000"/>
    <n v="8"/>
    <n v="72000"/>
    <n v="138.29"/>
    <x v="2"/>
    <x v="1"/>
  </r>
  <r>
    <s v="CUST0423"/>
    <n v="1"/>
    <s v="Saidu Smith"/>
    <x v="0"/>
    <n v="65"/>
    <x v="4"/>
    <x v="24"/>
    <x v="1"/>
    <x v="1"/>
    <x v="3"/>
    <x v="3"/>
    <x v="2"/>
    <n v="58"/>
    <x v="15"/>
    <n v="7500"/>
    <n v="9"/>
    <n v="67500"/>
    <n v="185.54"/>
    <x v="2"/>
    <x v="1"/>
  </r>
  <r>
    <s v="CUST0423"/>
    <n v="0"/>
    <s v="Saidu Smith"/>
    <x v="0"/>
    <n v="65"/>
    <x v="4"/>
    <x v="24"/>
    <x v="3"/>
    <x v="1"/>
    <x v="3"/>
    <x v="3"/>
    <x v="2"/>
    <n v="58"/>
    <x v="11"/>
    <n v="30000"/>
    <n v="8"/>
    <n v="240000"/>
    <n v="18.5"/>
    <x v="2"/>
    <x v="1"/>
  </r>
  <r>
    <s v="CUST0424"/>
    <n v="1"/>
    <s v="Maryam Becker"/>
    <x v="1"/>
    <n v="42"/>
    <x v="2"/>
    <x v="1"/>
    <x v="3"/>
    <x v="1"/>
    <x v="4"/>
    <x v="4"/>
    <x v="2"/>
    <n v="41"/>
    <x v="12"/>
    <n v="14500"/>
    <n v="11"/>
    <n v="159500"/>
    <n v="147.52000000000001"/>
    <x v="2"/>
    <x v="1"/>
  </r>
  <r>
    <s v="CUST0424"/>
    <n v="0"/>
    <s v="Maryam Becker"/>
    <x v="1"/>
    <n v="42"/>
    <x v="2"/>
    <x v="1"/>
    <x v="0"/>
    <x v="1"/>
    <x v="4"/>
    <x v="4"/>
    <x v="2"/>
    <n v="41"/>
    <x v="0"/>
    <n v="35000"/>
    <n v="4"/>
    <n v="140000"/>
    <n v="175.41"/>
    <x v="2"/>
    <x v="1"/>
  </r>
  <r>
    <s v="CUST0425"/>
    <n v="1"/>
    <s v="Amina Ortega"/>
    <x v="2"/>
    <n v="49"/>
    <x v="3"/>
    <x v="28"/>
    <x v="2"/>
    <x v="0"/>
    <x v="3"/>
    <x v="3"/>
    <x v="1"/>
    <n v="23"/>
    <x v="4"/>
    <n v="9000"/>
    <n v="6"/>
    <n v="54000"/>
    <n v="128.44999999999999"/>
    <x v="2"/>
    <x v="1"/>
  </r>
  <r>
    <s v="CUST0425"/>
    <n v="0"/>
    <s v="Amina Ortega"/>
    <x v="2"/>
    <n v="49"/>
    <x v="3"/>
    <x v="28"/>
    <x v="0"/>
    <x v="0"/>
    <x v="3"/>
    <x v="3"/>
    <x v="1"/>
    <n v="23"/>
    <x v="0"/>
    <n v="35000"/>
    <n v="5"/>
    <n v="175000"/>
    <n v="158.31"/>
    <x v="2"/>
    <x v="1"/>
  </r>
  <r>
    <s v="CUST0425"/>
    <n v="0"/>
    <s v="Amina Ortega"/>
    <x v="2"/>
    <n v="49"/>
    <x v="3"/>
    <x v="28"/>
    <x v="3"/>
    <x v="0"/>
    <x v="3"/>
    <x v="3"/>
    <x v="1"/>
    <n v="23"/>
    <x v="4"/>
    <n v="9000"/>
    <n v="10"/>
    <n v="90000"/>
    <n v="80.430000000000007"/>
    <x v="2"/>
    <x v="1"/>
  </r>
  <r>
    <s v="CUST0426"/>
    <n v="1"/>
    <s v="Ese Mathis"/>
    <x v="2"/>
    <n v="26"/>
    <x v="0"/>
    <x v="27"/>
    <x v="1"/>
    <x v="0"/>
    <x v="3"/>
    <x v="3"/>
    <x v="1"/>
    <n v="16"/>
    <x v="19"/>
    <n v="600"/>
    <n v="19"/>
    <n v="11400"/>
    <n v="52.51"/>
    <x v="2"/>
    <x v="1"/>
  </r>
  <r>
    <s v="CUST0426"/>
    <n v="0"/>
    <s v="Ese Mathis"/>
    <x v="2"/>
    <n v="26"/>
    <x v="0"/>
    <x v="27"/>
    <x v="0"/>
    <x v="0"/>
    <x v="3"/>
    <x v="3"/>
    <x v="1"/>
    <n v="16"/>
    <x v="6"/>
    <n v="9000"/>
    <n v="7"/>
    <n v="63000"/>
    <n v="160.01"/>
    <x v="2"/>
    <x v="1"/>
  </r>
  <r>
    <s v="CUST0427"/>
    <n v="1"/>
    <s v="Chinedu West"/>
    <x v="2"/>
    <n v="69"/>
    <x v="4"/>
    <x v="3"/>
    <x v="0"/>
    <x v="0"/>
    <x v="3"/>
    <x v="3"/>
    <x v="2"/>
    <n v="26"/>
    <x v="5"/>
    <n v="4500"/>
    <n v="6"/>
    <n v="27000"/>
    <n v="52.73"/>
    <x v="3"/>
    <x v="0"/>
  </r>
  <r>
    <s v="CUST0427"/>
    <n v="0"/>
    <s v="Chinedu West"/>
    <x v="2"/>
    <n v="69"/>
    <x v="4"/>
    <x v="3"/>
    <x v="3"/>
    <x v="0"/>
    <x v="3"/>
    <x v="3"/>
    <x v="2"/>
    <n v="26"/>
    <x v="4"/>
    <n v="9000"/>
    <n v="14"/>
    <n v="126000"/>
    <n v="80.510000000000005"/>
    <x v="3"/>
    <x v="0"/>
  </r>
  <r>
    <s v="CUST0427"/>
    <n v="0"/>
    <s v="Chinedu West"/>
    <x v="2"/>
    <n v="69"/>
    <x v="4"/>
    <x v="3"/>
    <x v="1"/>
    <x v="0"/>
    <x v="3"/>
    <x v="3"/>
    <x v="2"/>
    <n v="26"/>
    <x v="3"/>
    <n v="500"/>
    <n v="12"/>
    <n v="6000"/>
    <n v="30.28"/>
    <x v="3"/>
    <x v="0"/>
  </r>
  <r>
    <s v="CUST0428"/>
    <n v="1"/>
    <s v="Amina Skinner"/>
    <x v="2"/>
    <n v="31"/>
    <x v="2"/>
    <x v="34"/>
    <x v="0"/>
    <x v="1"/>
    <x v="4"/>
    <x v="4"/>
    <x v="2"/>
    <n v="50"/>
    <x v="6"/>
    <n v="9000"/>
    <n v="16"/>
    <n v="144000"/>
    <n v="57.95"/>
    <x v="7"/>
    <x v="0"/>
  </r>
  <r>
    <s v="CUST0429"/>
    <n v="1"/>
    <s v="Omamuzo Smith"/>
    <x v="2"/>
    <n v="32"/>
    <x v="2"/>
    <x v="0"/>
    <x v="1"/>
    <x v="0"/>
    <x v="2"/>
    <x v="2"/>
    <x v="2"/>
    <n v="39"/>
    <x v="19"/>
    <n v="600"/>
    <n v="5"/>
    <n v="3000"/>
    <n v="82"/>
    <x v="2"/>
    <x v="1"/>
  </r>
  <r>
    <s v="CUST0430"/>
    <n v="1"/>
    <s v="Funke Lawson"/>
    <x v="2"/>
    <n v="53"/>
    <x v="3"/>
    <x v="22"/>
    <x v="1"/>
    <x v="0"/>
    <x v="0"/>
    <x v="0"/>
    <x v="2"/>
    <n v="40"/>
    <x v="1"/>
    <n v="5500"/>
    <n v="11"/>
    <n v="60500"/>
    <n v="27.07"/>
    <x v="2"/>
    <x v="1"/>
  </r>
  <r>
    <s v="CUST0430"/>
    <n v="0"/>
    <s v="Funke Lawson"/>
    <x v="2"/>
    <n v="53"/>
    <x v="3"/>
    <x v="22"/>
    <x v="3"/>
    <x v="0"/>
    <x v="0"/>
    <x v="0"/>
    <x v="2"/>
    <n v="40"/>
    <x v="12"/>
    <n v="14500"/>
    <n v="13"/>
    <n v="188500"/>
    <n v="137.53"/>
    <x v="2"/>
    <x v="1"/>
  </r>
  <r>
    <s v="CUST0430"/>
    <n v="0"/>
    <s v="Funke Lawson"/>
    <x v="2"/>
    <n v="53"/>
    <x v="3"/>
    <x v="22"/>
    <x v="2"/>
    <x v="0"/>
    <x v="0"/>
    <x v="0"/>
    <x v="2"/>
    <n v="40"/>
    <x v="17"/>
    <n v="75000"/>
    <n v="9"/>
    <n v="675000"/>
    <n v="147.35"/>
    <x v="2"/>
    <x v="1"/>
  </r>
  <r>
    <s v="CUST0431"/>
    <n v="1"/>
    <s v="Kunle Cooper"/>
    <x v="2"/>
    <n v="28"/>
    <x v="0"/>
    <x v="4"/>
    <x v="3"/>
    <x v="0"/>
    <x v="4"/>
    <x v="4"/>
    <x v="1"/>
    <n v="22"/>
    <x v="10"/>
    <n v="24000"/>
    <n v="10"/>
    <n v="240000"/>
    <n v="124.12"/>
    <x v="2"/>
    <x v="1"/>
  </r>
  <r>
    <s v="CUST0431"/>
    <n v="0"/>
    <s v="Kunle Cooper"/>
    <x v="2"/>
    <n v="28"/>
    <x v="0"/>
    <x v="4"/>
    <x v="1"/>
    <x v="0"/>
    <x v="4"/>
    <x v="4"/>
    <x v="1"/>
    <n v="22"/>
    <x v="15"/>
    <n v="7500"/>
    <n v="5"/>
    <n v="37500"/>
    <n v="134.41999999999999"/>
    <x v="2"/>
    <x v="1"/>
  </r>
  <r>
    <s v="CUST0431"/>
    <n v="0"/>
    <s v="Kunle Cooper"/>
    <x v="2"/>
    <n v="28"/>
    <x v="0"/>
    <x v="4"/>
    <x v="0"/>
    <x v="0"/>
    <x v="4"/>
    <x v="4"/>
    <x v="1"/>
    <n v="22"/>
    <x v="9"/>
    <n v="16000"/>
    <n v="9"/>
    <n v="144000"/>
    <n v="116.31"/>
    <x v="2"/>
    <x v="1"/>
  </r>
  <r>
    <s v="CUST0432"/>
    <n v="1"/>
    <s v="Amina Espinoza"/>
    <x v="0"/>
    <n v="80"/>
    <x v="4"/>
    <x v="12"/>
    <x v="1"/>
    <x v="1"/>
    <x v="0"/>
    <x v="0"/>
    <x v="2"/>
    <n v="57"/>
    <x v="14"/>
    <n v="1000"/>
    <n v="5"/>
    <n v="5000"/>
    <n v="63"/>
    <x v="7"/>
    <x v="0"/>
  </r>
  <r>
    <s v="CUST0432"/>
    <n v="0"/>
    <s v="Amina Espinoza"/>
    <x v="0"/>
    <n v="80"/>
    <x v="4"/>
    <x v="12"/>
    <x v="3"/>
    <x v="1"/>
    <x v="0"/>
    <x v="0"/>
    <x v="2"/>
    <n v="57"/>
    <x v="12"/>
    <n v="14500"/>
    <n v="9"/>
    <n v="130500"/>
    <n v="174.4"/>
    <x v="7"/>
    <x v="0"/>
  </r>
  <r>
    <s v="CUST0432"/>
    <n v="0"/>
    <s v="Amina Espinoza"/>
    <x v="0"/>
    <n v="80"/>
    <x v="4"/>
    <x v="12"/>
    <x v="0"/>
    <x v="1"/>
    <x v="0"/>
    <x v="0"/>
    <x v="2"/>
    <n v="57"/>
    <x v="6"/>
    <n v="9000"/>
    <n v="10"/>
    <n v="90000"/>
    <n v="185.28"/>
    <x v="7"/>
    <x v="0"/>
  </r>
  <r>
    <s v="CUST0433"/>
    <n v="1"/>
    <s v="Saidu Whitehead"/>
    <x v="2"/>
    <n v="49"/>
    <x v="3"/>
    <x v="8"/>
    <x v="0"/>
    <x v="1"/>
    <x v="2"/>
    <x v="2"/>
    <x v="2"/>
    <n v="28"/>
    <x v="0"/>
    <n v="35000"/>
    <n v="5"/>
    <n v="175000"/>
    <n v="11.12"/>
    <x v="2"/>
    <x v="1"/>
  </r>
  <r>
    <s v="CUST0433"/>
    <n v="0"/>
    <s v="Saidu Whitehead"/>
    <x v="2"/>
    <n v="49"/>
    <x v="3"/>
    <x v="8"/>
    <x v="2"/>
    <x v="1"/>
    <x v="2"/>
    <x v="2"/>
    <x v="2"/>
    <n v="28"/>
    <x v="4"/>
    <n v="9000"/>
    <n v="2"/>
    <n v="18000"/>
    <n v="46.36"/>
    <x v="2"/>
    <x v="1"/>
  </r>
  <r>
    <s v="CUST0434"/>
    <n v="1"/>
    <s v="John Williams"/>
    <x v="0"/>
    <n v="49"/>
    <x v="3"/>
    <x v="1"/>
    <x v="1"/>
    <x v="1"/>
    <x v="4"/>
    <x v="4"/>
    <x v="2"/>
    <n v="28"/>
    <x v="14"/>
    <n v="1000"/>
    <n v="5"/>
    <n v="5000"/>
    <n v="169.24"/>
    <x v="4"/>
    <x v="0"/>
  </r>
  <r>
    <s v="CUST0434"/>
    <n v="0"/>
    <s v="John Williams"/>
    <x v="0"/>
    <n v="49"/>
    <x v="3"/>
    <x v="1"/>
    <x v="0"/>
    <x v="1"/>
    <x v="4"/>
    <x v="4"/>
    <x v="2"/>
    <n v="28"/>
    <x v="9"/>
    <n v="16000"/>
    <n v="7"/>
    <n v="112000"/>
    <n v="70.25"/>
    <x v="4"/>
    <x v="0"/>
  </r>
  <r>
    <s v="CUST0434"/>
    <n v="0"/>
    <s v="John Williams"/>
    <x v="0"/>
    <n v="49"/>
    <x v="3"/>
    <x v="1"/>
    <x v="2"/>
    <x v="1"/>
    <x v="4"/>
    <x v="4"/>
    <x v="2"/>
    <n v="28"/>
    <x v="10"/>
    <n v="24000"/>
    <n v="6"/>
    <n v="144000"/>
    <n v="36.54"/>
    <x v="4"/>
    <x v="0"/>
  </r>
  <r>
    <s v="CUST0435"/>
    <n v="1"/>
    <s v="Michael Santana"/>
    <x v="2"/>
    <n v="50"/>
    <x v="3"/>
    <x v="9"/>
    <x v="1"/>
    <x v="0"/>
    <x v="4"/>
    <x v="4"/>
    <x v="2"/>
    <n v="34"/>
    <x v="14"/>
    <n v="1000"/>
    <n v="1"/>
    <n v="1000"/>
    <n v="177.53"/>
    <x v="2"/>
    <x v="1"/>
  </r>
  <r>
    <s v="CUST0436"/>
    <n v="1"/>
    <s v="Abubakar Bullock"/>
    <x v="0"/>
    <n v="31"/>
    <x v="2"/>
    <x v="10"/>
    <x v="1"/>
    <x v="1"/>
    <x v="2"/>
    <x v="2"/>
    <x v="2"/>
    <n v="38"/>
    <x v="3"/>
    <n v="500"/>
    <n v="1"/>
    <n v="500"/>
    <n v="119.04"/>
    <x v="3"/>
    <x v="0"/>
  </r>
  <r>
    <s v="CUST0436"/>
    <n v="0"/>
    <s v="Abubakar Bullock"/>
    <x v="0"/>
    <n v="31"/>
    <x v="2"/>
    <x v="10"/>
    <x v="0"/>
    <x v="1"/>
    <x v="2"/>
    <x v="2"/>
    <x v="2"/>
    <n v="38"/>
    <x v="6"/>
    <n v="9000"/>
    <n v="20"/>
    <n v="180000"/>
    <n v="193.97"/>
    <x v="3"/>
    <x v="0"/>
  </r>
  <r>
    <s v="CUST0437"/>
    <n v="1"/>
    <s v="Alabo Young"/>
    <x v="0"/>
    <n v="57"/>
    <x v="3"/>
    <x v="21"/>
    <x v="3"/>
    <x v="0"/>
    <x v="2"/>
    <x v="2"/>
    <x v="2"/>
    <n v="56"/>
    <x v="10"/>
    <n v="24000"/>
    <n v="13"/>
    <n v="312000"/>
    <n v="190.4"/>
    <x v="2"/>
    <x v="1"/>
  </r>
  <r>
    <s v="CUST0438"/>
    <n v="1"/>
    <s v="Chinedu Ramos"/>
    <x v="0"/>
    <n v="67"/>
    <x v="4"/>
    <x v="22"/>
    <x v="1"/>
    <x v="0"/>
    <x v="1"/>
    <x v="1"/>
    <x v="1"/>
    <n v="16"/>
    <x v="15"/>
    <n v="7500"/>
    <n v="5"/>
    <n v="37500"/>
    <n v="57.34"/>
    <x v="6"/>
    <x v="0"/>
  </r>
  <r>
    <s v="CUST0439"/>
    <n v="1"/>
    <s v="Ifeanyi Zimmerman"/>
    <x v="1"/>
    <n v="54"/>
    <x v="3"/>
    <x v="12"/>
    <x v="2"/>
    <x v="1"/>
    <x v="3"/>
    <x v="3"/>
    <x v="2"/>
    <n v="48"/>
    <x v="12"/>
    <n v="14500"/>
    <n v="13"/>
    <n v="188500"/>
    <n v="98.18"/>
    <x v="7"/>
    <x v="0"/>
  </r>
  <r>
    <s v="CUST0440"/>
    <n v="1"/>
    <s v="John Carter"/>
    <x v="0"/>
    <n v="50"/>
    <x v="3"/>
    <x v="0"/>
    <x v="1"/>
    <x v="0"/>
    <x v="2"/>
    <x v="2"/>
    <x v="2"/>
    <n v="49"/>
    <x v="16"/>
    <n v="900"/>
    <n v="15"/>
    <n v="13500"/>
    <n v="102.91"/>
    <x v="2"/>
    <x v="1"/>
  </r>
  <r>
    <s v="CUST0440"/>
    <n v="0"/>
    <s v="John Carter"/>
    <x v="0"/>
    <n v="50"/>
    <x v="3"/>
    <x v="0"/>
    <x v="3"/>
    <x v="0"/>
    <x v="2"/>
    <x v="2"/>
    <x v="2"/>
    <n v="49"/>
    <x v="2"/>
    <n v="20000"/>
    <n v="5"/>
    <n v="100000"/>
    <n v="129.69999999999999"/>
    <x v="2"/>
    <x v="1"/>
  </r>
  <r>
    <s v="CUST0441"/>
    <n v="1"/>
    <s v="Grace Williams"/>
    <x v="0"/>
    <n v="26"/>
    <x v="0"/>
    <x v="14"/>
    <x v="2"/>
    <x v="1"/>
    <x v="4"/>
    <x v="4"/>
    <x v="2"/>
    <n v="28"/>
    <x v="12"/>
    <n v="14500"/>
    <n v="10"/>
    <n v="145000"/>
    <n v="104.86"/>
    <x v="2"/>
    <x v="1"/>
  </r>
  <r>
    <s v="CUST0442"/>
    <n v="1"/>
    <s v="Sade Johnson"/>
    <x v="0"/>
    <n v="25"/>
    <x v="0"/>
    <x v="19"/>
    <x v="2"/>
    <x v="0"/>
    <x v="4"/>
    <x v="4"/>
    <x v="2"/>
    <n v="33"/>
    <x v="2"/>
    <n v="20000"/>
    <n v="1"/>
    <n v="20000"/>
    <n v="153.85"/>
    <x v="7"/>
    <x v="0"/>
  </r>
  <r>
    <s v="CUST0442"/>
    <n v="0"/>
    <s v="Sade Johnson"/>
    <x v="0"/>
    <n v="25"/>
    <x v="0"/>
    <x v="19"/>
    <x v="0"/>
    <x v="0"/>
    <x v="4"/>
    <x v="4"/>
    <x v="2"/>
    <n v="33"/>
    <x v="9"/>
    <n v="16000"/>
    <n v="15"/>
    <n v="240000"/>
    <n v="148.22999999999999"/>
    <x v="7"/>
    <x v="0"/>
  </r>
  <r>
    <s v="CUST0442"/>
    <n v="0"/>
    <s v="Sade Johnson"/>
    <x v="0"/>
    <n v="25"/>
    <x v="0"/>
    <x v="19"/>
    <x v="1"/>
    <x v="0"/>
    <x v="4"/>
    <x v="4"/>
    <x v="2"/>
    <n v="33"/>
    <x v="19"/>
    <n v="600"/>
    <n v="13"/>
    <n v="7800"/>
    <n v="157.34"/>
    <x v="7"/>
    <x v="0"/>
  </r>
  <r>
    <s v="CUST0443"/>
    <n v="1"/>
    <s v="Bola Wright"/>
    <x v="0"/>
    <n v="26"/>
    <x v="0"/>
    <x v="15"/>
    <x v="2"/>
    <x v="1"/>
    <x v="4"/>
    <x v="4"/>
    <x v="1"/>
    <n v="21"/>
    <x v="12"/>
    <n v="14500"/>
    <n v="20"/>
    <n v="290000"/>
    <n v="37.42"/>
    <x v="2"/>
    <x v="1"/>
  </r>
  <r>
    <s v="CUST0443"/>
    <n v="0"/>
    <s v="Bola Wright"/>
    <x v="0"/>
    <n v="26"/>
    <x v="0"/>
    <x v="15"/>
    <x v="3"/>
    <x v="1"/>
    <x v="4"/>
    <x v="4"/>
    <x v="1"/>
    <n v="21"/>
    <x v="11"/>
    <n v="30000"/>
    <n v="4"/>
    <n v="120000"/>
    <n v="174.39"/>
    <x v="2"/>
    <x v="1"/>
  </r>
  <r>
    <s v="CUST0444"/>
    <n v="1"/>
    <s v="Boma Shah"/>
    <x v="0"/>
    <n v="18"/>
    <x v="0"/>
    <x v="34"/>
    <x v="1"/>
    <x v="1"/>
    <x v="0"/>
    <x v="0"/>
    <x v="3"/>
    <n v="8"/>
    <x v="20"/>
    <n v="6500"/>
    <n v="20"/>
    <n v="130000"/>
    <n v="60.91"/>
    <x v="2"/>
    <x v="1"/>
  </r>
  <r>
    <s v="CUST0445"/>
    <n v="1"/>
    <s v="Ejiro Wagner"/>
    <x v="2"/>
    <n v="66"/>
    <x v="4"/>
    <x v="24"/>
    <x v="0"/>
    <x v="0"/>
    <x v="1"/>
    <x v="1"/>
    <x v="3"/>
    <n v="9"/>
    <x v="9"/>
    <n v="16000"/>
    <n v="5"/>
    <n v="80000"/>
    <n v="42.24"/>
    <x v="1"/>
    <x v="0"/>
  </r>
  <r>
    <s v="CUST0446"/>
    <n v="1"/>
    <s v="Halima Lambert"/>
    <x v="1"/>
    <n v="71"/>
    <x v="4"/>
    <x v="11"/>
    <x v="3"/>
    <x v="0"/>
    <x v="4"/>
    <x v="4"/>
    <x v="0"/>
    <n v="6"/>
    <x v="2"/>
    <n v="20000"/>
    <n v="15"/>
    <n v="300000"/>
    <n v="180.53"/>
    <x v="5"/>
    <x v="0"/>
  </r>
  <r>
    <s v="CUST0447"/>
    <n v="1"/>
    <s v="Grace Hudson"/>
    <x v="2"/>
    <n v="76"/>
    <x v="4"/>
    <x v="17"/>
    <x v="3"/>
    <x v="1"/>
    <x v="0"/>
    <x v="0"/>
    <x v="2"/>
    <n v="38"/>
    <x v="4"/>
    <n v="9000"/>
    <n v="14"/>
    <n v="126000"/>
    <n v="20.98"/>
    <x v="1"/>
    <x v="0"/>
  </r>
  <r>
    <s v="CUST0447"/>
    <n v="0"/>
    <s v="Grace Hudson"/>
    <x v="2"/>
    <n v="76"/>
    <x v="4"/>
    <x v="17"/>
    <x v="0"/>
    <x v="1"/>
    <x v="0"/>
    <x v="0"/>
    <x v="2"/>
    <n v="38"/>
    <x v="0"/>
    <n v="35000"/>
    <n v="19"/>
    <n v="665000"/>
    <n v="169.8"/>
    <x v="1"/>
    <x v="0"/>
  </r>
  <r>
    <s v="CUST0448"/>
    <n v="1"/>
    <s v="Abubakar Ryan"/>
    <x v="0"/>
    <n v="20"/>
    <x v="0"/>
    <x v="12"/>
    <x v="3"/>
    <x v="1"/>
    <x v="0"/>
    <x v="0"/>
    <x v="2"/>
    <n v="32"/>
    <x v="10"/>
    <n v="24000"/>
    <n v="14"/>
    <n v="336000"/>
    <n v="13.17"/>
    <x v="2"/>
    <x v="1"/>
  </r>
  <r>
    <s v="CUST0448"/>
    <n v="0"/>
    <s v="Abubakar Ryan"/>
    <x v="0"/>
    <n v="20"/>
    <x v="0"/>
    <x v="12"/>
    <x v="0"/>
    <x v="1"/>
    <x v="0"/>
    <x v="0"/>
    <x v="2"/>
    <n v="32"/>
    <x v="0"/>
    <n v="35000"/>
    <n v="20"/>
    <n v="700000"/>
    <n v="23.83"/>
    <x v="2"/>
    <x v="1"/>
  </r>
  <r>
    <s v="CUST0448"/>
    <n v="0"/>
    <s v="Abubakar Ryan"/>
    <x v="0"/>
    <n v="20"/>
    <x v="0"/>
    <x v="12"/>
    <x v="2"/>
    <x v="1"/>
    <x v="0"/>
    <x v="0"/>
    <x v="2"/>
    <n v="32"/>
    <x v="18"/>
    <n v="25000"/>
    <n v="14"/>
    <n v="350000"/>
    <n v="89.94"/>
    <x v="2"/>
    <x v="1"/>
  </r>
  <r>
    <s v="CUST0449"/>
    <n v="1"/>
    <s v="Funke Chung"/>
    <x v="1"/>
    <n v="36"/>
    <x v="2"/>
    <x v="14"/>
    <x v="2"/>
    <x v="0"/>
    <x v="4"/>
    <x v="4"/>
    <x v="2"/>
    <n v="31"/>
    <x v="11"/>
    <n v="30000"/>
    <n v="13"/>
    <n v="390000"/>
    <n v="176.69"/>
    <x v="6"/>
    <x v="0"/>
  </r>
  <r>
    <s v="CUST0449"/>
    <n v="0"/>
    <s v="Funke Chung"/>
    <x v="1"/>
    <n v="36"/>
    <x v="2"/>
    <x v="14"/>
    <x v="1"/>
    <x v="0"/>
    <x v="4"/>
    <x v="4"/>
    <x v="2"/>
    <n v="31"/>
    <x v="15"/>
    <n v="7500"/>
    <n v="12"/>
    <n v="90000"/>
    <n v="166.7"/>
    <x v="6"/>
    <x v="0"/>
  </r>
  <r>
    <s v="CUST0449"/>
    <n v="0"/>
    <s v="Funke Chung"/>
    <x v="1"/>
    <n v="36"/>
    <x v="2"/>
    <x v="14"/>
    <x v="0"/>
    <x v="0"/>
    <x v="4"/>
    <x v="4"/>
    <x v="2"/>
    <n v="31"/>
    <x v="0"/>
    <n v="35000"/>
    <n v="6"/>
    <n v="210000"/>
    <n v="160.05000000000001"/>
    <x v="6"/>
    <x v="0"/>
  </r>
  <r>
    <s v="CUST0450"/>
    <n v="1"/>
    <s v="Fatima Curtis"/>
    <x v="2"/>
    <n v="52"/>
    <x v="3"/>
    <x v="33"/>
    <x v="1"/>
    <x v="1"/>
    <x v="0"/>
    <x v="0"/>
    <x v="3"/>
    <n v="9"/>
    <x v="1"/>
    <n v="5500"/>
    <n v="7"/>
    <n v="38500"/>
    <n v="61.08"/>
    <x v="5"/>
    <x v="0"/>
  </r>
  <r>
    <s v="CUST0451"/>
    <n v="1"/>
    <s v="Sade Baker"/>
    <x v="2"/>
    <n v="18"/>
    <x v="0"/>
    <x v="25"/>
    <x v="1"/>
    <x v="1"/>
    <x v="0"/>
    <x v="0"/>
    <x v="1"/>
    <n v="23"/>
    <x v="1"/>
    <n v="5500"/>
    <n v="8"/>
    <n v="44000"/>
    <n v="23.24"/>
    <x v="2"/>
    <x v="1"/>
  </r>
  <r>
    <s v="CUST0451"/>
    <n v="0"/>
    <s v="Sade Baker"/>
    <x v="2"/>
    <n v="18"/>
    <x v="0"/>
    <x v="25"/>
    <x v="0"/>
    <x v="1"/>
    <x v="0"/>
    <x v="0"/>
    <x v="1"/>
    <n v="23"/>
    <x v="5"/>
    <n v="4500"/>
    <n v="16"/>
    <n v="72000"/>
    <n v="112.62"/>
    <x v="2"/>
    <x v="1"/>
  </r>
  <r>
    <s v="CUST0452"/>
    <n v="1"/>
    <s v="Saidu Jackson"/>
    <x v="1"/>
    <n v="59"/>
    <x v="3"/>
    <x v="25"/>
    <x v="3"/>
    <x v="0"/>
    <x v="0"/>
    <x v="0"/>
    <x v="2"/>
    <n v="50"/>
    <x v="12"/>
    <n v="14500"/>
    <n v="4"/>
    <n v="58000"/>
    <n v="159.9"/>
    <x v="2"/>
    <x v="1"/>
  </r>
  <r>
    <s v="CUST0452"/>
    <n v="0"/>
    <s v="Saidu Jackson"/>
    <x v="1"/>
    <n v="59"/>
    <x v="3"/>
    <x v="25"/>
    <x v="2"/>
    <x v="0"/>
    <x v="0"/>
    <x v="0"/>
    <x v="2"/>
    <n v="50"/>
    <x v="2"/>
    <n v="20000"/>
    <n v="20"/>
    <n v="400000"/>
    <n v="156.44"/>
    <x v="2"/>
    <x v="1"/>
  </r>
  <r>
    <s v="CUST0452"/>
    <n v="0"/>
    <s v="Saidu Jackson"/>
    <x v="1"/>
    <n v="59"/>
    <x v="3"/>
    <x v="25"/>
    <x v="1"/>
    <x v="0"/>
    <x v="0"/>
    <x v="0"/>
    <x v="2"/>
    <n v="50"/>
    <x v="14"/>
    <n v="1000"/>
    <n v="2"/>
    <n v="2000"/>
    <n v="164.81"/>
    <x v="2"/>
    <x v="1"/>
  </r>
  <r>
    <s v="CUST0453"/>
    <n v="1"/>
    <s v="Michael Madden"/>
    <x v="2"/>
    <n v="29"/>
    <x v="0"/>
    <x v="1"/>
    <x v="1"/>
    <x v="0"/>
    <x v="2"/>
    <x v="2"/>
    <x v="2"/>
    <n v="56"/>
    <x v="14"/>
    <n v="1000"/>
    <n v="12"/>
    <n v="12000"/>
    <n v="31.28"/>
    <x v="4"/>
    <x v="0"/>
  </r>
  <r>
    <s v="CUST0453"/>
    <n v="0"/>
    <s v="Michael Madden"/>
    <x v="2"/>
    <n v="29"/>
    <x v="0"/>
    <x v="1"/>
    <x v="2"/>
    <x v="0"/>
    <x v="2"/>
    <x v="2"/>
    <x v="2"/>
    <n v="56"/>
    <x v="18"/>
    <n v="25000"/>
    <n v="4"/>
    <n v="100000"/>
    <n v="163.92"/>
    <x v="4"/>
    <x v="0"/>
  </r>
  <r>
    <s v="CUST0453"/>
    <n v="0"/>
    <s v="Michael Madden"/>
    <x v="2"/>
    <n v="29"/>
    <x v="0"/>
    <x v="1"/>
    <x v="0"/>
    <x v="0"/>
    <x v="2"/>
    <x v="2"/>
    <x v="2"/>
    <n v="56"/>
    <x v="5"/>
    <n v="4500"/>
    <n v="14"/>
    <n v="63000"/>
    <n v="88.1"/>
    <x v="4"/>
    <x v="0"/>
  </r>
  <r>
    <s v="CUST0454"/>
    <n v="1"/>
    <s v="Tunde Fuller"/>
    <x v="2"/>
    <n v="47"/>
    <x v="3"/>
    <x v="31"/>
    <x v="2"/>
    <x v="1"/>
    <x v="1"/>
    <x v="1"/>
    <x v="1"/>
    <n v="19"/>
    <x v="12"/>
    <n v="14500"/>
    <n v="17"/>
    <n v="246500"/>
    <n v="30.75"/>
    <x v="7"/>
    <x v="0"/>
  </r>
  <r>
    <s v="CUST0454"/>
    <n v="0"/>
    <s v="Tunde Fuller"/>
    <x v="2"/>
    <n v="47"/>
    <x v="3"/>
    <x v="31"/>
    <x v="1"/>
    <x v="1"/>
    <x v="1"/>
    <x v="1"/>
    <x v="1"/>
    <n v="19"/>
    <x v="15"/>
    <n v="7500"/>
    <n v="5"/>
    <n v="37500"/>
    <n v="157.55000000000001"/>
    <x v="7"/>
    <x v="0"/>
  </r>
  <r>
    <s v="CUST0455"/>
    <n v="1"/>
    <s v="Boma Baker"/>
    <x v="1"/>
    <n v="68"/>
    <x v="4"/>
    <x v="15"/>
    <x v="3"/>
    <x v="1"/>
    <x v="1"/>
    <x v="1"/>
    <x v="2"/>
    <n v="55"/>
    <x v="4"/>
    <n v="9000"/>
    <n v="13"/>
    <n v="117000"/>
    <n v="67.989999999999995"/>
    <x v="2"/>
    <x v="1"/>
  </r>
  <r>
    <s v="CUST0456"/>
    <n v="1"/>
    <s v="Amina Diaz"/>
    <x v="0"/>
    <n v="71"/>
    <x v="4"/>
    <x v="4"/>
    <x v="2"/>
    <x v="1"/>
    <x v="0"/>
    <x v="0"/>
    <x v="2"/>
    <n v="49"/>
    <x v="17"/>
    <n v="75000"/>
    <n v="18"/>
    <n v="1350000"/>
    <n v="80.7"/>
    <x v="2"/>
    <x v="1"/>
  </r>
  <r>
    <s v="CUST0457"/>
    <n v="1"/>
    <s v="Maryam Martin"/>
    <x v="1"/>
    <n v="56"/>
    <x v="3"/>
    <x v="25"/>
    <x v="1"/>
    <x v="0"/>
    <x v="3"/>
    <x v="3"/>
    <x v="2"/>
    <n v="53"/>
    <x v="1"/>
    <n v="5500"/>
    <n v="18"/>
    <n v="99000"/>
    <n v="128.94999999999999"/>
    <x v="2"/>
    <x v="1"/>
  </r>
  <r>
    <s v="CUST0458"/>
    <n v="1"/>
    <s v="Alabo Bradley"/>
    <x v="1"/>
    <n v="60"/>
    <x v="4"/>
    <x v="10"/>
    <x v="0"/>
    <x v="0"/>
    <x v="1"/>
    <x v="1"/>
    <x v="2"/>
    <n v="57"/>
    <x v="6"/>
    <n v="9000"/>
    <n v="17"/>
    <n v="153000"/>
    <n v="43.14"/>
    <x v="4"/>
    <x v="0"/>
  </r>
  <r>
    <s v="CUST0458"/>
    <n v="0"/>
    <s v="Alabo Bradley"/>
    <x v="1"/>
    <n v="60"/>
    <x v="4"/>
    <x v="10"/>
    <x v="2"/>
    <x v="0"/>
    <x v="1"/>
    <x v="1"/>
    <x v="2"/>
    <n v="57"/>
    <x v="10"/>
    <n v="24000"/>
    <n v="6"/>
    <n v="144000"/>
    <n v="104.51"/>
    <x v="4"/>
    <x v="0"/>
  </r>
  <r>
    <s v="CUST0460"/>
    <n v="1"/>
    <s v="Ejiro Martin"/>
    <x v="0"/>
    <n v="49"/>
    <x v="3"/>
    <x v="28"/>
    <x v="3"/>
    <x v="1"/>
    <x v="1"/>
    <x v="1"/>
    <x v="3"/>
    <n v="8"/>
    <x v="2"/>
    <n v="20000"/>
    <n v="19"/>
    <n v="380000"/>
    <n v="161.16999999999999"/>
    <x v="2"/>
    <x v="1"/>
  </r>
  <r>
    <s v="CUST0460"/>
    <n v="0"/>
    <s v="Ejiro Martin"/>
    <x v="0"/>
    <n v="49"/>
    <x v="3"/>
    <x v="28"/>
    <x v="0"/>
    <x v="1"/>
    <x v="1"/>
    <x v="1"/>
    <x v="3"/>
    <n v="8"/>
    <x v="5"/>
    <n v="4500"/>
    <n v="10"/>
    <n v="45000"/>
    <n v="70.39"/>
    <x v="2"/>
    <x v="1"/>
  </r>
  <r>
    <s v="CUST0460"/>
    <n v="0"/>
    <s v="Ejiro Martin"/>
    <x v="0"/>
    <n v="49"/>
    <x v="3"/>
    <x v="28"/>
    <x v="2"/>
    <x v="1"/>
    <x v="1"/>
    <x v="1"/>
    <x v="3"/>
    <n v="8"/>
    <x v="11"/>
    <n v="30000"/>
    <n v="17"/>
    <n v="510000"/>
    <n v="143.01"/>
    <x v="2"/>
    <x v="1"/>
  </r>
  <r>
    <s v="CUST0461"/>
    <n v="1"/>
    <s v="Halima Walker"/>
    <x v="1"/>
    <n v="29"/>
    <x v="0"/>
    <x v="32"/>
    <x v="1"/>
    <x v="0"/>
    <x v="4"/>
    <x v="4"/>
    <x v="2"/>
    <n v="53"/>
    <x v="14"/>
    <n v="1000"/>
    <n v="5"/>
    <n v="5000"/>
    <n v="12.91"/>
    <x v="7"/>
    <x v="0"/>
  </r>
  <r>
    <s v="CUST0461"/>
    <n v="0"/>
    <s v="Halima Walker"/>
    <x v="1"/>
    <n v="29"/>
    <x v="0"/>
    <x v="32"/>
    <x v="3"/>
    <x v="0"/>
    <x v="4"/>
    <x v="4"/>
    <x v="2"/>
    <n v="53"/>
    <x v="12"/>
    <n v="14500"/>
    <n v="3"/>
    <n v="43500"/>
    <n v="43.35"/>
    <x v="7"/>
    <x v="0"/>
  </r>
  <r>
    <s v="CUST0462"/>
    <n v="1"/>
    <s v="Ejiro Brown"/>
    <x v="1"/>
    <n v="67"/>
    <x v="4"/>
    <x v="8"/>
    <x v="1"/>
    <x v="1"/>
    <x v="3"/>
    <x v="3"/>
    <x v="2"/>
    <n v="56"/>
    <x v="1"/>
    <n v="5500"/>
    <n v="14"/>
    <n v="77000"/>
    <n v="146.47999999999999"/>
    <x v="2"/>
    <x v="1"/>
  </r>
  <r>
    <s v="CUST0462"/>
    <n v="0"/>
    <s v="Ejiro Brown"/>
    <x v="1"/>
    <n v="67"/>
    <x v="4"/>
    <x v="8"/>
    <x v="2"/>
    <x v="1"/>
    <x v="3"/>
    <x v="3"/>
    <x v="2"/>
    <n v="56"/>
    <x v="11"/>
    <n v="30000"/>
    <n v="5"/>
    <n v="150000"/>
    <n v="29.3"/>
    <x v="2"/>
    <x v="1"/>
  </r>
  <r>
    <s v="CUST0463"/>
    <n v="1"/>
    <s v="Grace Bell"/>
    <x v="2"/>
    <n v="74"/>
    <x v="4"/>
    <x v="21"/>
    <x v="0"/>
    <x v="0"/>
    <x v="4"/>
    <x v="4"/>
    <x v="2"/>
    <n v="45"/>
    <x v="9"/>
    <n v="16000"/>
    <n v="14"/>
    <n v="224000"/>
    <n v="120.52"/>
    <x v="2"/>
    <x v="1"/>
  </r>
  <r>
    <s v="CUST0463"/>
    <n v="0"/>
    <s v="Grace Bell"/>
    <x v="2"/>
    <n v="74"/>
    <x v="4"/>
    <x v="21"/>
    <x v="2"/>
    <x v="0"/>
    <x v="4"/>
    <x v="4"/>
    <x v="2"/>
    <n v="45"/>
    <x v="2"/>
    <n v="20000"/>
    <n v="19"/>
    <n v="380000"/>
    <n v="24.61"/>
    <x v="2"/>
    <x v="1"/>
  </r>
  <r>
    <s v="CUST0463"/>
    <n v="0"/>
    <s v="Grace Bell"/>
    <x v="2"/>
    <n v="74"/>
    <x v="4"/>
    <x v="21"/>
    <x v="1"/>
    <x v="0"/>
    <x v="4"/>
    <x v="4"/>
    <x v="2"/>
    <n v="45"/>
    <x v="3"/>
    <n v="500"/>
    <n v="5"/>
    <n v="2500"/>
    <n v="8.5399999999999991"/>
    <x v="2"/>
    <x v="1"/>
  </r>
  <r>
    <s v="CUST0464"/>
    <n v="1"/>
    <s v="Ifeanyi Smith"/>
    <x v="1"/>
    <n v="63"/>
    <x v="4"/>
    <x v="24"/>
    <x v="1"/>
    <x v="1"/>
    <x v="4"/>
    <x v="4"/>
    <x v="1"/>
    <n v="20"/>
    <x v="16"/>
    <n v="900"/>
    <n v="10"/>
    <n v="9000"/>
    <n v="187.4"/>
    <x v="6"/>
    <x v="0"/>
  </r>
  <r>
    <s v="CUST0465"/>
    <n v="1"/>
    <s v="Abubakar Ross"/>
    <x v="0"/>
    <n v="43"/>
    <x v="2"/>
    <x v="20"/>
    <x v="1"/>
    <x v="1"/>
    <x v="3"/>
    <x v="3"/>
    <x v="0"/>
    <n v="1"/>
    <x v="1"/>
    <n v="5500"/>
    <n v="19"/>
    <n v="104500"/>
    <n v="114.83"/>
    <x v="2"/>
    <x v="1"/>
  </r>
  <r>
    <s v="CUST0466"/>
    <n v="1"/>
    <s v="Alabo Escobar"/>
    <x v="2"/>
    <n v="59"/>
    <x v="3"/>
    <x v="6"/>
    <x v="1"/>
    <x v="1"/>
    <x v="0"/>
    <x v="0"/>
    <x v="2"/>
    <n v="54"/>
    <x v="1"/>
    <n v="5500"/>
    <n v="11"/>
    <n v="60500"/>
    <n v="30.22"/>
    <x v="2"/>
    <x v="1"/>
  </r>
  <r>
    <s v="CUST0466"/>
    <n v="0"/>
    <s v="Alabo Escobar"/>
    <x v="2"/>
    <n v="59"/>
    <x v="3"/>
    <x v="6"/>
    <x v="2"/>
    <x v="1"/>
    <x v="0"/>
    <x v="0"/>
    <x v="2"/>
    <n v="54"/>
    <x v="2"/>
    <n v="20000"/>
    <n v="20"/>
    <n v="400000"/>
    <n v="160.06"/>
    <x v="2"/>
    <x v="1"/>
  </r>
  <r>
    <s v="CUST0467"/>
    <n v="1"/>
    <s v="Ibim Hunter"/>
    <x v="0"/>
    <n v="65"/>
    <x v="4"/>
    <x v="16"/>
    <x v="3"/>
    <x v="1"/>
    <x v="4"/>
    <x v="4"/>
    <x v="1"/>
    <n v="22"/>
    <x v="10"/>
    <n v="24000"/>
    <n v="10"/>
    <n v="240000"/>
    <n v="126.21"/>
    <x v="2"/>
    <x v="1"/>
  </r>
  <r>
    <s v="CUST0467"/>
    <n v="0"/>
    <s v="Ibim Hunter"/>
    <x v="0"/>
    <n v="65"/>
    <x v="4"/>
    <x v="16"/>
    <x v="1"/>
    <x v="1"/>
    <x v="4"/>
    <x v="4"/>
    <x v="1"/>
    <n v="22"/>
    <x v="20"/>
    <n v="6500"/>
    <n v="18"/>
    <n v="117000"/>
    <n v="129.21"/>
    <x v="2"/>
    <x v="1"/>
  </r>
  <r>
    <s v="CUST0467"/>
    <n v="0"/>
    <s v="Ibim Hunter"/>
    <x v="0"/>
    <n v="65"/>
    <x v="4"/>
    <x v="16"/>
    <x v="2"/>
    <x v="1"/>
    <x v="4"/>
    <x v="4"/>
    <x v="1"/>
    <n v="22"/>
    <x v="2"/>
    <n v="20000"/>
    <n v="20"/>
    <n v="400000"/>
    <n v="38.89"/>
    <x v="2"/>
    <x v="1"/>
  </r>
  <r>
    <s v="CUST0468"/>
    <n v="1"/>
    <s v="David Boone"/>
    <x v="0"/>
    <n v="22"/>
    <x v="0"/>
    <x v="8"/>
    <x v="0"/>
    <x v="0"/>
    <x v="3"/>
    <x v="3"/>
    <x v="2"/>
    <n v="49"/>
    <x v="9"/>
    <n v="16000"/>
    <n v="7"/>
    <n v="112000"/>
    <n v="55.36"/>
    <x v="2"/>
    <x v="1"/>
  </r>
  <r>
    <s v="CUST0469"/>
    <n v="1"/>
    <s v="Halima Matthews"/>
    <x v="0"/>
    <n v="72"/>
    <x v="4"/>
    <x v="33"/>
    <x v="2"/>
    <x v="1"/>
    <x v="4"/>
    <x v="4"/>
    <x v="2"/>
    <n v="26"/>
    <x v="17"/>
    <n v="75000"/>
    <n v="1"/>
    <n v="75000"/>
    <n v="36.51"/>
    <x v="2"/>
    <x v="1"/>
  </r>
  <r>
    <s v="CUST0470"/>
    <n v="1"/>
    <s v="Sarah Gordon"/>
    <x v="0"/>
    <n v="56"/>
    <x v="3"/>
    <x v="6"/>
    <x v="0"/>
    <x v="1"/>
    <x v="1"/>
    <x v="1"/>
    <x v="0"/>
    <n v="6"/>
    <x v="6"/>
    <n v="9000"/>
    <n v="5"/>
    <n v="45000"/>
    <n v="153.78"/>
    <x v="2"/>
    <x v="1"/>
  </r>
  <r>
    <s v="CUST0470"/>
    <n v="0"/>
    <s v="Sarah Gordon"/>
    <x v="0"/>
    <n v="56"/>
    <x v="3"/>
    <x v="6"/>
    <x v="3"/>
    <x v="1"/>
    <x v="1"/>
    <x v="1"/>
    <x v="0"/>
    <n v="6"/>
    <x v="11"/>
    <n v="30000"/>
    <n v="6"/>
    <n v="180000"/>
    <n v="190.46"/>
    <x v="2"/>
    <x v="1"/>
  </r>
  <r>
    <s v="CUST0471"/>
    <n v="1"/>
    <s v="Sade Wagner"/>
    <x v="0"/>
    <n v="57"/>
    <x v="3"/>
    <x v="20"/>
    <x v="0"/>
    <x v="0"/>
    <x v="2"/>
    <x v="2"/>
    <x v="2"/>
    <n v="46"/>
    <x v="6"/>
    <n v="9000"/>
    <n v="4"/>
    <n v="36000"/>
    <n v="51.96"/>
    <x v="2"/>
    <x v="1"/>
  </r>
  <r>
    <s v="CUST0471"/>
    <n v="0"/>
    <s v="Sade Wagner"/>
    <x v="0"/>
    <n v="57"/>
    <x v="3"/>
    <x v="20"/>
    <x v="1"/>
    <x v="0"/>
    <x v="2"/>
    <x v="2"/>
    <x v="2"/>
    <n v="46"/>
    <x v="16"/>
    <n v="900"/>
    <n v="20"/>
    <n v="18000"/>
    <n v="40.909999999999997"/>
    <x v="2"/>
    <x v="1"/>
  </r>
  <r>
    <s v="CUST0472"/>
    <n v="1"/>
    <s v="Halima Adams"/>
    <x v="1"/>
    <n v="79"/>
    <x v="4"/>
    <x v="28"/>
    <x v="1"/>
    <x v="1"/>
    <x v="1"/>
    <x v="1"/>
    <x v="3"/>
    <n v="8"/>
    <x v="16"/>
    <n v="900"/>
    <n v="8"/>
    <n v="7200"/>
    <n v="81.8"/>
    <x v="2"/>
    <x v="1"/>
  </r>
  <r>
    <s v="CUST0472"/>
    <n v="0"/>
    <s v="Halima Adams"/>
    <x v="1"/>
    <n v="79"/>
    <x v="4"/>
    <x v="28"/>
    <x v="3"/>
    <x v="1"/>
    <x v="1"/>
    <x v="1"/>
    <x v="3"/>
    <n v="8"/>
    <x v="4"/>
    <n v="9000"/>
    <n v="19"/>
    <n v="171000"/>
    <n v="54.2"/>
    <x v="2"/>
    <x v="1"/>
  </r>
  <r>
    <s v="CUST0472"/>
    <n v="0"/>
    <s v="Halima Adams"/>
    <x v="1"/>
    <n v="79"/>
    <x v="4"/>
    <x v="28"/>
    <x v="0"/>
    <x v="1"/>
    <x v="1"/>
    <x v="1"/>
    <x v="3"/>
    <n v="8"/>
    <x v="9"/>
    <n v="16000"/>
    <n v="18"/>
    <n v="288000"/>
    <n v="49.64"/>
    <x v="2"/>
    <x v="1"/>
  </r>
  <r>
    <s v="CUST0473"/>
    <n v="1"/>
    <s v="Amaka Jackson"/>
    <x v="2"/>
    <n v="54"/>
    <x v="3"/>
    <x v="15"/>
    <x v="0"/>
    <x v="1"/>
    <x v="0"/>
    <x v="0"/>
    <x v="0"/>
    <n v="6"/>
    <x v="0"/>
    <n v="35000"/>
    <n v="18"/>
    <n v="630000"/>
    <n v="192.29"/>
    <x v="2"/>
    <x v="1"/>
  </r>
  <r>
    <s v="CUST0474"/>
    <n v="1"/>
    <s v="Alabo Moreno"/>
    <x v="1"/>
    <n v="21"/>
    <x v="0"/>
    <x v="34"/>
    <x v="2"/>
    <x v="1"/>
    <x v="0"/>
    <x v="0"/>
    <x v="2"/>
    <n v="54"/>
    <x v="17"/>
    <n v="75000"/>
    <n v="7"/>
    <n v="525000"/>
    <n v="199.85"/>
    <x v="5"/>
    <x v="0"/>
  </r>
  <r>
    <s v="CUST0474"/>
    <n v="0"/>
    <s v="Alabo Moreno"/>
    <x v="1"/>
    <n v="21"/>
    <x v="0"/>
    <x v="34"/>
    <x v="1"/>
    <x v="1"/>
    <x v="0"/>
    <x v="0"/>
    <x v="2"/>
    <n v="54"/>
    <x v="20"/>
    <n v="6500"/>
    <n v="6"/>
    <n v="39000"/>
    <n v="56.62"/>
    <x v="5"/>
    <x v="0"/>
  </r>
  <r>
    <s v="CUST0475"/>
    <n v="1"/>
    <s v="David Park"/>
    <x v="0"/>
    <n v="24"/>
    <x v="0"/>
    <x v="24"/>
    <x v="1"/>
    <x v="0"/>
    <x v="0"/>
    <x v="0"/>
    <x v="2"/>
    <n v="26"/>
    <x v="20"/>
    <n v="6500"/>
    <n v="11"/>
    <n v="71500"/>
    <n v="191.5"/>
    <x v="2"/>
    <x v="1"/>
  </r>
  <r>
    <s v="CUST0475"/>
    <n v="0"/>
    <s v="David Park"/>
    <x v="0"/>
    <n v="24"/>
    <x v="0"/>
    <x v="24"/>
    <x v="3"/>
    <x v="0"/>
    <x v="0"/>
    <x v="0"/>
    <x v="2"/>
    <n v="26"/>
    <x v="11"/>
    <n v="30000"/>
    <n v="15"/>
    <n v="450000"/>
    <n v="127.22"/>
    <x v="2"/>
    <x v="1"/>
  </r>
  <r>
    <s v="CUST0476"/>
    <n v="1"/>
    <s v="Zainab Lam"/>
    <x v="0"/>
    <n v="47"/>
    <x v="3"/>
    <x v="32"/>
    <x v="0"/>
    <x v="1"/>
    <x v="3"/>
    <x v="3"/>
    <x v="1"/>
    <n v="14"/>
    <x v="0"/>
    <n v="35000"/>
    <n v="1"/>
    <n v="35000"/>
    <n v="1.35"/>
    <x v="2"/>
    <x v="1"/>
  </r>
  <r>
    <s v="CUST0476"/>
    <n v="0"/>
    <s v="Zainab Lam"/>
    <x v="0"/>
    <n v="47"/>
    <x v="3"/>
    <x v="32"/>
    <x v="2"/>
    <x v="1"/>
    <x v="3"/>
    <x v="3"/>
    <x v="1"/>
    <n v="14"/>
    <x v="11"/>
    <n v="30000"/>
    <n v="16"/>
    <n v="480000"/>
    <n v="82.93"/>
    <x v="2"/>
    <x v="1"/>
  </r>
  <r>
    <s v="CUST0476"/>
    <n v="0"/>
    <s v="Zainab Lam"/>
    <x v="0"/>
    <n v="47"/>
    <x v="3"/>
    <x v="32"/>
    <x v="3"/>
    <x v="1"/>
    <x v="3"/>
    <x v="3"/>
    <x v="1"/>
    <n v="14"/>
    <x v="12"/>
    <n v="14500"/>
    <n v="3"/>
    <n v="43500"/>
    <n v="107.86"/>
    <x v="2"/>
    <x v="1"/>
  </r>
  <r>
    <s v="CUST0478"/>
    <n v="1"/>
    <s v="Ifeanyi Ballard"/>
    <x v="0"/>
    <n v="75"/>
    <x v="4"/>
    <x v="3"/>
    <x v="2"/>
    <x v="0"/>
    <x v="0"/>
    <x v="0"/>
    <x v="2"/>
    <n v="29"/>
    <x v="2"/>
    <n v="20000"/>
    <n v="10"/>
    <n v="200000"/>
    <n v="163.35"/>
    <x v="2"/>
    <x v="1"/>
  </r>
  <r>
    <s v="CUST0478"/>
    <n v="0"/>
    <s v="Ifeanyi Ballard"/>
    <x v="0"/>
    <n v="75"/>
    <x v="4"/>
    <x v="3"/>
    <x v="3"/>
    <x v="0"/>
    <x v="0"/>
    <x v="0"/>
    <x v="2"/>
    <n v="29"/>
    <x v="2"/>
    <n v="20000"/>
    <n v="16"/>
    <n v="320000"/>
    <n v="47.23"/>
    <x v="2"/>
    <x v="1"/>
  </r>
  <r>
    <s v="CUST0479"/>
    <n v="1"/>
    <s v="Ejiro Stewart"/>
    <x v="2"/>
    <n v="20"/>
    <x v="0"/>
    <x v="29"/>
    <x v="1"/>
    <x v="1"/>
    <x v="1"/>
    <x v="1"/>
    <x v="2"/>
    <n v="58"/>
    <x v="20"/>
    <n v="6500"/>
    <n v="18"/>
    <n v="117000"/>
    <n v="99.06"/>
    <x v="1"/>
    <x v="0"/>
  </r>
  <r>
    <s v="CUST0479"/>
    <n v="0"/>
    <s v="Ejiro Stewart"/>
    <x v="2"/>
    <n v="20"/>
    <x v="0"/>
    <x v="29"/>
    <x v="3"/>
    <x v="1"/>
    <x v="1"/>
    <x v="1"/>
    <x v="2"/>
    <n v="58"/>
    <x v="2"/>
    <n v="20000"/>
    <n v="19"/>
    <n v="380000"/>
    <n v="132.13999999999999"/>
    <x v="1"/>
    <x v="0"/>
  </r>
  <r>
    <s v="CUST0479"/>
    <n v="0"/>
    <s v="Ejiro Stewart"/>
    <x v="2"/>
    <n v="20"/>
    <x v="0"/>
    <x v="29"/>
    <x v="0"/>
    <x v="1"/>
    <x v="1"/>
    <x v="1"/>
    <x v="2"/>
    <n v="58"/>
    <x v="5"/>
    <n v="4500"/>
    <n v="5"/>
    <n v="22500"/>
    <n v="13.54"/>
    <x v="1"/>
    <x v="0"/>
  </r>
  <r>
    <s v="CUST0480"/>
    <n v="1"/>
    <s v="Kunle Goodwin"/>
    <x v="1"/>
    <n v="32"/>
    <x v="2"/>
    <x v="22"/>
    <x v="2"/>
    <x v="0"/>
    <x v="0"/>
    <x v="0"/>
    <x v="2"/>
    <n v="57"/>
    <x v="8"/>
    <n v="150000"/>
    <n v="14"/>
    <n v="2100000"/>
    <n v="0.89"/>
    <x v="2"/>
    <x v="1"/>
  </r>
  <r>
    <s v="CUST0481"/>
    <n v="1"/>
    <s v="Sade Reed"/>
    <x v="0"/>
    <n v="57"/>
    <x v="3"/>
    <x v="0"/>
    <x v="3"/>
    <x v="1"/>
    <x v="3"/>
    <x v="3"/>
    <x v="1"/>
    <n v="18"/>
    <x v="2"/>
    <n v="20000"/>
    <n v="14"/>
    <n v="280000"/>
    <n v="9.8699999999999992"/>
    <x v="2"/>
    <x v="1"/>
  </r>
  <r>
    <s v="CUST0481"/>
    <n v="0"/>
    <s v="Sade Reed"/>
    <x v="0"/>
    <n v="57"/>
    <x v="3"/>
    <x v="0"/>
    <x v="2"/>
    <x v="1"/>
    <x v="3"/>
    <x v="3"/>
    <x v="1"/>
    <n v="18"/>
    <x v="8"/>
    <n v="150000"/>
    <n v="13"/>
    <n v="1950000"/>
    <n v="63.59"/>
    <x v="2"/>
    <x v="1"/>
  </r>
  <r>
    <s v="CUST0482"/>
    <n v="1"/>
    <s v="Bala Gibson"/>
    <x v="2"/>
    <n v="58"/>
    <x v="3"/>
    <x v="33"/>
    <x v="0"/>
    <x v="0"/>
    <x v="4"/>
    <x v="4"/>
    <x v="2"/>
    <n v="48"/>
    <x v="5"/>
    <n v="4500"/>
    <n v="3"/>
    <n v="13500"/>
    <n v="66.180000000000007"/>
    <x v="2"/>
    <x v="1"/>
  </r>
  <r>
    <s v="CUST0484"/>
    <n v="1"/>
    <s v="Ngozi Chan"/>
    <x v="0"/>
    <n v="76"/>
    <x v="4"/>
    <x v="7"/>
    <x v="3"/>
    <x v="1"/>
    <x v="2"/>
    <x v="2"/>
    <x v="2"/>
    <n v="54"/>
    <x v="10"/>
    <n v="24000"/>
    <n v="4"/>
    <n v="96000"/>
    <n v="124.1"/>
    <x v="2"/>
    <x v="1"/>
  </r>
  <r>
    <s v="CUST0485"/>
    <n v="1"/>
    <s v="Alabo Anderson"/>
    <x v="0"/>
    <n v="31"/>
    <x v="2"/>
    <x v="33"/>
    <x v="3"/>
    <x v="0"/>
    <x v="4"/>
    <x v="4"/>
    <x v="2"/>
    <n v="59"/>
    <x v="12"/>
    <n v="14500"/>
    <n v="20"/>
    <n v="290000"/>
    <n v="11.43"/>
    <x v="2"/>
    <x v="1"/>
  </r>
  <r>
    <s v="CUST0485"/>
    <n v="0"/>
    <s v="Alabo Anderson"/>
    <x v="0"/>
    <n v="31"/>
    <x v="2"/>
    <x v="33"/>
    <x v="1"/>
    <x v="0"/>
    <x v="4"/>
    <x v="4"/>
    <x v="2"/>
    <n v="59"/>
    <x v="15"/>
    <n v="7500"/>
    <n v="2"/>
    <n v="15000"/>
    <n v="13.63"/>
    <x v="2"/>
    <x v="1"/>
  </r>
  <r>
    <s v="CUST0485"/>
    <n v="0"/>
    <s v="Alabo Anderson"/>
    <x v="0"/>
    <n v="31"/>
    <x v="2"/>
    <x v="33"/>
    <x v="2"/>
    <x v="0"/>
    <x v="4"/>
    <x v="4"/>
    <x v="2"/>
    <n v="59"/>
    <x v="4"/>
    <n v="9000"/>
    <n v="13"/>
    <n v="117000"/>
    <n v="59.34"/>
    <x v="2"/>
    <x v="1"/>
  </r>
  <r>
    <s v="CUST0486"/>
    <n v="1"/>
    <s v="Tamuno Hudson"/>
    <x v="0"/>
    <n v="28"/>
    <x v="0"/>
    <x v="15"/>
    <x v="3"/>
    <x v="0"/>
    <x v="4"/>
    <x v="4"/>
    <x v="2"/>
    <n v="56"/>
    <x v="4"/>
    <n v="9000"/>
    <n v="11"/>
    <n v="99000"/>
    <n v="91.09"/>
    <x v="2"/>
    <x v="1"/>
  </r>
  <r>
    <s v="CUST0486"/>
    <n v="0"/>
    <s v="Tamuno Hudson"/>
    <x v="0"/>
    <n v="28"/>
    <x v="0"/>
    <x v="15"/>
    <x v="0"/>
    <x v="0"/>
    <x v="4"/>
    <x v="4"/>
    <x v="2"/>
    <n v="56"/>
    <x v="5"/>
    <n v="4500"/>
    <n v="1"/>
    <n v="4500"/>
    <n v="22.05"/>
    <x v="2"/>
    <x v="1"/>
  </r>
  <r>
    <s v="CUST0487"/>
    <n v="1"/>
    <s v="Kunle Gilmore"/>
    <x v="0"/>
    <n v="40"/>
    <x v="2"/>
    <x v="21"/>
    <x v="0"/>
    <x v="1"/>
    <x v="4"/>
    <x v="4"/>
    <x v="1"/>
    <n v="23"/>
    <x v="5"/>
    <n v="4500"/>
    <n v="2"/>
    <n v="9000"/>
    <n v="159.51"/>
    <x v="2"/>
    <x v="1"/>
  </r>
  <r>
    <s v="CUST0487"/>
    <n v="0"/>
    <s v="Kunle Gilmore"/>
    <x v="0"/>
    <n v="40"/>
    <x v="2"/>
    <x v="21"/>
    <x v="3"/>
    <x v="1"/>
    <x v="4"/>
    <x v="4"/>
    <x v="1"/>
    <n v="23"/>
    <x v="2"/>
    <n v="20000"/>
    <n v="14"/>
    <n v="280000"/>
    <n v="62.68"/>
    <x v="2"/>
    <x v="1"/>
  </r>
  <r>
    <s v="CUST0488"/>
    <n v="1"/>
    <s v="Michael Jones"/>
    <x v="0"/>
    <n v="61"/>
    <x v="4"/>
    <x v="24"/>
    <x v="2"/>
    <x v="0"/>
    <x v="2"/>
    <x v="2"/>
    <x v="3"/>
    <n v="10"/>
    <x v="11"/>
    <n v="30000"/>
    <n v="17"/>
    <n v="510000"/>
    <n v="11.93"/>
    <x v="2"/>
    <x v="1"/>
  </r>
  <r>
    <s v="CUST0488"/>
    <n v="0"/>
    <s v="Michael Jones"/>
    <x v="0"/>
    <n v="61"/>
    <x v="4"/>
    <x v="24"/>
    <x v="3"/>
    <x v="0"/>
    <x v="2"/>
    <x v="2"/>
    <x v="3"/>
    <n v="10"/>
    <x v="10"/>
    <n v="24000"/>
    <n v="14"/>
    <n v="336000"/>
    <n v="171.81"/>
    <x v="2"/>
    <x v="1"/>
  </r>
  <r>
    <s v="CUST0489"/>
    <n v="1"/>
    <s v="Oghene Wilson"/>
    <x v="0"/>
    <n v="41"/>
    <x v="2"/>
    <x v="18"/>
    <x v="1"/>
    <x v="0"/>
    <x v="2"/>
    <x v="2"/>
    <x v="2"/>
    <n v="51"/>
    <x v="7"/>
    <n v="3500"/>
    <n v="14"/>
    <n v="49000"/>
    <n v="123.41"/>
    <x v="5"/>
    <x v="0"/>
  </r>
  <r>
    <s v="CUST0489"/>
    <n v="0"/>
    <s v="Oghene Wilson"/>
    <x v="0"/>
    <n v="41"/>
    <x v="2"/>
    <x v="18"/>
    <x v="2"/>
    <x v="0"/>
    <x v="2"/>
    <x v="2"/>
    <x v="2"/>
    <n v="51"/>
    <x v="18"/>
    <n v="25000"/>
    <n v="15"/>
    <n v="375000"/>
    <n v="32.869999999999997"/>
    <x v="5"/>
    <x v="0"/>
  </r>
  <r>
    <s v="CUST0489"/>
    <n v="0"/>
    <s v="Oghene Wilson"/>
    <x v="0"/>
    <n v="41"/>
    <x v="2"/>
    <x v="18"/>
    <x v="0"/>
    <x v="0"/>
    <x v="2"/>
    <x v="2"/>
    <x v="2"/>
    <n v="51"/>
    <x v="9"/>
    <n v="16000"/>
    <n v="1"/>
    <n v="16000"/>
    <n v="99.44"/>
    <x v="5"/>
    <x v="0"/>
  </r>
  <r>
    <s v="CUST0490"/>
    <n v="1"/>
    <s v="Nura Cox"/>
    <x v="0"/>
    <n v="45"/>
    <x v="3"/>
    <x v="2"/>
    <x v="0"/>
    <x v="0"/>
    <x v="2"/>
    <x v="2"/>
    <x v="1"/>
    <n v="16"/>
    <x v="5"/>
    <n v="4500"/>
    <n v="1"/>
    <n v="4500"/>
    <n v="165.3"/>
    <x v="2"/>
    <x v="1"/>
  </r>
  <r>
    <s v="CUST0490"/>
    <n v="0"/>
    <s v="Nura Cox"/>
    <x v="0"/>
    <n v="45"/>
    <x v="3"/>
    <x v="2"/>
    <x v="1"/>
    <x v="0"/>
    <x v="2"/>
    <x v="2"/>
    <x v="1"/>
    <n v="16"/>
    <x v="7"/>
    <n v="3500"/>
    <n v="12"/>
    <n v="42000"/>
    <n v="2.4700000000000002"/>
    <x v="2"/>
    <x v="1"/>
  </r>
  <r>
    <s v="CUST0491"/>
    <n v="1"/>
    <s v="Funke Smith"/>
    <x v="2"/>
    <n v="30"/>
    <x v="2"/>
    <x v="5"/>
    <x v="3"/>
    <x v="1"/>
    <x v="3"/>
    <x v="3"/>
    <x v="2"/>
    <n v="29"/>
    <x v="2"/>
    <n v="20000"/>
    <n v="6"/>
    <n v="120000"/>
    <n v="39.97"/>
    <x v="2"/>
    <x v="1"/>
  </r>
  <r>
    <s v="CUST0491"/>
    <n v="0"/>
    <s v="Funke Smith"/>
    <x v="2"/>
    <n v="30"/>
    <x v="2"/>
    <x v="5"/>
    <x v="1"/>
    <x v="1"/>
    <x v="3"/>
    <x v="3"/>
    <x v="2"/>
    <n v="29"/>
    <x v="13"/>
    <n v="350"/>
    <n v="6"/>
    <n v="2100"/>
    <n v="177.13"/>
    <x v="2"/>
    <x v="1"/>
  </r>
  <r>
    <s v="CUST0492"/>
    <n v="1"/>
    <s v="Tega Kim"/>
    <x v="2"/>
    <n v="47"/>
    <x v="3"/>
    <x v="20"/>
    <x v="0"/>
    <x v="0"/>
    <x v="2"/>
    <x v="2"/>
    <x v="0"/>
    <n v="2"/>
    <x v="0"/>
    <n v="35000"/>
    <n v="4"/>
    <n v="140000"/>
    <n v="131.15"/>
    <x v="2"/>
    <x v="1"/>
  </r>
  <r>
    <s v="CUST0493"/>
    <n v="1"/>
    <s v="Tega Fischer"/>
    <x v="1"/>
    <n v="42"/>
    <x v="2"/>
    <x v="24"/>
    <x v="1"/>
    <x v="1"/>
    <x v="2"/>
    <x v="2"/>
    <x v="1"/>
    <n v="16"/>
    <x v="14"/>
    <n v="1000"/>
    <n v="5"/>
    <n v="5000"/>
    <n v="29.31"/>
    <x v="2"/>
    <x v="1"/>
  </r>
  <r>
    <s v="CUST0493"/>
    <n v="0"/>
    <s v="Tega Fischer"/>
    <x v="1"/>
    <n v="42"/>
    <x v="2"/>
    <x v="24"/>
    <x v="2"/>
    <x v="1"/>
    <x v="2"/>
    <x v="2"/>
    <x v="1"/>
    <n v="16"/>
    <x v="12"/>
    <n v="14500"/>
    <n v="13"/>
    <n v="188500"/>
    <n v="38.74"/>
    <x v="2"/>
    <x v="1"/>
  </r>
  <r>
    <s v="CUST0493"/>
    <n v="0"/>
    <s v="Tega Fischer"/>
    <x v="1"/>
    <n v="42"/>
    <x v="2"/>
    <x v="24"/>
    <x v="3"/>
    <x v="1"/>
    <x v="2"/>
    <x v="2"/>
    <x v="1"/>
    <n v="16"/>
    <x v="11"/>
    <n v="30000"/>
    <n v="14"/>
    <n v="420000"/>
    <n v="63.93"/>
    <x v="2"/>
    <x v="1"/>
  </r>
  <r>
    <s v="CUST0494"/>
    <n v="1"/>
    <s v="Halima Martin"/>
    <x v="2"/>
    <n v="21"/>
    <x v="0"/>
    <x v="18"/>
    <x v="0"/>
    <x v="1"/>
    <x v="2"/>
    <x v="2"/>
    <x v="2"/>
    <n v="51"/>
    <x v="0"/>
    <n v="35000"/>
    <n v="3"/>
    <n v="105000"/>
    <n v="42.24"/>
    <x v="7"/>
    <x v="0"/>
  </r>
  <r>
    <s v="CUST0494"/>
    <n v="0"/>
    <s v="Halima Martin"/>
    <x v="2"/>
    <n v="21"/>
    <x v="0"/>
    <x v="18"/>
    <x v="2"/>
    <x v="1"/>
    <x v="2"/>
    <x v="2"/>
    <x v="2"/>
    <n v="51"/>
    <x v="8"/>
    <n v="150000"/>
    <n v="20"/>
    <n v="3000000"/>
    <n v="158.30000000000001"/>
    <x v="7"/>
    <x v="0"/>
  </r>
  <r>
    <s v="CUST0495"/>
    <n v="1"/>
    <s v="Kunle Brown"/>
    <x v="1"/>
    <n v="37"/>
    <x v="2"/>
    <x v="28"/>
    <x v="2"/>
    <x v="1"/>
    <x v="4"/>
    <x v="4"/>
    <x v="2"/>
    <n v="49"/>
    <x v="18"/>
    <n v="25000"/>
    <n v="16"/>
    <n v="400000"/>
    <n v="105.33"/>
    <x v="2"/>
    <x v="1"/>
  </r>
  <r>
    <s v="CUST0496"/>
    <n v="1"/>
    <s v="Grace Matthews"/>
    <x v="0"/>
    <n v="76"/>
    <x v="4"/>
    <x v="29"/>
    <x v="0"/>
    <x v="1"/>
    <x v="0"/>
    <x v="0"/>
    <x v="2"/>
    <n v="41"/>
    <x v="5"/>
    <n v="4500"/>
    <n v="13"/>
    <n v="58500"/>
    <n v="61.55"/>
    <x v="6"/>
    <x v="0"/>
  </r>
  <r>
    <s v="CUST0496"/>
    <n v="0"/>
    <s v="Grace Matthews"/>
    <x v="0"/>
    <n v="76"/>
    <x v="4"/>
    <x v="29"/>
    <x v="1"/>
    <x v="1"/>
    <x v="0"/>
    <x v="0"/>
    <x v="2"/>
    <n v="41"/>
    <x v="19"/>
    <n v="600"/>
    <n v="12"/>
    <n v="7200"/>
    <n v="187.13"/>
    <x v="6"/>
    <x v="0"/>
  </r>
  <r>
    <s v="CUST0497"/>
    <n v="1"/>
    <s v="Saidu Baker"/>
    <x v="0"/>
    <n v="26"/>
    <x v="0"/>
    <x v="21"/>
    <x v="3"/>
    <x v="0"/>
    <x v="3"/>
    <x v="3"/>
    <x v="1"/>
    <n v="19"/>
    <x v="12"/>
    <n v="14500"/>
    <n v="14"/>
    <n v="203000"/>
    <n v="90.5"/>
    <x v="2"/>
    <x v="1"/>
  </r>
  <r>
    <s v="CUST0497"/>
    <n v="0"/>
    <s v="Saidu Baker"/>
    <x v="0"/>
    <n v="26"/>
    <x v="0"/>
    <x v="21"/>
    <x v="0"/>
    <x v="0"/>
    <x v="3"/>
    <x v="3"/>
    <x v="1"/>
    <n v="19"/>
    <x v="0"/>
    <n v="35000"/>
    <n v="16"/>
    <n v="560000"/>
    <n v="73.819999999999993"/>
    <x v="2"/>
    <x v="1"/>
  </r>
  <r>
    <s v="CUST0497"/>
    <n v="0"/>
    <s v="Saidu Baker"/>
    <x v="0"/>
    <n v="26"/>
    <x v="0"/>
    <x v="21"/>
    <x v="2"/>
    <x v="0"/>
    <x v="3"/>
    <x v="3"/>
    <x v="1"/>
    <n v="19"/>
    <x v="18"/>
    <n v="25000"/>
    <n v="1"/>
    <n v="25000"/>
    <n v="54.97"/>
    <x v="2"/>
    <x v="1"/>
  </r>
  <r>
    <s v="CUST0498"/>
    <n v="1"/>
    <s v="Shehu Harris"/>
    <x v="0"/>
    <n v="72"/>
    <x v="4"/>
    <x v="16"/>
    <x v="3"/>
    <x v="1"/>
    <x v="2"/>
    <x v="2"/>
    <x v="2"/>
    <n v="42"/>
    <x v="2"/>
    <n v="20000"/>
    <n v="3"/>
    <n v="60000"/>
    <n v="20.13"/>
    <x v="2"/>
    <x v="1"/>
  </r>
  <r>
    <s v="CUST0498"/>
    <n v="0"/>
    <s v="Shehu Harris"/>
    <x v="0"/>
    <n v="72"/>
    <x v="4"/>
    <x v="16"/>
    <x v="0"/>
    <x v="1"/>
    <x v="2"/>
    <x v="2"/>
    <x v="2"/>
    <n v="42"/>
    <x v="6"/>
    <n v="9000"/>
    <n v="7"/>
    <n v="63000"/>
    <n v="8.14"/>
    <x v="2"/>
    <x v="1"/>
  </r>
  <r>
    <s v="CUST0499"/>
    <n v="1"/>
    <s v="Tega Hood"/>
    <x v="1"/>
    <n v="41"/>
    <x v="2"/>
    <x v="26"/>
    <x v="2"/>
    <x v="1"/>
    <x v="0"/>
    <x v="0"/>
    <x v="1"/>
    <n v="20"/>
    <x v="4"/>
    <n v="9000"/>
    <n v="10"/>
    <n v="90000"/>
    <n v="154.13"/>
    <x v="2"/>
    <x v="1"/>
  </r>
  <r>
    <s v="CUST0500"/>
    <n v="1"/>
    <s v="Oghene Hamilton"/>
    <x v="2"/>
    <n v="67"/>
    <x v="4"/>
    <x v="10"/>
    <x v="0"/>
    <x v="0"/>
    <x v="4"/>
    <x v="4"/>
    <x v="2"/>
    <n v="31"/>
    <x v="0"/>
    <n v="35000"/>
    <n v="15"/>
    <n v="525000"/>
    <n v="144.63999999999999"/>
    <x v="7"/>
    <x v="0"/>
  </r>
  <r>
    <s v="CUST0500"/>
    <n v="0"/>
    <s v="Oghene Hamilton"/>
    <x v="2"/>
    <n v="67"/>
    <x v="4"/>
    <x v="10"/>
    <x v="1"/>
    <x v="0"/>
    <x v="4"/>
    <x v="4"/>
    <x v="2"/>
    <n v="31"/>
    <x v="7"/>
    <n v="3500"/>
    <n v="11"/>
    <n v="38500"/>
    <n v="158.49"/>
    <x v="7"/>
    <x v="0"/>
  </r>
  <r>
    <s v="CUST0500"/>
    <n v="0"/>
    <s v="Oghene Hamilton"/>
    <x v="2"/>
    <n v="67"/>
    <x v="4"/>
    <x v="10"/>
    <x v="3"/>
    <x v="0"/>
    <x v="4"/>
    <x v="4"/>
    <x v="2"/>
    <n v="31"/>
    <x v="2"/>
    <n v="20000"/>
    <n v="14"/>
    <n v="280000"/>
    <n v="86.04"/>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872C00-2B83-4316-B778-8A76B8596F9C}" name="dont use piv0t "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6:B77" firstHeaderRow="1" firstDataRow="2" firstDataCol="1"/>
  <pivotFields count="22">
    <pivotField dataField="1" showAll="0"/>
    <pivotField showAll="0"/>
    <pivotField showAll="0"/>
    <pivotField showAll="0">
      <items count="4">
        <item x="0"/>
        <item x="2"/>
        <item x="1"/>
        <item t="default"/>
      </items>
    </pivotField>
    <pivotField showAll="0"/>
    <pivotField showAll="0">
      <items count="10">
        <item m="1" x="7"/>
        <item m="1" x="8"/>
        <item m="1" x="6"/>
        <item m="1" x="5"/>
        <item x="0"/>
        <item x="1"/>
        <item x="2"/>
        <item x="3"/>
        <item x="4"/>
        <item t="default"/>
      </items>
    </pivotField>
    <pivotField axis="axisRow" showAll="0" measureFilter="1" sortType="descending">
      <items count="36">
        <item x="24"/>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autoSortScope>
        <pivotArea dataOnly="0" outline="0" fieldPosition="0">
          <references count="2">
            <reference field="4294967294" count="1" selected="0">
              <x v="0"/>
            </reference>
            <reference field="19" count="1" selected="0">
              <x v="1"/>
            </reference>
          </references>
        </pivotArea>
      </autoSortScope>
    </pivotField>
    <pivotField showAll="0" sortType="descending">
      <items count="5">
        <item x="0"/>
        <item x="2"/>
        <item x="3"/>
        <item x="1"/>
        <item t="default"/>
      </items>
      <autoSortScope>
        <pivotArea dataOnly="0" outline="0" fieldPosition="0">
          <references count="2">
            <reference field="4294967294" count="1" selected="0">
              <x v="0"/>
            </reference>
            <reference field="19" count="1" selected="0">
              <x v="1"/>
            </reference>
          </references>
        </pivotArea>
      </autoSortScope>
    </pivotField>
    <pivotField showAll="0"/>
    <pivotField showAll="0">
      <items count="6">
        <item x="1"/>
        <item x="0"/>
        <item x="2"/>
        <item x="4"/>
        <item x="3"/>
        <item t="default"/>
      </items>
    </pivotField>
    <pivotField showAll="0"/>
    <pivotField showAll="0"/>
    <pivotField showAll="0"/>
    <pivotField showAll="0"/>
    <pivotField showAll="0"/>
    <pivotField showAll="0"/>
    <pivotField showAll="0"/>
    <pivotField showAll="0"/>
    <pivotField showAll="0"/>
    <pivotField axis="axisCol" showAll="0">
      <items count="3">
        <item h="1"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0">
    <i>
      <x v="15"/>
    </i>
    <i>
      <x v="1"/>
    </i>
    <i>
      <x v="20"/>
    </i>
    <i>
      <x v="33"/>
    </i>
    <i>
      <x v="7"/>
    </i>
    <i>
      <x v="25"/>
    </i>
    <i>
      <x v="11"/>
    </i>
    <i>
      <x v="2"/>
    </i>
    <i>
      <x v="3"/>
    </i>
    <i>
      <x v="4"/>
    </i>
  </rowItems>
  <colFields count="1">
    <field x="19"/>
  </colFields>
  <colItems count="1">
    <i>
      <x v="1"/>
    </i>
  </colItems>
  <dataFields count="1">
    <dataField name="Count of Customer ID" fld="0" subtotal="count" baseField="0" baseItem="0"/>
  </dataFields>
  <formats count="10">
    <format dxfId="12">
      <pivotArea field="19" type="button" dataOnly="0" labelOnly="1" outline="0" axis="axisCol" fieldPosition="0"/>
    </format>
    <format dxfId="11">
      <pivotArea dataOnly="0" labelOnly="1" outline="0" axis="axisValues" fieldPosition="0"/>
    </format>
    <format dxfId="10">
      <pivotArea outline="0" collapsedLevelsAreSubtotals="1" fieldPosition="0"/>
    </format>
    <format dxfId="9">
      <pivotArea type="origin" dataOnly="0" labelOnly="1" outline="0" fieldPosition="0"/>
    </format>
    <format dxfId="8">
      <pivotArea field="5" type="button" dataOnly="0" labelOnly="1" outline="0"/>
    </format>
    <format dxfId="7">
      <pivotArea type="topRight" dataOnly="0" labelOnly="1" outline="0" fieldPosition="0"/>
    </format>
    <format dxfId="6">
      <pivotArea field="19" type="button" dataOnly="0" labelOnly="1" outline="0" axis="axisCol" fieldPosition="0"/>
    </format>
    <format dxfId="5">
      <pivotArea field="9" type="button" dataOnly="0" labelOnly="1" outline="0"/>
    </format>
    <format dxfId="4">
      <pivotArea dataOnly="0" labelOnly="1" fieldPosition="0">
        <references count="1">
          <reference field="19" count="0"/>
        </references>
      </pivotArea>
    </format>
    <format dxfId="3">
      <pivotArea field="7" type="button" dataOnly="0" labelOnly="1" outline="0"/>
    </format>
  </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44A72C-63D3-45AE-82AF-773A2C574861}" name="Reason for Churn" cacheId="15"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6">
  <location ref="D10:F17" firstHeaderRow="0" firstDataRow="1" firstDataCol="1"/>
  <pivotFields count="22">
    <pivotField showAll="0"/>
    <pivotField dataField="1" showAll="0"/>
    <pivotField showAll="0"/>
    <pivotField showAll="0">
      <items count="4">
        <item x="0"/>
        <item x="2"/>
        <item x="1"/>
        <item t="default"/>
      </items>
    </pivotField>
    <pivotField showAll="0"/>
    <pivotField showAll="0">
      <items count="10">
        <item x="1"/>
        <item x="0"/>
        <item x="2"/>
        <item x="3"/>
        <item x="4"/>
        <item m="1" x="7"/>
        <item m="1" x="8"/>
        <item m="1" x="6"/>
        <item m="1" x="5"/>
        <item t="default"/>
      </items>
    </pivotField>
    <pivotField showAll="0"/>
    <pivotField showAll="0"/>
    <pivotField showAll="0">
      <items count="3">
        <item x="1"/>
        <item x="0"/>
        <item t="default"/>
      </items>
    </pivotField>
    <pivotField showAll="0"/>
    <pivotField showAll="0"/>
    <pivotField showAll="0">
      <items count="9">
        <item x="0"/>
        <item x="1"/>
        <item x="2"/>
        <item x="3"/>
        <item m="1" x="5"/>
        <item m="1" x="6"/>
        <item m="1" x="4"/>
        <item m="1" x="7"/>
        <item t="default"/>
      </items>
    </pivotField>
    <pivotField showAll="0"/>
    <pivotField showAll="0"/>
    <pivotField showAll="0"/>
    <pivotField showAll="0"/>
    <pivotField showAll="0"/>
    <pivotField showAll="0"/>
    <pivotField axis="axisRow" multipleItemSelectionAllowed="1" showAll="0" sortType="descending">
      <items count="9">
        <item x="1"/>
        <item x="4"/>
        <item x="5"/>
        <item x="7"/>
        <item h="1" x="2"/>
        <item x="6"/>
        <item x="3"/>
        <item x="0"/>
        <item t="default"/>
      </items>
      <autoSortScope>
        <pivotArea dataOnly="0" outline="0" fieldPosition="0">
          <references count="1">
            <reference field="4294967294" count="1" selected="0">
              <x v="0"/>
            </reference>
          </references>
        </pivotArea>
      </autoSortScope>
    </pivotField>
    <pivotField multipleItemSelectionAllowed="1" showAll="0">
      <items count="3">
        <item h="1"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7">
    <i>
      <x/>
    </i>
    <i>
      <x v="3"/>
    </i>
    <i>
      <x v="6"/>
    </i>
    <i>
      <x v="1"/>
    </i>
    <i>
      <x v="2"/>
    </i>
    <i>
      <x v="5"/>
    </i>
    <i>
      <x v="7"/>
    </i>
  </rowItems>
  <colFields count="1">
    <field x="-2"/>
  </colFields>
  <colItems count="2">
    <i>
      <x/>
    </i>
    <i i="1">
      <x v="1"/>
    </i>
  </colItems>
  <dataFields count="2">
    <dataField name="Sum of Unique Customers" fld="1" baseField="0" baseItem="0"/>
    <dataField name="Sum of Unique Customers2" fld="1" baseField="18" baseItem="0" numFmtId="10">
      <extLst>
        <ext xmlns:x14="http://schemas.microsoft.com/office/spreadsheetml/2009/9/main" uri="{E15A36E0-9728-4e99-A89B-3F7291B0FE68}">
          <x14:dataField pivotShowAs="percentOfRunningTotal"/>
        </ext>
      </extLst>
    </dataField>
  </dataFields>
  <formats count="2">
    <format dxfId="14">
      <pivotArea field="19" type="button" dataOnly="0" labelOnly="1" outline="0"/>
    </format>
    <format dxfId="13">
      <pivotArea outline="0" fieldPosition="0">
        <references count="1">
          <reference field="4294967294" count="1">
            <x v="1"/>
          </reference>
        </references>
      </pivotArea>
    </format>
  </formats>
  <chartFormats count="27">
    <chartFormat chart="27" format="37" series="1">
      <pivotArea type="data" outline="0" fieldPosition="0">
        <references count="1">
          <reference field="4294967294" count="1" selected="0">
            <x v="0"/>
          </reference>
        </references>
      </pivotArea>
    </chartFormat>
    <chartFormat chart="27" format="38" series="1">
      <pivotArea type="data" outline="0" fieldPosition="0">
        <references count="1">
          <reference field="4294967294" count="1" selected="0">
            <x v="1"/>
          </reference>
        </references>
      </pivotArea>
    </chartFormat>
    <chartFormat chart="27" format="39">
      <pivotArea type="data" outline="0" fieldPosition="0">
        <references count="2">
          <reference field="4294967294" count="1" selected="0">
            <x v="0"/>
          </reference>
          <reference field="18" count="1" selected="0">
            <x v="0"/>
          </reference>
        </references>
      </pivotArea>
    </chartFormat>
    <chartFormat chart="27" format="40">
      <pivotArea type="data" outline="0" fieldPosition="0">
        <references count="2">
          <reference field="4294967294" count="1" selected="0">
            <x v="0"/>
          </reference>
          <reference field="18" count="1" selected="0">
            <x v="3"/>
          </reference>
        </references>
      </pivotArea>
    </chartFormat>
    <chartFormat chart="27" format="41">
      <pivotArea type="data" outline="0" fieldPosition="0">
        <references count="2">
          <reference field="4294967294" count="1" selected="0">
            <x v="0"/>
          </reference>
          <reference field="18" count="1" selected="0">
            <x v="6"/>
          </reference>
        </references>
      </pivotArea>
    </chartFormat>
    <chartFormat chart="27" format="42">
      <pivotArea type="data" outline="0" fieldPosition="0">
        <references count="2">
          <reference field="4294967294" count="1" selected="0">
            <x v="0"/>
          </reference>
          <reference field="18" count="1" selected="0">
            <x v="1"/>
          </reference>
        </references>
      </pivotArea>
    </chartFormat>
    <chartFormat chart="27" format="43">
      <pivotArea type="data" outline="0" fieldPosition="0">
        <references count="2">
          <reference field="4294967294" count="1" selected="0">
            <x v="0"/>
          </reference>
          <reference field="18" count="1" selected="0">
            <x v="2"/>
          </reference>
        </references>
      </pivotArea>
    </chartFormat>
    <chartFormat chart="27" format="44">
      <pivotArea type="data" outline="0" fieldPosition="0">
        <references count="2">
          <reference field="4294967294" count="1" selected="0">
            <x v="0"/>
          </reference>
          <reference field="18" count="1" selected="0">
            <x v="5"/>
          </reference>
        </references>
      </pivotArea>
    </chartFormat>
    <chartFormat chart="27" format="45">
      <pivotArea type="data" outline="0" fieldPosition="0">
        <references count="2">
          <reference field="4294967294" count="1" selected="0">
            <x v="0"/>
          </reference>
          <reference field="18" count="1" selected="0">
            <x v="7"/>
          </reference>
        </references>
      </pivotArea>
    </chartFormat>
    <chartFormat chart="33" format="55" series="1">
      <pivotArea type="data" outline="0" fieldPosition="0">
        <references count="1">
          <reference field="4294967294" count="1" selected="0">
            <x v="0"/>
          </reference>
        </references>
      </pivotArea>
    </chartFormat>
    <chartFormat chart="33" format="56">
      <pivotArea type="data" outline="0" fieldPosition="0">
        <references count="2">
          <reference field="4294967294" count="1" selected="0">
            <x v="0"/>
          </reference>
          <reference field="18" count="1" selected="0">
            <x v="0"/>
          </reference>
        </references>
      </pivotArea>
    </chartFormat>
    <chartFormat chart="33" format="57">
      <pivotArea type="data" outline="0" fieldPosition="0">
        <references count="2">
          <reference field="4294967294" count="1" selected="0">
            <x v="0"/>
          </reference>
          <reference field="18" count="1" selected="0">
            <x v="3"/>
          </reference>
        </references>
      </pivotArea>
    </chartFormat>
    <chartFormat chart="33" format="58">
      <pivotArea type="data" outline="0" fieldPosition="0">
        <references count="2">
          <reference field="4294967294" count="1" selected="0">
            <x v="0"/>
          </reference>
          <reference field="18" count="1" selected="0">
            <x v="6"/>
          </reference>
        </references>
      </pivotArea>
    </chartFormat>
    <chartFormat chart="33" format="59">
      <pivotArea type="data" outline="0" fieldPosition="0">
        <references count="2">
          <reference field="4294967294" count="1" selected="0">
            <x v="0"/>
          </reference>
          <reference field="18" count="1" selected="0">
            <x v="1"/>
          </reference>
        </references>
      </pivotArea>
    </chartFormat>
    <chartFormat chart="33" format="60">
      <pivotArea type="data" outline="0" fieldPosition="0">
        <references count="2">
          <reference field="4294967294" count="1" selected="0">
            <x v="0"/>
          </reference>
          <reference field="18" count="1" selected="0">
            <x v="2"/>
          </reference>
        </references>
      </pivotArea>
    </chartFormat>
    <chartFormat chart="33" format="61">
      <pivotArea type="data" outline="0" fieldPosition="0">
        <references count="2">
          <reference field="4294967294" count="1" selected="0">
            <x v="0"/>
          </reference>
          <reference field="18" count="1" selected="0">
            <x v="5"/>
          </reference>
        </references>
      </pivotArea>
    </chartFormat>
    <chartFormat chart="33" format="62">
      <pivotArea type="data" outline="0" fieldPosition="0">
        <references count="2">
          <reference field="4294967294" count="1" selected="0">
            <x v="0"/>
          </reference>
          <reference field="18" count="1" selected="0">
            <x v="7"/>
          </reference>
        </references>
      </pivotArea>
    </chartFormat>
    <chartFormat chart="33" format="63" series="1">
      <pivotArea type="data" outline="0" fieldPosition="0">
        <references count="1">
          <reference field="4294967294" count="1" selected="0">
            <x v="1"/>
          </reference>
        </references>
      </pivotArea>
    </chartFormat>
    <chartFormat chart="35" format="55" series="1">
      <pivotArea type="data" outline="0" fieldPosition="0">
        <references count="1">
          <reference field="4294967294" count="1" selected="0">
            <x v="0"/>
          </reference>
        </references>
      </pivotArea>
    </chartFormat>
    <chartFormat chart="35" format="56">
      <pivotArea type="data" outline="0" fieldPosition="0">
        <references count="2">
          <reference field="4294967294" count="1" selected="0">
            <x v="0"/>
          </reference>
          <reference field="18" count="1" selected="0">
            <x v="0"/>
          </reference>
        </references>
      </pivotArea>
    </chartFormat>
    <chartFormat chart="35" format="57">
      <pivotArea type="data" outline="0" fieldPosition="0">
        <references count="2">
          <reference field="4294967294" count="1" selected="0">
            <x v="0"/>
          </reference>
          <reference field="18" count="1" selected="0">
            <x v="3"/>
          </reference>
        </references>
      </pivotArea>
    </chartFormat>
    <chartFormat chart="35" format="58">
      <pivotArea type="data" outline="0" fieldPosition="0">
        <references count="2">
          <reference field="4294967294" count="1" selected="0">
            <x v="0"/>
          </reference>
          <reference field="18" count="1" selected="0">
            <x v="6"/>
          </reference>
        </references>
      </pivotArea>
    </chartFormat>
    <chartFormat chart="35" format="59">
      <pivotArea type="data" outline="0" fieldPosition="0">
        <references count="2">
          <reference field="4294967294" count="1" selected="0">
            <x v="0"/>
          </reference>
          <reference field="18" count="1" selected="0">
            <x v="1"/>
          </reference>
        </references>
      </pivotArea>
    </chartFormat>
    <chartFormat chart="35" format="60">
      <pivotArea type="data" outline="0" fieldPosition="0">
        <references count="2">
          <reference field="4294967294" count="1" selected="0">
            <x v="0"/>
          </reference>
          <reference field="18" count="1" selected="0">
            <x v="2"/>
          </reference>
        </references>
      </pivotArea>
    </chartFormat>
    <chartFormat chart="35" format="61">
      <pivotArea type="data" outline="0" fieldPosition="0">
        <references count="2">
          <reference field="4294967294" count="1" selected="0">
            <x v="0"/>
          </reference>
          <reference field="18" count="1" selected="0">
            <x v="5"/>
          </reference>
        </references>
      </pivotArea>
    </chartFormat>
    <chartFormat chart="35" format="62">
      <pivotArea type="data" outline="0" fieldPosition="0">
        <references count="2">
          <reference field="4294967294" count="1" selected="0">
            <x v="0"/>
          </reference>
          <reference field="18" count="1" selected="0">
            <x v="7"/>
          </reference>
        </references>
      </pivotArea>
    </chartFormat>
    <chartFormat chart="35" format="6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C597AC-64B2-4122-8052-4A3F8B3D607E}" name="Subsription Plan Top 5"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location ref="A96:B101" firstHeaderRow="1" firstDataRow="1" firstDataCol="1" rowPageCount="1" colPageCount="1"/>
  <pivotFields count="22">
    <pivotField showAll="0"/>
    <pivotField showAll="0"/>
    <pivotField showAll="0"/>
    <pivotField showAll="0">
      <items count="4">
        <item x="0"/>
        <item x="2"/>
        <item x="1"/>
        <item t="default"/>
      </items>
    </pivotField>
    <pivotField showAll="0"/>
    <pivotField showAll="0">
      <items count="10">
        <item x="1"/>
        <item x="0"/>
        <item x="2"/>
        <item x="3"/>
        <item x="4"/>
        <item m="1" x="7"/>
        <item m="1" x="8"/>
        <item m="1" x="6"/>
        <item m="1" x="5"/>
        <item t="default"/>
      </items>
    </pivotField>
    <pivotField showAll="0"/>
    <pivotField showAll="0"/>
    <pivotField showAll="0">
      <items count="3">
        <item x="1"/>
        <item x="0"/>
        <item t="default"/>
      </items>
    </pivotField>
    <pivotField showAll="0"/>
    <pivotField showAll="0"/>
    <pivotField showAll="0">
      <items count="9">
        <item x="0"/>
        <item x="1"/>
        <item x="2"/>
        <item x="3"/>
        <item m="1" x="5"/>
        <item m="1" x="6"/>
        <item m="1" x="4"/>
        <item m="1" x="7"/>
        <item t="default"/>
      </items>
    </pivotField>
    <pivotField showAll="0"/>
    <pivotField axis="axisRow" showAll="0" measureFilter="1" sortType="ascending">
      <items count="22">
        <item x="19"/>
        <item x="8"/>
        <item x="5"/>
        <item x="1"/>
        <item x="10"/>
        <item x="2"/>
        <item x="20"/>
        <item x="0"/>
        <item x="3"/>
        <item x="16"/>
        <item x="18"/>
        <item x="15"/>
        <item x="6"/>
        <item x="14"/>
        <item x="11"/>
        <item x="4"/>
        <item x="17"/>
        <item x="13"/>
        <item x="12"/>
        <item x="9"/>
        <item x="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axis="axisPage" multipleItemSelectionAllowed="1" showAll="0">
      <items count="3">
        <item h="1"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5">
    <i>
      <x v="10"/>
    </i>
    <i>
      <x v="16"/>
    </i>
    <i>
      <x v="14"/>
    </i>
    <i>
      <x v="7"/>
    </i>
    <i>
      <x v="1"/>
    </i>
  </rowItems>
  <colItems count="1">
    <i/>
  </colItems>
  <pageFields count="1">
    <pageField fld="19" hier="-1"/>
  </pageFields>
  <dataFields count="1">
    <dataField name="Sum of Total Revenue" fld="16" baseField="0" baseItem="0" numFmtId="166"/>
  </dataFields>
  <formats count="3">
    <format dxfId="17">
      <pivotArea field="19" type="button" dataOnly="0" labelOnly="1" outline="0" axis="axisPage" fieldPosition="0"/>
    </format>
    <format dxfId="16">
      <pivotArea dataOnly="0" labelOnly="1" outline="0" axis="axisValues" fieldPosition="0"/>
    </format>
    <format dxfId="15">
      <pivotArea outline="0" collapsedLevelsAreSubtotals="1" fieldPosition="0"/>
    </format>
  </formats>
  <chartFormats count="14">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3" count="1" selected="0">
            <x v="1"/>
          </reference>
        </references>
      </pivotArea>
    </chartFormat>
    <chartFormat chart="6" format="4">
      <pivotArea type="data" outline="0" fieldPosition="0">
        <references count="2">
          <reference field="4294967294" count="1" selected="0">
            <x v="0"/>
          </reference>
          <reference field="13" count="1" selected="0">
            <x v="7"/>
          </reference>
        </references>
      </pivotArea>
    </chartFormat>
    <chartFormat chart="6" format="5">
      <pivotArea type="data" outline="0" fieldPosition="0">
        <references count="2">
          <reference field="4294967294" count="1" selected="0">
            <x v="0"/>
          </reference>
          <reference field="13" count="1" selected="0">
            <x v="14"/>
          </reference>
        </references>
      </pivotArea>
    </chartFormat>
    <chartFormat chart="6" format="6">
      <pivotArea type="data" outline="0" fieldPosition="0">
        <references count="2">
          <reference field="4294967294" count="1" selected="0">
            <x v="0"/>
          </reference>
          <reference field="13" count="1" selected="0">
            <x v="16"/>
          </reference>
        </references>
      </pivotArea>
    </chartFormat>
    <chartFormat chart="6" format="7">
      <pivotArea type="data" outline="0" fieldPosition="0">
        <references count="2">
          <reference field="4294967294" count="1" selected="0">
            <x v="0"/>
          </reference>
          <reference field="13" count="1" selected="0">
            <x v="10"/>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3" count="1" selected="0">
            <x v="10"/>
          </reference>
        </references>
      </pivotArea>
    </chartFormat>
    <chartFormat chart="8" format="14">
      <pivotArea type="data" outline="0" fieldPosition="0">
        <references count="2">
          <reference field="4294967294" count="1" selected="0">
            <x v="0"/>
          </reference>
          <reference field="13" count="1" selected="0">
            <x v="16"/>
          </reference>
        </references>
      </pivotArea>
    </chartFormat>
    <chartFormat chart="8" format="15">
      <pivotArea type="data" outline="0" fieldPosition="0">
        <references count="2">
          <reference field="4294967294" count="1" selected="0">
            <x v="0"/>
          </reference>
          <reference field="13"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3" count="1" selected="0">
            <x v="10"/>
          </reference>
        </references>
      </pivotArea>
    </chartFormat>
    <chartFormat chart="10" format="14">
      <pivotArea type="data" outline="0" fieldPosition="0">
        <references count="2">
          <reference field="4294967294" count="1" selected="0">
            <x v="0"/>
          </reference>
          <reference field="13" count="1" selected="0">
            <x v="16"/>
          </reference>
        </references>
      </pivotArea>
    </chartFormat>
    <chartFormat chart="10" format="15">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filters count="1">
    <filter fld="1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8BA51C-8754-4255-994B-9A8879594C3C}" name="Customer Review"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7">
  <location ref="A49:C56" firstHeaderRow="1" firstDataRow="3" firstDataCol="1"/>
  <pivotFields count="22">
    <pivotField showAll="0"/>
    <pivotField dataField="1" showAll="0"/>
    <pivotField showAll="0"/>
    <pivotField showAll="0">
      <items count="4">
        <item x="0"/>
        <item x="2"/>
        <item x="1"/>
        <item t="default"/>
      </items>
    </pivotField>
    <pivotField showAll="0"/>
    <pivotField showAll="0">
      <items count="10">
        <item m="1" x="7"/>
        <item m="1" x="8"/>
        <item m="1" x="6"/>
        <item m="1" x="5"/>
        <item x="0"/>
        <item x="1"/>
        <item x="2"/>
        <item x="3"/>
        <item x="4"/>
        <item t="default"/>
      </items>
    </pivotField>
    <pivotField showAll="0"/>
    <pivotField showAll="0"/>
    <pivotField showAll="0">
      <items count="3">
        <item x="1"/>
        <item x="0"/>
        <item t="default"/>
      </items>
    </pivotField>
    <pivotField showAll="0">
      <items count="6">
        <item x="1"/>
        <item x="0"/>
        <item x="2"/>
        <item x="4"/>
        <item x="3"/>
        <item t="default"/>
      </items>
    </pivotField>
    <pivotField axis="axisRow" showAll="0" sortType="descending">
      <items count="6">
        <item x="3"/>
        <item x="0"/>
        <item x="2"/>
        <item x="1"/>
        <item x="4"/>
        <item t="default"/>
      </items>
      <autoSortScope>
        <pivotArea dataOnly="0" outline="0" fieldPosition="0">
          <references count="2">
            <reference field="4294967294" count="1" selected="0">
              <x v="0"/>
            </reference>
            <reference field="19" count="1" selected="0">
              <x v="1"/>
            </reference>
          </references>
        </pivotArea>
      </autoSortScope>
    </pivotField>
    <pivotField showAll="0">
      <items count="9">
        <item x="0"/>
        <item x="1"/>
        <item x="2"/>
        <item x="3"/>
        <item m="1" x="5"/>
        <item m="1" x="6"/>
        <item m="1" x="4"/>
        <item m="1" x="7"/>
        <item t="default"/>
      </items>
    </pivotField>
    <pivotField showAll="0"/>
    <pivotField showAll="0"/>
    <pivotField showAll="0"/>
    <pivotField showAll="0"/>
    <pivotField showAll="0"/>
    <pivotField showAll="0"/>
    <pivotField showAll="0"/>
    <pivotField axis="axisCol" showAll="0">
      <items count="3">
        <item h="1"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v="4"/>
    </i>
    <i>
      <x/>
    </i>
    <i>
      <x v="1"/>
    </i>
    <i>
      <x v="2"/>
    </i>
    <i>
      <x v="3"/>
    </i>
  </rowItems>
  <colFields count="2">
    <field x="19"/>
    <field x="-2"/>
  </colFields>
  <colItems count="2">
    <i>
      <x v="1"/>
      <x/>
    </i>
    <i r="1" i="1">
      <x v="1"/>
    </i>
  </colItems>
  <dataFields count="2">
    <dataField name="Sum of Unique Customers" fld="1" baseField="0" baseItem="0"/>
    <dataField name="Sum of Unique Customers2" fld="1" showDataAs="percentOfCol" baseField="0" baseItem="0" numFmtId="10"/>
  </dataFields>
  <formats count="10">
    <format dxfId="27">
      <pivotArea field="19" type="button" dataOnly="0" labelOnly="1" outline="0" axis="axisCol" fieldPosition="0"/>
    </format>
    <format dxfId="26">
      <pivotArea dataOnly="0" labelOnly="1" outline="0" axis="axisValues" fieldPosition="0"/>
    </format>
    <format dxfId="25">
      <pivotArea outline="0" collapsedLevelsAreSubtotals="1" fieldPosition="0"/>
    </format>
    <format dxfId="24">
      <pivotArea type="origin" dataOnly="0" labelOnly="1" outline="0" fieldPosition="0"/>
    </format>
    <format dxfId="23">
      <pivotArea field="5" type="button" dataOnly="0" labelOnly="1" outline="0"/>
    </format>
    <format dxfId="22">
      <pivotArea type="topRight" dataOnly="0" labelOnly="1" outline="0" fieldPosition="0"/>
    </format>
    <format dxfId="21">
      <pivotArea field="19" type="button" dataOnly="0" labelOnly="1" outline="0" axis="axisCol" fieldPosition="0"/>
    </format>
    <format dxfId="20">
      <pivotArea field="9" type="button" dataOnly="0" labelOnly="1" outline="0"/>
    </format>
    <format dxfId="19">
      <pivotArea dataOnly="0" labelOnly="1" fieldPosition="0">
        <references count="1">
          <reference field="19" count="0"/>
        </references>
      </pivotArea>
    </format>
    <format dxfId="18">
      <pivotArea outline="0" fieldPosition="0">
        <references count="1">
          <reference field="4294967294" count="1">
            <x v="1"/>
          </reference>
        </references>
      </pivotArea>
    </format>
  </formats>
  <chartFormats count="7">
    <chartFormat chart="12" format="18" series="1">
      <pivotArea type="data" outline="0" fieldPosition="0">
        <references count="2">
          <reference field="4294967294" count="1" selected="0">
            <x v="0"/>
          </reference>
          <reference field="19" count="1" selected="0">
            <x v="1"/>
          </reference>
        </references>
      </pivotArea>
    </chartFormat>
    <chartFormat chart="12" format="19" series="1">
      <pivotArea type="data" outline="0" fieldPosition="0">
        <references count="2">
          <reference field="4294967294" count="1" selected="0">
            <x v="1"/>
          </reference>
          <reference field="19" count="1" selected="0">
            <x v="1"/>
          </reference>
        </references>
      </pivotArea>
    </chartFormat>
    <chartFormat chart="14" format="22" series="1">
      <pivotArea type="data" outline="0" fieldPosition="0">
        <references count="2">
          <reference field="4294967294" count="1" selected="0">
            <x v="0"/>
          </reference>
          <reference field="19" count="1" selected="0">
            <x v="1"/>
          </reference>
        </references>
      </pivotArea>
    </chartFormat>
    <chartFormat chart="14" format="23" series="1">
      <pivotArea type="data" outline="0" fieldPosition="0">
        <references count="2">
          <reference field="4294967294" count="1" selected="0">
            <x v="1"/>
          </reference>
          <reference field="19" count="1" selected="0">
            <x v="1"/>
          </reference>
        </references>
      </pivotArea>
    </chartFormat>
    <chartFormat chart="16" format="22" series="1">
      <pivotArea type="data" outline="0" fieldPosition="0">
        <references count="2">
          <reference field="4294967294" count="1" selected="0">
            <x v="0"/>
          </reference>
          <reference field="19" count="1" selected="0">
            <x v="1"/>
          </reference>
        </references>
      </pivotArea>
    </chartFormat>
    <chartFormat chart="16" format="23" series="1">
      <pivotArea type="data" outline="0" fieldPosition="0">
        <references count="2">
          <reference field="4294967294" count="1" selected="0">
            <x v="1"/>
          </reference>
          <reference field="19" count="1" selected="0">
            <x v="1"/>
          </reference>
        </references>
      </pivotArea>
    </chartFormat>
    <chartFormat chart="14" format="24">
      <pivotArea type="data" outline="0" fieldPosition="0">
        <references count="3">
          <reference field="4294967294" count="1" selected="0">
            <x v="0"/>
          </reference>
          <reference field="10" count="1" selected="0">
            <x v="4"/>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9D6575-06D2-413A-95EF-DDDB3DBEE819}" name="Churn by Device Type"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A58:B63" firstHeaderRow="1" firstDataRow="2" firstDataCol="1"/>
  <pivotFields count="22">
    <pivotField showAll="0"/>
    <pivotField dataField="1" showAll="0"/>
    <pivotField showAll="0"/>
    <pivotField showAll="0">
      <items count="4">
        <item x="0"/>
        <item x="2"/>
        <item x="1"/>
        <item t="default"/>
      </items>
    </pivotField>
    <pivotField showAll="0"/>
    <pivotField showAll="0">
      <items count="10">
        <item m="1" x="7"/>
        <item m="1" x="8"/>
        <item m="1" x="6"/>
        <item m="1" x="5"/>
        <item x="0"/>
        <item x="1"/>
        <item x="2"/>
        <item x="3"/>
        <item x="4"/>
        <item t="default"/>
      </items>
    </pivotField>
    <pivotField showAll="0"/>
    <pivotField axis="axisRow" showAll="0">
      <items count="5">
        <item x="0"/>
        <item x="2"/>
        <item x="3"/>
        <item x="1"/>
        <item t="default"/>
      </items>
    </pivotField>
    <pivotField showAll="0">
      <items count="3">
        <item x="1"/>
        <item x="0"/>
        <item t="default"/>
      </items>
    </pivotField>
    <pivotField showAll="0">
      <items count="6">
        <item x="1"/>
        <item x="0"/>
        <item x="2"/>
        <item x="4"/>
        <item x="3"/>
        <item t="default"/>
      </items>
    </pivotField>
    <pivotField showAll="0"/>
    <pivotField showAll="0">
      <items count="9">
        <item x="0"/>
        <item x="1"/>
        <item x="2"/>
        <item x="3"/>
        <item m="1" x="5"/>
        <item m="1" x="6"/>
        <item m="1" x="4"/>
        <item m="1" x="7"/>
        <item t="default"/>
      </items>
    </pivotField>
    <pivotField showAll="0"/>
    <pivotField showAll="0"/>
    <pivotField showAll="0"/>
    <pivotField showAll="0"/>
    <pivotField showAll="0"/>
    <pivotField showAll="0"/>
    <pivotField showAll="0"/>
    <pivotField axis="axisCol" showAll="0">
      <items count="3">
        <item h="1"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x v="3"/>
    </i>
  </rowItems>
  <colFields count="1">
    <field x="19"/>
  </colFields>
  <colItems count="1">
    <i>
      <x v="1"/>
    </i>
  </colItems>
  <dataFields count="1">
    <dataField name="Sum of Unique Customers" fld="1" baseField="0" baseItem="0"/>
  </dataFields>
  <formats count="10">
    <format dxfId="37">
      <pivotArea field="19" type="button" dataOnly="0" labelOnly="1" outline="0" axis="axisCol" fieldPosition="0"/>
    </format>
    <format dxfId="36">
      <pivotArea dataOnly="0" labelOnly="1" outline="0" axis="axisValues" fieldPosition="0"/>
    </format>
    <format dxfId="35">
      <pivotArea outline="0" collapsedLevelsAreSubtotals="1" fieldPosition="0"/>
    </format>
    <format dxfId="34">
      <pivotArea type="origin" dataOnly="0" labelOnly="1" outline="0" fieldPosition="0"/>
    </format>
    <format dxfId="33">
      <pivotArea field="5" type="button" dataOnly="0" labelOnly="1" outline="0"/>
    </format>
    <format dxfId="32">
      <pivotArea type="topRight" dataOnly="0" labelOnly="1" outline="0" fieldPosition="0"/>
    </format>
    <format dxfId="31">
      <pivotArea field="19" type="button" dataOnly="0" labelOnly="1" outline="0" axis="axisCol" fieldPosition="0"/>
    </format>
    <format dxfId="30">
      <pivotArea field="9" type="button" dataOnly="0" labelOnly="1" outline="0"/>
    </format>
    <format dxfId="29">
      <pivotArea dataOnly="0" labelOnly="1" fieldPosition="0">
        <references count="1">
          <reference field="19" count="0"/>
        </references>
      </pivotArea>
    </format>
    <format dxfId="28">
      <pivotArea field="7"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337C0A-92F2-404E-AE5C-1DE6DA8ECB55}" name="Churn by Subscription Plan"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A9:B31" firstHeaderRow="1" firstDataRow="2" firstDataCol="1"/>
  <pivotFields count="22">
    <pivotField showAll="0"/>
    <pivotField dataField="1" showAll="0"/>
    <pivotField showAll="0"/>
    <pivotField showAll="0">
      <items count="4">
        <item x="0"/>
        <item x="2"/>
        <item x="1"/>
        <item t="default"/>
      </items>
    </pivotField>
    <pivotField showAll="0"/>
    <pivotField showAll="0">
      <items count="10">
        <item x="1"/>
        <item x="0"/>
        <item x="2"/>
        <item x="3"/>
        <item x="4"/>
        <item m="1" x="7"/>
        <item m="1" x="8"/>
        <item m="1" x="6"/>
        <item m="1" x="5"/>
        <item t="default"/>
      </items>
    </pivotField>
    <pivotField showAll="0"/>
    <pivotField showAll="0"/>
    <pivotField showAll="0">
      <items count="3">
        <item x="1"/>
        <item x="0"/>
        <item t="default"/>
      </items>
    </pivotField>
    <pivotField showAll="0"/>
    <pivotField showAll="0"/>
    <pivotField showAll="0">
      <items count="9">
        <item x="0"/>
        <item x="1"/>
        <item x="2"/>
        <item x="3"/>
        <item m="1" x="5"/>
        <item m="1" x="6"/>
        <item m="1" x="4"/>
        <item m="1" x="7"/>
        <item t="default"/>
      </items>
    </pivotField>
    <pivotField showAll="0"/>
    <pivotField axis="axisRow" showAll="0">
      <items count="22">
        <item x="19"/>
        <item x="8"/>
        <item x="5"/>
        <item x="1"/>
        <item x="10"/>
        <item x="2"/>
        <item x="20"/>
        <item x="0"/>
        <item x="3"/>
        <item x="16"/>
        <item x="18"/>
        <item x="15"/>
        <item x="6"/>
        <item x="14"/>
        <item x="11"/>
        <item x="4"/>
        <item x="17"/>
        <item x="13"/>
        <item x="12"/>
        <item x="9"/>
        <item x="7"/>
        <item t="default"/>
      </items>
    </pivotField>
    <pivotField showAll="0"/>
    <pivotField showAll="0"/>
    <pivotField showAll="0"/>
    <pivotField showAll="0"/>
    <pivotField showAll="0"/>
    <pivotField axis="axisCol" showAll="0">
      <items count="3">
        <item h="1"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21">
    <i>
      <x/>
    </i>
    <i>
      <x v="1"/>
    </i>
    <i>
      <x v="2"/>
    </i>
    <i>
      <x v="3"/>
    </i>
    <i>
      <x v="4"/>
    </i>
    <i>
      <x v="5"/>
    </i>
    <i>
      <x v="6"/>
    </i>
    <i>
      <x v="7"/>
    </i>
    <i>
      <x v="8"/>
    </i>
    <i>
      <x v="9"/>
    </i>
    <i>
      <x v="10"/>
    </i>
    <i>
      <x v="11"/>
    </i>
    <i>
      <x v="12"/>
    </i>
    <i>
      <x v="13"/>
    </i>
    <i>
      <x v="14"/>
    </i>
    <i>
      <x v="15"/>
    </i>
    <i>
      <x v="16"/>
    </i>
    <i>
      <x v="17"/>
    </i>
    <i>
      <x v="18"/>
    </i>
    <i>
      <x v="19"/>
    </i>
    <i>
      <x v="20"/>
    </i>
  </rowItems>
  <colFields count="1">
    <field x="19"/>
  </colFields>
  <colItems count="1">
    <i>
      <x v="1"/>
    </i>
  </colItems>
  <dataFields count="1">
    <dataField name="Sum of Unique Customers" fld="1" baseField="0" baseItem="0"/>
  </dataFields>
  <formats count="6">
    <format dxfId="43">
      <pivotArea dataOnly="0" labelOnly="1" outline="0" axis="axisValues" fieldPosition="0"/>
    </format>
    <format dxfId="42">
      <pivotArea type="origin" dataOnly="0" labelOnly="1" outline="0" fieldPosition="0"/>
    </format>
    <format dxfId="41">
      <pivotArea field="19" type="button" dataOnly="0" labelOnly="1" outline="0" axis="axisCol" fieldPosition="0"/>
    </format>
    <format dxfId="40">
      <pivotArea type="topRight" dataOnly="0" labelOnly="1" outline="0" fieldPosition="0"/>
    </format>
    <format dxfId="39">
      <pivotArea field="13" type="button" dataOnly="0" labelOnly="1" outline="0" axis="axisRow" fieldPosition="0"/>
    </format>
    <format dxfId="38">
      <pivotArea dataOnly="0" labelOnly="1" fieldPosition="0">
        <references count="1">
          <reference field="1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4A0B1F-20BD-4BF1-8FFE-F1886668B2B9}" name="Total Customers KPI" cacheId="15"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F4:F5" firstHeaderRow="1" firstDataRow="1" firstDataCol="0"/>
  <pivotFields count="22">
    <pivotField showAll="0"/>
    <pivotField dataField="1" showAll="0"/>
    <pivotField showAll="0"/>
    <pivotField showAll="0">
      <items count="4">
        <item x="0"/>
        <item x="2"/>
        <item x="1"/>
        <item t="default"/>
      </items>
    </pivotField>
    <pivotField showAll="0"/>
    <pivotField showAll="0">
      <items count="10">
        <item x="1"/>
        <item x="0"/>
        <item x="2"/>
        <item x="3"/>
        <item x="4"/>
        <item m="1" x="7"/>
        <item m="1" x="8"/>
        <item m="1" x="6"/>
        <item m="1" x="5"/>
        <item t="default"/>
      </items>
    </pivotField>
    <pivotField showAll="0"/>
    <pivotField showAll="0"/>
    <pivotField showAll="0">
      <items count="3">
        <item x="1"/>
        <item x="0"/>
        <item t="default"/>
      </items>
    </pivotField>
    <pivotField showAll="0"/>
    <pivotField showAll="0"/>
    <pivotField showAll="0">
      <items count="9">
        <item x="0"/>
        <item x="1"/>
        <item x="2"/>
        <item x="3"/>
        <item m="1" x="5"/>
        <item m="1" x="6"/>
        <item m="1" x="4"/>
        <item m="1" x="7"/>
        <item t="default"/>
      </items>
    </pivotField>
    <pivotField showAll="0"/>
    <pivotField showAll="0"/>
    <pivotField showAll="0"/>
    <pivotField showAll="0"/>
    <pivotField showAll="0"/>
    <pivotField showAll="0"/>
    <pivotField showAll="0"/>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Unique Customers" fld="1" baseField="0" baseItem="0"/>
  </dataFields>
  <formats count="2">
    <format dxfId="45">
      <pivotArea field="19" type="button" dataOnly="0" labelOnly="1" outline="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A42FBA-497E-43F8-996F-F186388FD0C9}" name="Churn by Agegroup"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6">
  <location ref="A39:C46" firstHeaderRow="1" firstDataRow="3" firstDataCol="1"/>
  <pivotFields count="22">
    <pivotField dataField="1" showAll="0"/>
    <pivotField showAll="0"/>
    <pivotField showAll="0"/>
    <pivotField showAll="0">
      <items count="4">
        <item x="0"/>
        <item x="2"/>
        <item x="1"/>
        <item t="default"/>
      </items>
    </pivotField>
    <pivotField showAll="0"/>
    <pivotField axis="axisRow" showAll="0" sortType="descending">
      <items count="10">
        <item m="1" x="7"/>
        <item m="1" x="8"/>
        <item m="1" x="6"/>
        <item m="1" x="5"/>
        <item x="0"/>
        <item x="1"/>
        <item x="2"/>
        <item x="3"/>
        <item x="4"/>
        <item t="default"/>
      </items>
      <autoSortScope>
        <pivotArea dataOnly="0" outline="0" fieldPosition="0">
          <references count="2">
            <reference field="4294967294" count="1" selected="0">
              <x v="1"/>
            </reference>
            <reference field="19" count="1" selected="0">
              <x v="1"/>
            </reference>
          </references>
        </pivotArea>
      </autoSortScope>
    </pivotField>
    <pivotField showAll="0"/>
    <pivotField showAll="0"/>
    <pivotField showAll="0">
      <items count="3">
        <item x="1"/>
        <item x="0"/>
        <item t="default"/>
      </items>
    </pivotField>
    <pivotField showAll="0"/>
    <pivotField showAll="0"/>
    <pivotField showAll="0">
      <items count="9">
        <item x="0"/>
        <item x="1"/>
        <item x="2"/>
        <item x="3"/>
        <item m="1" x="5"/>
        <item m="1" x="6"/>
        <item m="1" x="4"/>
        <item m="1" x="7"/>
        <item t="default"/>
      </items>
    </pivotField>
    <pivotField showAll="0"/>
    <pivotField showAll="0"/>
    <pivotField showAll="0"/>
    <pivotField showAll="0"/>
    <pivotField dataField="1" showAll="0"/>
    <pivotField showAll="0"/>
    <pivotField showAll="0"/>
    <pivotField axis="axisCol" showAll="0">
      <items count="3">
        <item h="1"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v="6"/>
    </i>
    <i>
      <x v="4"/>
    </i>
    <i>
      <x v="8"/>
    </i>
    <i>
      <x v="7"/>
    </i>
    <i>
      <x v="5"/>
    </i>
  </rowItems>
  <colFields count="2">
    <field x="19"/>
    <field x="-2"/>
  </colFields>
  <colItems count="2">
    <i>
      <x v="1"/>
      <x/>
    </i>
    <i r="1" i="1">
      <x v="1"/>
    </i>
  </colItems>
  <dataFields count="2">
    <dataField name="Count of Customer ID" fld="0" subtotal="count" showDataAs="percentOfCol" baseField="0" baseItem="0" numFmtId="10"/>
    <dataField name="Sum of Total Revenue" fld="16" baseField="0" baseItem="0"/>
  </dataFields>
  <formats count="11">
    <format dxfId="56">
      <pivotArea field="19" type="button" dataOnly="0" labelOnly="1" outline="0" axis="axisCol" fieldPosition="0"/>
    </format>
    <format dxfId="55">
      <pivotArea dataOnly="0" labelOnly="1" outline="0" axis="axisValues" fieldPosition="0"/>
    </format>
    <format dxfId="54">
      <pivotArea outline="0" collapsedLevelsAreSubtotals="1" fieldPosition="0"/>
    </format>
    <format dxfId="53">
      <pivotArea type="origin" dataOnly="0" labelOnly="1" outline="0" fieldPosition="0"/>
    </format>
    <format dxfId="52">
      <pivotArea field="5" type="button" dataOnly="0" labelOnly="1" outline="0" axis="axisRow" fieldPosition="0"/>
    </format>
    <format dxfId="51">
      <pivotArea type="topRight" dataOnly="0" labelOnly="1" outline="0" fieldPosition="0"/>
    </format>
    <format dxfId="50">
      <pivotArea field="19" type="button" dataOnly="0" labelOnly="1" outline="0" axis="axisCol" fieldPosition="0"/>
    </format>
    <format dxfId="49">
      <pivotArea dataOnly="0" fieldPosition="0">
        <references count="1">
          <reference field="5" count="0"/>
        </references>
      </pivotArea>
    </format>
    <format dxfId="48">
      <pivotArea dataOnly="0" labelOnly="1" fieldPosition="0">
        <references count="1">
          <reference field="19" count="0"/>
        </references>
      </pivotArea>
    </format>
    <format dxfId="47">
      <pivotArea outline="0" collapsedLevelsAreSubtotals="1" fieldPosition="0">
        <references count="2">
          <reference field="4294967294" count="1" selected="0">
            <x v="1"/>
          </reference>
          <reference field="19" count="0" selected="0"/>
        </references>
      </pivotArea>
    </format>
    <format dxfId="46">
      <pivotArea outline="0" fieldPosition="0">
        <references count="1">
          <reference field="4294967294" count="1">
            <x v="0"/>
          </reference>
        </references>
      </pivotArea>
    </format>
  </formats>
  <chartFormats count="20">
    <chartFormat chart="11" format="28" series="1">
      <pivotArea type="data" outline="0" fieldPosition="0">
        <references count="2">
          <reference field="4294967294" count="1" selected="0">
            <x v="1"/>
          </reference>
          <reference field="19" count="1" selected="0">
            <x v="1"/>
          </reference>
        </references>
      </pivotArea>
    </chartFormat>
    <chartFormat chart="11" format="29">
      <pivotArea type="data" outline="0" fieldPosition="0">
        <references count="3">
          <reference field="4294967294" count="1" selected="0">
            <x v="1"/>
          </reference>
          <reference field="5" count="1" selected="0">
            <x v="6"/>
          </reference>
          <reference field="19" count="1" selected="0">
            <x v="1"/>
          </reference>
        </references>
      </pivotArea>
    </chartFormat>
    <chartFormat chart="11" format="30">
      <pivotArea type="data" outline="0" fieldPosition="0">
        <references count="3">
          <reference field="4294967294" count="1" selected="0">
            <x v="1"/>
          </reference>
          <reference field="5" count="1" selected="0">
            <x v="4"/>
          </reference>
          <reference field="19" count="1" selected="0">
            <x v="1"/>
          </reference>
        </references>
      </pivotArea>
    </chartFormat>
    <chartFormat chart="11" format="31">
      <pivotArea type="data" outline="0" fieldPosition="0">
        <references count="3">
          <reference field="4294967294" count="1" selected="0">
            <x v="1"/>
          </reference>
          <reference field="5" count="1" selected="0">
            <x v="8"/>
          </reference>
          <reference field="19" count="1" selected="0">
            <x v="1"/>
          </reference>
        </references>
      </pivotArea>
    </chartFormat>
    <chartFormat chart="11" format="32">
      <pivotArea type="data" outline="0" fieldPosition="0">
        <references count="3">
          <reference field="4294967294" count="1" selected="0">
            <x v="1"/>
          </reference>
          <reference field="5" count="1" selected="0">
            <x v="7"/>
          </reference>
          <reference field="19" count="1" selected="0">
            <x v="1"/>
          </reference>
        </references>
      </pivotArea>
    </chartFormat>
    <chartFormat chart="11" format="33">
      <pivotArea type="data" outline="0" fieldPosition="0">
        <references count="3">
          <reference field="4294967294" count="1" selected="0">
            <x v="1"/>
          </reference>
          <reference field="5" count="1" selected="0">
            <x v="5"/>
          </reference>
          <reference field="19" count="1" selected="0">
            <x v="1"/>
          </reference>
        </references>
      </pivotArea>
    </chartFormat>
    <chartFormat chart="11" format="34" series="1">
      <pivotArea type="data" outline="0" fieldPosition="0">
        <references count="2">
          <reference field="4294967294" count="1" selected="0">
            <x v="0"/>
          </reference>
          <reference field="19" count="1" selected="0">
            <x v="1"/>
          </reference>
        </references>
      </pivotArea>
    </chartFormat>
    <chartFormat chart="11" format="35">
      <pivotArea type="data" outline="0" fieldPosition="0">
        <references count="3">
          <reference field="4294967294" count="1" selected="0">
            <x v="0"/>
          </reference>
          <reference field="5" count="1" selected="0">
            <x v="8"/>
          </reference>
          <reference field="19" count="1" selected="0">
            <x v="1"/>
          </reference>
        </references>
      </pivotArea>
    </chartFormat>
    <chartFormat chart="13" format="42" series="1">
      <pivotArea type="data" outline="0" fieldPosition="0">
        <references count="2">
          <reference field="4294967294" count="1" selected="0">
            <x v="1"/>
          </reference>
          <reference field="19" count="1" selected="0">
            <x v="1"/>
          </reference>
        </references>
      </pivotArea>
    </chartFormat>
    <chartFormat chart="13" format="43">
      <pivotArea type="data" outline="0" fieldPosition="0">
        <references count="3">
          <reference field="4294967294" count="1" selected="0">
            <x v="1"/>
          </reference>
          <reference field="5" count="1" selected="0">
            <x v="6"/>
          </reference>
          <reference field="19" count="1" selected="0">
            <x v="1"/>
          </reference>
        </references>
      </pivotArea>
    </chartFormat>
    <chartFormat chart="13" format="44">
      <pivotArea type="data" outline="0" fieldPosition="0">
        <references count="3">
          <reference field="4294967294" count="1" selected="0">
            <x v="1"/>
          </reference>
          <reference field="5" count="1" selected="0">
            <x v="4"/>
          </reference>
          <reference field="19" count="1" selected="0">
            <x v="1"/>
          </reference>
        </references>
      </pivotArea>
    </chartFormat>
    <chartFormat chart="13" format="45">
      <pivotArea type="data" outline="0" fieldPosition="0">
        <references count="3">
          <reference field="4294967294" count="1" selected="0">
            <x v="1"/>
          </reference>
          <reference field="5" count="1" selected="0">
            <x v="8"/>
          </reference>
          <reference field="19" count="1" selected="0">
            <x v="1"/>
          </reference>
        </references>
      </pivotArea>
    </chartFormat>
    <chartFormat chart="13" format="46">
      <pivotArea type="data" outline="0" fieldPosition="0">
        <references count="3">
          <reference field="4294967294" count="1" selected="0">
            <x v="1"/>
          </reference>
          <reference field="5" count="1" selected="0">
            <x v="7"/>
          </reference>
          <reference field="19" count="1" selected="0">
            <x v="1"/>
          </reference>
        </references>
      </pivotArea>
    </chartFormat>
    <chartFormat chart="13" format="47" series="1">
      <pivotArea type="data" outline="0" fieldPosition="0">
        <references count="2">
          <reference field="4294967294" count="1" selected="0">
            <x v="0"/>
          </reference>
          <reference field="19" count="1" selected="0">
            <x v="1"/>
          </reference>
        </references>
      </pivotArea>
    </chartFormat>
    <chartFormat chart="15" format="42" series="1">
      <pivotArea type="data" outline="0" fieldPosition="0">
        <references count="2">
          <reference field="4294967294" count="1" selected="0">
            <x v="1"/>
          </reference>
          <reference field="19" count="1" selected="0">
            <x v="1"/>
          </reference>
        </references>
      </pivotArea>
    </chartFormat>
    <chartFormat chart="15" format="43">
      <pivotArea type="data" outline="0" fieldPosition="0">
        <references count="3">
          <reference field="4294967294" count="1" selected="0">
            <x v="1"/>
          </reference>
          <reference field="5" count="1" selected="0">
            <x v="6"/>
          </reference>
          <reference field="19" count="1" selected="0">
            <x v="1"/>
          </reference>
        </references>
      </pivotArea>
    </chartFormat>
    <chartFormat chart="15" format="44">
      <pivotArea type="data" outline="0" fieldPosition="0">
        <references count="3">
          <reference field="4294967294" count="1" selected="0">
            <x v="1"/>
          </reference>
          <reference field="5" count="1" selected="0">
            <x v="4"/>
          </reference>
          <reference field="19" count="1" selected="0">
            <x v="1"/>
          </reference>
        </references>
      </pivotArea>
    </chartFormat>
    <chartFormat chart="15" format="45">
      <pivotArea type="data" outline="0" fieldPosition="0">
        <references count="3">
          <reference field="4294967294" count="1" selected="0">
            <x v="1"/>
          </reference>
          <reference field="5" count="1" selected="0">
            <x v="8"/>
          </reference>
          <reference field="19" count="1" selected="0">
            <x v="1"/>
          </reference>
        </references>
      </pivotArea>
    </chartFormat>
    <chartFormat chart="15" format="46">
      <pivotArea type="data" outline="0" fieldPosition="0">
        <references count="3">
          <reference field="4294967294" count="1" selected="0">
            <x v="1"/>
          </reference>
          <reference field="5" count="1" selected="0">
            <x v="7"/>
          </reference>
          <reference field="19" count="1" selected="0">
            <x v="1"/>
          </reference>
        </references>
      </pivotArea>
    </chartFormat>
    <chartFormat chart="15" format="47"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7BBFD0-26E0-4901-8336-797853C3D9EE}" name="Device Type Doughnut"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7">
  <location ref="D84:E89" firstHeaderRow="1" firstDataRow="2" firstDataCol="1"/>
  <pivotFields count="22">
    <pivotField showAll="0"/>
    <pivotField dataField="1" showAll="0"/>
    <pivotField showAll="0"/>
    <pivotField showAll="0">
      <items count="4">
        <item x="0"/>
        <item x="2"/>
        <item x="1"/>
        <item t="default"/>
      </items>
    </pivotField>
    <pivotField showAll="0"/>
    <pivotField showAll="0">
      <items count="10">
        <item x="1"/>
        <item x="0"/>
        <item x="2"/>
        <item x="3"/>
        <item x="4"/>
        <item m="1" x="7"/>
        <item m="1" x="8"/>
        <item m="1" x="6"/>
        <item m="1" x="5"/>
        <item t="default"/>
      </items>
    </pivotField>
    <pivotField showAll="0"/>
    <pivotField axis="axisRow" showAll="0">
      <items count="5">
        <item x="0"/>
        <item x="2"/>
        <item x="3"/>
        <item x="1"/>
        <item t="default"/>
      </items>
    </pivotField>
    <pivotField showAll="0">
      <items count="3">
        <item x="1"/>
        <item x="0"/>
        <item t="default"/>
      </items>
    </pivotField>
    <pivotField showAll="0"/>
    <pivotField showAll="0"/>
    <pivotField showAll="0">
      <items count="9">
        <item x="0"/>
        <item x="1"/>
        <item x="2"/>
        <item x="3"/>
        <item m="1" x="5"/>
        <item m="1" x="6"/>
        <item m="1" x="4"/>
        <item m="1" x="7"/>
        <item t="default"/>
      </items>
    </pivotField>
    <pivotField showAll="0"/>
    <pivotField showAll="0"/>
    <pivotField showAll="0"/>
    <pivotField showAll="0"/>
    <pivotField showAll="0"/>
    <pivotField showAll="0"/>
    <pivotField showAll="0"/>
    <pivotField axis="axisCol" showAll="0">
      <items count="3">
        <item h="1"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4">
    <i>
      <x/>
    </i>
    <i>
      <x v="1"/>
    </i>
    <i>
      <x v="2"/>
    </i>
    <i>
      <x v="3"/>
    </i>
  </rowItems>
  <colFields count="1">
    <field x="19"/>
  </colFields>
  <colItems count="1">
    <i>
      <x v="1"/>
    </i>
  </colItems>
  <dataFields count="1">
    <dataField name="Sum of Unique Customers" fld="1" showDataAs="percentOfCol" baseField="0" baseItem="0" numFmtId="10"/>
  </dataFields>
  <formats count="3">
    <format dxfId="59">
      <pivotArea field="19" type="button" dataOnly="0" labelOnly="1" outline="0" axis="axisCol" fieldPosition="0"/>
    </format>
    <format dxfId="58">
      <pivotArea dataOnly="0" labelOnly="1" outline="0" axis="axisValues" fieldPosition="0"/>
    </format>
    <format dxfId="57">
      <pivotArea outline="0" fieldPosition="0">
        <references count="1">
          <reference field="4294967294" count="1">
            <x v="0"/>
          </reference>
        </references>
      </pivotArea>
    </format>
  </formats>
  <chartFormats count="16">
    <chartFormat chart="9" format="15" series="1">
      <pivotArea type="data" outline="0" fieldPosition="0"/>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7" count="1" selected="0">
            <x v="3"/>
          </reference>
        </references>
      </pivotArea>
    </chartFormat>
    <chartFormat chart="9" format="18">
      <pivotArea type="data" outline="0" fieldPosition="0">
        <references count="2">
          <reference field="4294967294" count="1" selected="0">
            <x v="0"/>
          </reference>
          <reference field="7" count="1" selected="0">
            <x v="0"/>
          </reference>
        </references>
      </pivotArea>
    </chartFormat>
    <chartFormat chart="9" format="19">
      <pivotArea type="data" outline="0" fieldPosition="0">
        <references count="2">
          <reference field="4294967294" count="1" selected="0">
            <x v="0"/>
          </reference>
          <reference field="7" count="1" selected="0">
            <x v="1"/>
          </reference>
        </references>
      </pivotArea>
    </chartFormat>
    <chartFormat chart="9" format="20">
      <pivotArea type="data" outline="0" fieldPosition="0">
        <references count="2">
          <reference field="4294967294" count="1" selected="0">
            <x v="0"/>
          </reference>
          <reference field="7" count="1" selected="0">
            <x v="2"/>
          </reference>
        </references>
      </pivotArea>
    </chartFormat>
    <chartFormat chart="14" format="26" series="1">
      <pivotArea type="data" outline="0" fieldPosition="0">
        <references count="1">
          <reference field="4294967294" count="1" selected="0">
            <x v="0"/>
          </reference>
        </references>
      </pivotArea>
    </chartFormat>
    <chartFormat chart="14" format="27">
      <pivotArea type="data" outline="0" fieldPosition="0">
        <references count="2">
          <reference field="4294967294" count="1" selected="0">
            <x v="0"/>
          </reference>
          <reference field="7" count="1" selected="0">
            <x v="0"/>
          </reference>
        </references>
      </pivotArea>
    </chartFormat>
    <chartFormat chart="14" format="28">
      <pivotArea type="data" outline="0" fieldPosition="0">
        <references count="2">
          <reference field="4294967294" count="1" selected="0">
            <x v="0"/>
          </reference>
          <reference field="7" count="1" selected="0">
            <x v="1"/>
          </reference>
        </references>
      </pivotArea>
    </chartFormat>
    <chartFormat chart="14" format="29">
      <pivotArea type="data" outline="0" fieldPosition="0">
        <references count="2">
          <reference field="4294967294" count="1" selected="0">
            <x v="0"/>
          </reference>
          <reference field="7" count="1" selected="0">
            <x v="2"/>
          </reference>
        </references>
      </pivotArea>
    </chartFormat>
    <chartFormat chart="14" format="30">
      <pivotArea type="data" outline="0" fieldPosition="0">
        <references count="2">
          <reference field="4294967294" count="1" selected="0">
            <x v="0"/>
          </reference>
          <reference field="7" count="1" selected="0">
            <x v="3"/>
          </reference>
        </references>
      </pivotArea>
    </chartFormat>
    <chartFormat chart="16" format="36" series="1">
      <pivotArea type="data" outline="0" fieldPosition="0">
        <references count="1">
          <reference field="4294967294" count="1" selected="0">
            <x v="0"/>
          </reference>
        </references>
      </pivotArea>
    </chartFormat>
    <chartFormat chart="16" format="37">
      <pivotArea type="data" outline="0" fieldPosition="0">
        <references count="2">
          <reference field="4294967294" count="1" selected="0">
            <x v="0"/>
          </reference>
          <reference field="7" count="1" selected="0">
            <x v="0"/>
          </reference>
        </references>
      </pivotArea>
    </chartFormat>
    <chartFormat chart="16" format="38">
      <pivotArea type="data" outline="0" fieldPosition="0">
        <references count="2">
          <reference field="4294967294" count="1" selected="0">
            <x v="0"/>
          </reference>
          <reference field="7" count="1" selected="0">
            <x v="1"/>
          </reference>
        </references>
      </pivotArea>
    </chartFormat>
    <chartFormat chart="16" format="39">
      <pivotArea type="data" outline="0" fieldPosition="0">
        <references count="2">
          <reference field="4294967294" count="1" selected="0">
            <x v="0"/>
          </reference>
          <reference field="7" count="1" selected="0">
            <x v="2"/>
          </reference>
        </references>
      </pivotArea>
    </chartFormat>
    <chartFormat chart="16" format="4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2CFD6B-E962-4D26-AC5C-18C3841A72D3}" name="Churn by State"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F67:G103" firstHeaderRow="1" firstDataRow="2" firstDataCol="1"/>
  <pivotFields count="22">
    <pivotField showAll="0"/>
    <pivotField dataField="1" showAll="0"/>
    <pivotField showAll="0"/>
    <pivotField showAll="0">
      <items count="4">
        <item x="0"/>
        <item x="2"/>
        <item x="1"/>
        <item t="default"/>
      </items>
    </pivotField>
    <pivotField showAll="0"/>
    <pivotField showAll="0">
      <items count="10">
        <item m="1" x="7"/>
        <item m="1" x="8"/>
        <item m="1" x="6"/>
        <item m="1" x="5"/>
        <item x="0"/>
        <item x="1"/>
        <item x="2"/>
        <item x="3"/>
        <item x="4"/>
        <item t="default"/>
      </items>
    </pivotField>
    <pivotField axis="axisRow" showAll="0">
      <items count="36">
        <item x="24"/>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pivotField>
    <pivotField showAll="0">
      <items count="5">
        <item x="0"/>
        <item x="2"/>
        <item x="3"/>
        <item x="1"/>
        <item t="default"/>
      </items>
    </pivotField>
    <pivotField showAll="0">
      <items count="3">
        <item x="1"/>
        <item x="0"/>
        <item t="default"/>
      </items>
    </pivotField>
    <pivotField showAll="0">
      <items count="6">
        <item x="1"/>
        <item x="0"/>
        <item x="2"/>
        <item x="4"/>
        <item x="3"/>
        <item t="default"/>
      </items>
    </pivotField>
    <pivotField showAll="0"/>
    <pivotField showAll="0">
      <items count="9">
        <item x="0"/>
        <item x="1"/>
        <item x="2"/>
        <item x="3"/>
        <item m="1" x="5"/>
        <item m="1" x="6"/>
        <item m="1" x="4"/>
        <item m="1" x="7"/>
        <item t="default"/>
      </items>
    </pivotField>
    <pivotField showAll="0"/>
    <pivotField showAll="0"/>
    <pivotField showAll="0"/>
    <pivotField showAll="0"/>
    <pivotField showAll="0"/>
    <pivotField showAll="0"/>
    <pivotField showAll="0"/>
    <pivotField axis="axisCol" showAll="0">
      <items count="3">
        <item h="1"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rowItems>
  <colFields count="1">
    <field x="19"/>
  </colFields>
  <colItems count="1">
    <i>
      <x v="1"/>
    </i>
  </colItems>
  <dataFields count="1">
    <dataField name="Sum of Unique Customers" fld="1" baseField="0" baseItem="0"/>
  </dataFields>
  <formats count="10">
    <format dxfId="69">
      <pivotArea field="19" type="button" dataOnly="0" labelOnly="1" outline="0" axis="axisCol" fieldPosition="0"/>
    </format>
    <format dxfId="68">
      <pivotArea dataOnly="0" labelOnly="1" outline="0" axis="axisValues" fieldPosition="0"/>
    </format>
    <format dxfId="67">
      <pivotArea outline="0" collapsedLevelsAreSubtotals="1" fieldPosition="0"/>
    </format>
    <format dxfId="66">
      <pivotArea type="origin" dataOnly="0" labelOnly="1" outline="0" fieldPosition="0"/>
    </format>
    <format dxfId="65">
      <pivotArea field="5" type="button" dataOnly="0" labelOnly="1" outline="0"/>
    </format>
    <format dxfId="64">
      <pivotArea type="topRight" dataOnly="0" labelOnly="1" outline="0" fieldPosition="0"/>
    </format>
    <format dxfId="63">
      <pivotArea field="19" type="button" dataOnly="0" labelOnly="1" outline="0" axis="axisCol" fieldPosition="0"/>
    </format>
    <format dxfId="62">
      <pivotArea field="9" type="button" dataOnly="0" labelOnly="1" outline="0"/>
    </format>
    <format dxfId="61">
      <pivotArea dataOnly="0" labelOnly="1" fieldPosition="0">
        <references count="1">
          <reference field="19" count="0"/>
        </references>
      </pivotArea>
    </format>
    <format dxfId="60">
      <pivotArea field="7"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1E0A61-8862-4A64-A4C6-D143C72F2575}" name="PivotTable1" cacheId="15"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E34:H36" firstHeaderRow="0" firstDataRow="1" firstDataCol="1" rowPageCount="1" colPageCount="1"/>
  <pivotFields count="22">
    <pivotField showAll="0"/>
    <pivotField dataField="1" showAll="0"/>
    <pivotField showAll="0"/>
    <pivotField showAll="0">
      <items count="4">
        <item x="0"/>
        <item x="2"/>
        <item x="1"/>
        <item t="default"/>
      </items>
    </pivotField>
    <pivotField showAll="0"/>
    <pivotField showAll="0">
      <items count="10">
        <item x="1"/>
        <item x="0"/>
        <item x="2"/>
        <item x="3"/>
        <item x="4"/>
        <item m="1" x="7"/>
        <item m="1" x="8"/>
        <item m="1" x="6"/>
        <item m="1" x="5"/>
        <item t="default"/>
      </items>
    </pivotField>
    <pivotField showAll="0"/>
    <pivotField showAll="0"/>
    <pivotField showAll="0">
      <items count="3">
        <item x="1"/>
        <item x="0"/>
        <item t="default"/>
      </items>
    </pivotField>
    <pivotField showAll="0"/>
    <pivotField showAll="0"/>
    <pivotField showAll="0">
      <items count="9">
        <item x="0"/>
        <item x="1"/>
        <item x="2"/>
        <item x="3"/>
        <item m="1" x="5"/>
        <item m="1" x="6"/>
        <item m="1" x="4"/>
        <item m="1" x="7"/>
        <item t="default"/>
      </items>
    </pivotField>
    <pivotField showAll="0"/>
    <pivotField showAll="0"/>
    <pivotField showAll="0"/>
    <pivotField showAll="0"/>
    <pivotField dataField="1" showAll="0"/>
    <pivotField showAll="0"/>
    <pivotField showAll="0"/>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Page" showAll="0">
      <items count="15">
        <item x="0"/>
        <item x="1"/>
        <item x="2"/>
        <item x="3"/>
        <item x="4"/>
        <item x="5"/>
        <item x="6"/>
        <item x="7"/>
        <item x="8"/>
        <item x="9"/>
        <item x="10"/>
        <item x="11"/>
        <item x="12"/>
        <item x="13"/>
        <item t="default"/>
      </items>
    </pivotField>
  </pivotFields>
  <rowFields count="1">
    <field x="19"/>
  </rowFields>
  <rowItems count="2">
    <i>
      <x/>
    </i>
    <i>
      <x v="1"/>
    </i>
  </rowItems>
  <colFields count="1">
    <field x="-2"/>
  </colFields>
  <colItems count="3">
    <i>
      <x/>
    </i>
    <i i="1">
      <x v="1"/>
    </i>
    <i i="2">
      <x v="2"/>
    </i>
  </colItems>
  <pageFields count="1">
    <pageField fld="21" item="1" hier="-1"/>
  </pageFields>
  <dataFields count="3">
    <dataField name="Sum of Total Revenue" fld="16" baseField="0" baseItem="0" numFmtId="165"/>
    <dataField name="Sum of Unique Customers2" fld="1" baseField="0" baseItem="0"/>
    <dataField name="Sum of Unique Customers" fld="1" showDataAs="percentOfCol" baseField="0" baseItem="0" numFmtId="10"/>
  </dataFields>
  <formats count="6">
    <format dxfId="75">
      <pivotArea field="19" type="button" dataOnly="0" labelOnly="1" outline="0" axis="axisRow" fieldPosition="0"/>
    </format>
    <format dxfId="74">
      <pivotArea dataOnly="0" labelOnly="1" outline="0" axis="axisValues" fieldPosition="0"/>
    </format>
    <format dxfId="73">
      <pivotArea outline="0" collapsedLevelsAreSubtotals="1" fieldPosition="0"/>
    </format>
    <format dxfId="72">
      <pivotArea collapsedLevelsAreSubtotals="1" fieldPosition="0">
        <references count="1">
          <reference field="19" count="1">
            <x v="1"/>
          </reference>
        </references>
      </pivotArea>
    </format>
    <format dxfId="71">
      <pivotArea collapsedLevelsAreSubtotals="1" fieldPosition="0">
        <references count="1">
          <reference field="19" count="1">
            <x v="1"/>
          </reference>
        </references>
      </pivotArea>
    </format>
    <format dxfId="70">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D14834-9165-4876-B3D8-7FAFC82F97A6}" name="Revenue Lost KPI" cacheId="15"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A34:B36" firstHeaderRow="1" firstDataRow="1" firstDataCol="1"/>
  <pivotFields count="22">
    <pivotField showAll="0"/>
    <pivotField showAll="0"/>
    <pivotField showAll="0"/>
    <pivotField showAll="0">
      <items count="4">
        <item x="0"/>
        <item x="2"/>
        <item x="1"/>
        <item t="default"/>
      </items>
    </pivotField>
    <pivotField showAll="0"/>
    <pivotField showAll="0">
      <items count="10">
        <item x="1"/>
        <item x="0"/>
        <item x="2"/>
        <item x="3"/>
        <item x="4"/>
        <item m="1" x="7"/>
        <item m="1" x="8"/>
        <item m="1" x="6"/>
        <item m="1" x="5"/>
        <item t="default"/>
      </items>
    </pivotField>
    <pivotField showAll="0"/>
    <pivotField showAll="0"/>
    <pivotField showAll="0">
      <items count="3">
        <item x="1"/>
        <item x="0"/>
        <item t="default"/>
      </items>
    </pivotField>
    <pivotField showAll="0"/>
    <pivotField showAll="0"/>
    <pivotField showAll="0">
      <items count="9">
        <item x="0"/>
        <item x="1"/>
        <item x="2"/>
        <item x="3"/>
        <item m="1" x="5"/>
        <item m="1" x="6"/>
        <item m="1" x="4"/>
        <item m="1" x="7"/>
        <item t="default"/>
      </items>
    </pivotField>
    <pivotField showAll="0"/>
    <pivotField showAll="0"/>
    <pivotField showAll="0"/>
    <pivotField showAll="0"/>
    <pivotField dataField="1" showAll="0"/>
    <pivotField showAll="0"/>
    <pivotField showAll="0"/>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2">
    <i>
      <x/>
    </i>
    <i>
      <x v="1"/>
    </i>
  </rowItems>
  <colItems count="1">
    <i/>
  </colItems>
  <dataFields count="1">
    <dataField name="Sum of Total Revenue" fld="16" baseField="0" baseItem="0" numFmtId="165"/>
  </dataFields>
  <formats count="4">
    <format dxfId="79">
      <pivotArea field="19" type="button" dataOnly="0" labelOnly="1" outline="0" axis="axisRow" fieldPosition="0"/>
    </format>
    <format dxfId="78">
      <pivotArea dataOnly="0" labelOnly="1" outline="0" axis="axisValues" fieldPosition="0"/>
    </format>
    <format dxfId="77">
      <pivotArea outline="0" collapsedLevelsAreSubtotals="1" fieldPosition="0"/>
    </format>
    <format dxfId="76">
      <pivotArea collapsedLevelsAreSubtotals="1" fieldPosition="0">
        <references count="1">
          <reference field="19"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2681796-BD7F-48BE-B90F-2B919F812C0F}" name="Gender Doughnut"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6">
  <location ref="D79:E81" firstHeaderRow="1" firstDataRow="1" firstDataCol="1" rowPageCount="1" colPageCount="1"/>
  <pivotFields count="22">
    <pivotField showAll="0"/>
    <pivotField dataField="1" showAll="0"/>
    <pivotField showAll="0"/>
    <pivotField showAll="0">
      <items count="4">
        <item x="0"/>
        <item x="2"/>
        <item x="1"/>
        <item t="default"/>
      </items>
    </pivotField>
    <pivotField showAll="0"/>
    <pivotField showAll="0">
      <items count="10">
        <item x="1"/>
        <item x="0"/>
        <item x="2"/>
        <item x="3"/>
        <item x="4"/>
        <item m="1" x="7"/>
        <item m="1" x="8"/>
        <item m="1" x="6"/>
        <item m="1" x="5"/>
        <item t="default"/>
      </items>
    </pivotField>
    <pivotField showAll="0"/>
    <pivotField showAll="0"/>
    <pivotField axis="axisRow" showAll="0">
      <items count="3">
        <item x="1"/>
        <item x="0"/>
        <item t="default"/>
      </items>
    </pivotField>
    <pivotField showAll="0"/>
    <pivotField showAll="0"/>
    <pivotField showAll="0">
      <items count="9">
        <item x="0"/>
        <item x="1"/>
        <item x="2"/>
        <item x="3"/>
        <item m="1" x="5"/>
        <item m="1" x="6"/>
        <item m="1" x="4"/>
        <item m="1" x="7"/>
        <item t="default"/>
      </items>
    </pivotField>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2">
    <i>
      <x/>
    </i>
    <i>
      <x v="1"/>
    </i>
  </rowItems>
  <colItems count="1">
    <i/>
  </colItems>
  <pageFields count="1">
    <pageField fld="19" hier="-1"/>
  </pageFields>
  <dataFields count="1">
    <dataField name="Sum of Unique Customers" fld="1" showDataAs="percentOfCol" baseField="0" baseItem="0" numFmtId="10"/>
  </dataFields>
  <formats count="3">
    <format dxfId="82">
      <pivotArea field="19" type="button" dataOnly="0" labelOnly="1" outline="0" axis="axisPage" fieldPosition="0"/>
    </format>
    <format dxfId="81">
      <pivotArea dataOnly="0" labelOnly="1" outline="0" axis="axisValues" fieldPosition="0"/>
    </format>
    <format dxfId="80">
      <pivotArea outline="0" fieldPosition="0">
        <references count="1">
          <reference field="4294967294" count="1">
            <x v="0"/>
          </reference>
        </references>
      </pivotArea>
    </format>
  </formats>
  <chartFormats count="9">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8" count="1" selected="0">
            <x v="0"/>
          </reference>
        </references>
      </pivotArea>
    </chartFormat>
    <chartFormat chart="11" format="11">
      <pivotArea type="data" outline="0" fieldPosition="0">
        <references count="2">
          <reference field="4294967294" count="1" selected="0">
            <x v="0"/>
          </reference>
          <reference field="8" count="1" selected="0">
            <x v="1"/>
          </reference>
        </references>
      </pivotArea>
    </chartFormat>
    <chartFormat chart="13" format="15" series="1">
      <pivotArea type="data" outline="0" fieldPosition="0">
        <references count="1">
          <reference field="4294967294" count="1" selected="0">
            <x v="0"/>
          </reference>
        </references>
      </pivotArea>
    </chartFormat>
    <chartFormat chart="13" format="16">
      <pivotArea type="data" outline="0" fieldPosition="0">
        <references count="2">
          <reference field="4294967294" count="1" selected="0">
            <x v="0"/>
          </reference>
          <reference field="8" count="1" selected="0">
            <x v="0"/>
          </reference>
        </references>
      </pivotArea>
    </chartFormat>
    <chartFormat chart="13" format="17">
      <pivotArea type="data" outline="0" fieldPosition="0">
        <references count="2">
          <reference field="4294967294" count="1" selected="0">
            <x v="0"/>
          </reference>
          <reference field="8" count="1" selected="0">
            <x v="1"/>
          </reference>
        </references>
      </pivotArea>
    </chartFormat>
    <chartFormat chart="15" format="15" series="1">
      <pivotArea type="data" outline="0" fieldPosition="0">
        <references count="1">
          <reference field="4294967294" count="1" selected="0">
            <x v="0"/>
          </reference>
        </references>
      </pivotArea>
    </chartFormat>
    <chartFormat chart="15" format="16">
      <pivotArea type="data" outline="0" fieldPosition="0">
        <references count="2">
          <reference field="4294967294" count="1" selected="0">
            <x v="0"/>
          </reference>
          <reference field="8" count="1" selected="0">
            <x v="0"/>
          </reference>
        </references>
      </pivotArea>
    </chartFormat>
    <chartFormat chart="15" format="17">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600B9D1-2409-40BD-A50D-0BD5178105B8}" name="Combined KPIs" cacheId="15"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A4:C6" firstHeaderRow="0" firstDataRow="1" firstDataCol="1"/>
  <pivotFields count="22">
    <pivotField showAll="0"/>
    <pivotField dataField="1" showAll="0"/>
    <pivotField showAll="0"/>
    <pivotField showAll="0">
      <items count="4">
        <item x="0"/>
        <item x="2"/>
        <item x="1"/>
        <item t="default"/>
      </items>
    </pivotField>
    <pivotField showAll="0"/>
    <pivotField showAll="0">
      <items count="10">
        <item x="1"/>
        <item x="0"/>
        <item x="2"/>
        <item x="3"/>
        <item x="4"/>
        <item m="1" x="7"/>
        <item m="1" x="8"/>
        <item m="1" x="6"/>
        <item m="1" x="5"/>
        <item t="default"/>
      </items>
    </pivotField>
    <pivotField showAll="0"/>
    <pivotField showAll="0">
      <items count="5">
        <item x="0"/>
        <item x="2"/>
        <item x="3"/>
        <item x="1"/>
        <item t="default"/>
      </items>
    </pivotField>
    <pivotField showAll="0">
      <items count="3">
        <item x="1"/>
        <item x="0"/>
        <item t="default"/>
      </items>
    </pivotField>
    <pivotField showAll="0"/>
    <pivotField showAll="0"/>
    <pivotField showAll="0">
      <items count="9">
        <item x="0"/>
        <item x="1"/>
        <item x="2"/>
        <item x="3"/>
        <item m="1" x="5"/>
        <item m="1" x="6"/>
        <item m="1" x="4"/>
        <item m="1" x="7"/>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2">
    <i>
      <x/>
    </i>
    <i>
      <x v="1"/>
    </i>
  </rowItems>
  <colFields count="1">
    <field x="-2"/>
  </colFields>
  <colItems count="2">
    <i>
      <x/>
    </i>
    <i i="1">
      <x v="1"/>
    </i>
  </colItems>
  <dataFields count="2">
    <dataField name="Sum of Unique Customers" fld="1" baseField="0" baseItem="0"/>
    <dataField name="Sum of Unique Customers2" fld="1" showDataAs="percentOfCol" baseField="0" baseItem="0" numFmtId="10"/>
  </dataFields>
  <formats count="3">
    <format dxfId="85">
      <pivotArea field="19" type="button" dataOnly="0" labelOnly="1" outline="0" axis="axisRow" fieldPosition="0"/>
    </format>
    <format dxfId="84">
      <pivotArea dataOnly="0" labelOnly="1" outline="0" axis="axisValues" fieldPosition="0"/>
    </format>
    <format dxfId="83">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5FB3210-E2EB-438C-A2CC-044A698537B5}" name="PivotTable10"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86:B91" firstHeaderRow="1" firstDataRow="2" firstDataCol="1"/>
  <pivotFields count="22">
    <pivotField showAll="0"/>
    <pivotField dataField="1" showAll="0"/>
    <pivotField showAll="0"/>
    <pivotField showAll="0">
      <items count="4">
        <item x="0"/>
        <item x="2"/>
        <item x="1"/>
        <item t="default"/>
      </items>
    </pivotField>
    <pivotField showAll="0"/>
    <pivotField showAll="0"/>
    <pivotField showAll="0"/>
    <pivotField showAll="0"/>
    <pivotField showAll="0"/>
    <pivotField showAll="0"/>
    <pivotField showAll="0"/>
    <pivotField axis="axisRow" showAll="0" sortType="ascending">
      <items count="9">
        <item m="1" x="5"/>
        <item m="1" x="6"/>
        <item m="1" x="4"/>
        <item m="1" x="7"/>
        <item x="0"/>
        <item x="1"/>
        <item x="2"/>
        <item x="3"/>
        <item t="default"/>
      </items>
      <autoSortScope>
        <pivotArea dataOnly="0" outline="0" fieldPosition="0">
          <references count="2">
            <reference field="4294967294" count="1" selected="0">
              <x v="0"/>
            </reference>
            <reference field="19" count="1" selected="0">
              <x v="1"/>
            </reference>
          </references>
        </pivotArea>
      </autoSortScope>
    </pivotField>
    <pivotField showAll="0"/>
    <pivotField showAll="0"/>
    <pivotField showAll="0"/>
    <pivotField showAll="0"/>
    <pivotField showAll="0"/>
    <pivotField showAll="0"/>
    <pivotField showAll="0"/>
    <pivotField axis="axisCol" showAll="0">
      <items count="3">
        <item h="1"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4">
    <i>
      <x v="4"/>
    </i>
    <i>
      <x v="7"/>
    </i>
    <i>
      <x v="5"/>
    </i>
    <i>
      <x v="6"/>
    </i>
  </rowItems>
  <colFields count="1">
    <field x="19"/>
  </colFields>
  <colItems count="1">
    <i>
      <x v="1"/>
    </i>
  </colItems>
  <dataFields count="1">
    <dataField name="Sum of Unique Customers" fld="1" baseField="0" baseItem="0"/>
  </dataFields>
  <formats count="2">
    <format dxfId="87">
      <pivotArea field="19" type="button" dataOnly="0" labelOnly="1" outline="0" axis="axisCol" fieldPosition="0"/>
    </format>
    <format dxfId="86">
      <pivotArea dataOnly="0" labelOnly="1" outline="0" axis="axisValues" fieldPosition="0"/>
    </format>
  </formats>
  <chartFormats count="16">
    <chartFormat chart="2" format="15" series="1">
      <pivotArea type="data" outline="0" fieldPosition="0">
        <references count="2">
          <reference field="4294967294" count="1" selected="0">
            <x v="0"/>
          </reference>
          <reference field="19" count="1" selected="0">
            <x v="1"/>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11" count="1" selected="0">
            <x v="6"/>
          </reference>
        </references>
      </pivotArea>
    </chartFormat>
    <chartFormat chart="2" format="18">
      <pivotArea type="data" outline="0" fieldPosition="0">
        <references count="2">
          <reference field="4294967294" count="1" selected="0">
            <x v="0"/>
          </reference>
          <reference field="11" count="1" selected="0">
            <x v="5"/>
          </reference>
        </references>
      </pivotArea>
    </chartFormat>
    <chartFormat chart="2" format="19">
      <pivotArea type="data" outline="0" fieldPosition="0">
        <references count="2">
          <reference field="4294967294" count="1" selected="0">
            <x v="0"/>
          </reference>
          <reference field="11" count="1" selected="0">
            <x v="7"/>
          </reference>
        </references>
      </pivotArea>
    </chartFormat>
    <chartFormat chart="2" format="20">
      <pivotArea type="data" outline="0" fieldPosition="0">
        <references count="2">
          <reference field="4294967294" count="1" selected="0">
            <x v="0"/>
          </reference>
          <reference field="11" count="1" selected="0">
            <x v="4"/>
          </reference>
        </references>
      </pivotArea>
    </chartFormat>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11" count="1" selected="0">
            <x v="4"/>
          </reference>
        </references>
      </pivotArea>
    </chartFormat>
    <chartFormat chart="6" format="28">
      <pivotArea type="data" outline="0" fieldPosition="0">
        <references count="2">
          <reference field="4294967294" count="1" selected="0">
            <x v="0"/>
          </reference>
          <reference field="11" count="1" selected="0">
            <x v="7"/>
          </reference>
        </references>
      </pivotArea>
    </chartFormat>
    <chartFormat chart="6" format="29">
      <pivotArea type="data" outline="0" fieldPosition="0">
        <references count="2">
          <reference field="4294967294" count="1" selected="0">
            <x v="0"/>
          </reference>
          <reference field="11" count="1" selected="0">
            <x v="5"/>
          </reference>
        </references>
      </pivotArea>
    </chartFormat>
    <chartFormat chart="6" format="30">
      <pivotArea type="data" outline="0" fieldPosition="0">
        <references count="2">
          <reference field="4294967294" count="1" selected="0">
            <x v="0"/>
          </reference>
          <reference field="11" count="1" selected="0">
            <x v="6"/>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11" count="1" selected="0">
            <x v="4"/>
          </reference>
        </references>
      </pivotArea>
    </chartFormat>
    <chartFormat chart="8" format="28">
      <pivotArea type="data" outline="0" fieldPosition="0">
        <references count="2">
          <reference field="4294967294" count="1" selected="0">
            <x v="0"/>
          </reference>
          <reference field="11" count="1" selected="0">
            <x v="7"/>
          </reference>
        </references>
      </pivotArea>
    </chartFormat>
    <chartFormat chart="8" format="29">
      <pivotArea type="data" outline="0" fieldPosition="0">
        <references count="2">
          <reference field="4294967294" count="1" selected="0">
            <x v="0"/>
          </reference>
          <reference field="11" count="1" selected="0">
            <x v="5"/>
          </reference>
        </references>
      </pivotArea>
    </chartFormat>
    <chartFormat chart="8" format="30">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4BB4F1-FFCE-4B66-B298-3C1956CF4FC5}" name="PivotTable9"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80" firstHeaderRow="0" firstDataRow="0" firstDataCol="0" rowPageCount="1" colPageCount="1"/>
  <pivotFields count="22">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pageFields count="1">
    <pageField fld="19" hier="-1"/>
  </pageFields>
  <formats count="2">
    <format dxfId="89">
      <pivotArea field="19" type="button" dataOnly="0" labelOnly="1" outline="0" axis="axisPage" fieldPosition="0"/>
    </format>
    <format dxfId="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5</v>
    <v>0</v>
  </rv>
</rvData>
</file>

<file path=xl/richData/rdrichvaluestructure.xml><?xml version="1.0" encoding="utf-8"?>
<rvStructures xmlns="http://schemas.microsoft.com/office/spreadsheetml/2017/richdata" count="1">
  <s t="_localImage">
    <k n="CalcOrigin" t="i"/>
    <k n="_rvRel:LocalImageIdentifier"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6E46BAB-B932-4285-BB5F-92034880705B}" sourceName="Age Group">
  <pivotTables>
    <pivotTable tabId="3" name="Combined KPIs"/>
    <pivotTable tabId="3" name="Churn by Agegroup"/>
    <pivotTable tabId="3" name="Churn by Device Type"/>
    <pivotTable tabId="3" name="Churn by State"/>
    <pivotTable tabId="3" name="Churn by Subscription Plan"/>
    <pivotTable tabId="3" name="Customer Review"/>
    <pivotTable tabId="3" name="Device Type Doughnut"/>
    <pivotTable tabId="3" name="Gender Doughnut"/>
    <pivotTable tabId="3" name="Reason for Churn"/>
    <pivotTable tabId="3" name="Revenue Lost KPI"/>
    <pivotTable tabId="3" name="Subsription Plan Top 5"/>
    <pivotTable tabId="3" name="Total Customers KPI"/>
    <pivotTable tabId="3" name="PivotTable1"/>
  </pivotTables>
  <data>
    <tabular pivotCacheId="1667700723" showMissing="0" crossFilter="none">
      <items count="9">
        <i x="1" s="1"/>
        <i x="0" s="1"/>
        <i x="2" s="1"/>
        <i x="3" s="1"/>
        <i x="4" s="1"/>
        <i x="7" s="1"/>
        <i x="8"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28E8D78-FE33-444D-82C9-116D0B50D04F}" sourceName="Gender">
  <pivotTables>
    <pivotTable tabId="3" name="Combined KPIs"/>
    <pivotTable tabId="3" name="Churn by Agegroup"/>
    <pivotTable tabId="3" name="Churn by Device Type"/>
    <pivotTable tabId="3" name="Churn by State"/>
    <pivotTable tabId="3" name="Churn by Subscription Plan"/>
    <pivotTable tabId="3" name="Customer Review"/>
    <pivotTable tabId="3" name="Device Type Doughnut"/>
    <pivotTable tabId="3" name="Gender Doughnut"/>
    <pivotTable tabId="3" name="Reason for Churn"/>
    <pivotTable tabId="3" name="Revenue Lost KPI"/>
    <pivotTable tabId="3" name="Subsription Plan Top 5"/>
    <pivotTable tabId="3" name="Total Customers KPI"/>
    <pivotTable tabId="3" name="PivotTable1"/>
  </pivotTables>
  <data>
    <tabular pivotCacheId="166770072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TN_Device" xr10:uid="{C4B8B8CB-ACB5-47DE-9CFC-A51C2CC76F4F}" sourceName="MTN Device">
  <pivotTables>
    <pivotTable tabId="3" name="Combined KPIs"/>
  </pivotTables>
  <data>
    <tabular pivotCacheId="1667700723" showMissing="0" crossFilter="none">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enure_Group" xr10:uid="{AEDBC3DB-ECD8-46AF-8EFA-C227B3BC2D5A}" sourceName="Customer Tenure Group">
  <pivotTables>
    <pivotTable tabId="3" name="Combined KPIs"/>
    <pivotTable tabId="3" name="Churn by Agegroup"/>
    <pivotTable tabId="3" name="Churn by Device Type"/>
    <pivotTable tabId="3" name="Churn by State"/>
    <pivotTable tabId="3" name="Churn by Subscription Plan"/>
    <pivotTable tabId="3" name="Customer Review"/>
    <pivotTable tabId="3" name="Device Type Doughnut"/>
    <pivotTable tabId="3" name="Gender Doughnut"/>
    <pivotTable tabId="3" name="Reason for Churn"/>
    <pivotTable tabId="3" name="Revenue Lost KPI"/>
    <pivotTable tabId="3" name="Subsription Plan Top 5"/>
    <pivotTable tabId="3" name="Total Customers KPI"/>
    <pivotTable tabId="3" name="PivotTable1"/>
  </pivotTables>
  <data>
    <tabular pivotCacheId="1667700723" showMissing="0" crossFilter="none">
      <items count="8">
        <i x="0" s="1"/>
        <i x="1" s="1"/>
        <i x="2" s="1"/>
        <i x="3" s="1"/>
        <i x="5" s="1"/>
        <i x="6"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16BA19B6-0DB2-42F1-8A4D-EAC4C545D15C}" cache="Slicer_Age_Group" caption="Age Group" columnCount="2" style="Duplicate" rowHeight="273050"/>
  <slicer name="Gender 1" xr10:uid="{61B76744-B409-49CA-BA16-85C7FB8D4A85}" cache="Slicer_Gender" caption="Gender" columnCount="2" style="Duplicate" rowHeight="400050"/>
  <slicer name="Device Type 1" xr10:uid="{3104B61F-DCF8-46A9-B8D4-6BDD025B89E2}" cache="Slicer_MTN_Device" caption="MTN Device" style="Duplicate" rowHeight="400050"/>
  <slicer name="Tenure Group 1" xr10:uid="{273D951B-5BA8-49E0-BB66-5933991A203C}" cache="Slicer_Customer_Tenure_Group" caption="Tenure Group" style="Duplicate" rowHeight="400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2" xr10:uid="{72DEF04B-CD10-4BFC-9982-858A2BD2700C}" cache="Slicer_Age_Group" caption="Age Group" columnCount="2" style="Duplicate 2" rowHeight="273050"/>
  <slicer name="Gender 2" xr10:uid="{761F7022-51D1-4B7C-95D0-CF9CEB8EE2CB}" cache="Slicer_Gender" caption="Gender" columnCount="2" style="Duplicate 2" rowHeight="400050"/>
  <slicer name="Device Type 2" xr10:uid="{00800320-CAA4-468D-A8BD-63FEFA33D8D6}" cache="Slicer_MTN_Device" caption="MTN Device" style="Duplicate 2" rowHeight="400050"/>
  <slicer name="Tenure Group 2" xr10:uid="{822902E4-510C-4A31-B6C2-3E8A7EB98A71}" cache="Slicer_Customer_Tenure_Group" caption="Tenure Group" style="Duplicate 2" rowHeight="400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03230F1B-AD4A-4AC1-8FD2-A23C0878F8FB}" cache="Slicer_Age_Group" caption="Age Group" columnCount="2" rowHeight="273050"/>
  <slicer name="Gender" xr10:uid="{9DE73EE3-19F5-4085-8B71-FF1A75F7FDFA}" cache="Slicer_Gender" caption="Gender" columnCount="2" rowHeight="400050"/>
  <slicer name="Device Type" xr10:uid="{127F287A-0435-466F-AF82-0AED70FD9BCE}" cache="Slicer_MTN_Device" caption="MTN Device" rowHeight="400050"/>
  <slicer name="Tenure Group" xr10:uid="{810C4E54-9432-44FC-A261-598876FEED93}" cache="Slicer_Customer_Tenure_Group" caption="Tenure Group" rowHeight="400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CD5031-9338-449C-852B-EBE856DC2A00}" name="Table1" displayName="Table1" ref="A1:T975" totalsRowShown="0">
  <autoFilter ref="A1:T975" xr:uid="{B7CD5031-9338-449C-852B-EBE856DC2A00}"/>
  <tableColumns count="20">
    <tableColumn id="1" xr3:uid="{01A9AA80-FAC8-48FE-B206-0011E0EE51A0}" name="Customer ID" dataDxfId="96"/>
    <tableColumn id="21" xr3:uid="{4D8399A4-908D-477D-8017-7C710C9032E7}" name="Unique Customers" dataDxfId="95">
      <calculatedColumnFormula array="1">IF(MATCH(Table1[[#This Row],[Customer ID]], Table1[Customer ID], 0) = ROW() - ROW(Table1[#Headers]), 1, 0)</calculatedColumnFormula>
    </tableColumn>
    <tableColumn id="2" xr3:uid="{F999684E-1EF9-472C-8BA7-BEEFC5AD82F6}" name="Full Name"/>
    <tableColumn id="3" xr3:uid="{F0AB24CC-EC12-446A-AA6C-646DFCDB6188}" name="Date of Purchase" dataDxfId="94"/>
    <tableColumn id="4" xr3:uid="{CA2E48FA-DB62-4A7B-B5B5-69D6D4C55D4F}" name="Age"/>
    <tableColumn id="18" xr3:uid="{FC10E0BE-48F7-445F-89CB-AD0CEDCF5ACA}" name="Age Group" dataDxfId="93">
      <calculatedColumnFormula array="1">_xlfn.IFS( Table1[[#This Row],[Age]]&lt;18, "&lt;18", Table1[[#This Row],[Age]]&lt;= 29, "18-29", Table1[[#This Row],[Age]]&lt;= 44, "30-44",  Table1[[#This Row],[Age]]&lt;=59, "45-59", TRUE, "60+")</calculatedColumnFormula>
    </tableColumn>
    <tableColumn id="5" xr3:uid="{3864B965-FEBC-47F2-BCEF-DEBDB1E02055}" name="State"/>
    <tableColumn id="6" xr3:uid="{C95D0561-7259-4E71-9504-756A9D90D68B}" name="MTN Device"/>
    <tableColumn id="7" xr3:uid="{2AD57F8C-90C2-40BF-8AC6-6AFD80432CA3}" name="Gender"/>
    <tableColumn id="8" xr3:uid="{12295C71-35BC-4CC7-BDEA-D3A369C0B661}" name="Satisfaction Rate"/>
    <tableColumn id="9" xr3:uid="{008ACF09-DD64-41C8-9DD5-A4FA7FB1A416}" name="Customer Review"/>
    <tableColumn id="19" xr3:uid="{F8E1FD9C-7E94-403D-9CE2-C09FA2ADBE26}" name="Customer Tenure Group" dataDxfId="92">
      <calculatedColumnFormula array="1">_xlfn.IFS(Table1[[#This Row],[Customer Tenure in months]]&lt;=6, "0-6 months", Table1[[#This Row],[Customer Tenure in months]] &lt;=12, "7-12 months", Table1[[#This Row],[Customer Tenure in months]] &lt;=24, "1-2 years", TRUE, "2+ years")</calculatedColumnFormula>
    </tableColumn>
    <tableColumn id="10" xr3:uid="{C4E6D33F-9D9A-4621-8133-4F9A3FD4E958}" name="Customer Tenure in months"/>
    <tableColumn id="11" xr3:uid="{C91FC6AD-F043-45C4-AF99-3C1674F480ED}" name="Subscription Plan"/>
    <tableColumn id="12" xr3:uid="{4FFA30A6-E196-45CA-9561-8101D0873994}" name="Unit Price" dataDxfId="91"/>
    <tableColumn id="13" xr3:uid="{5546C869-F842-4E0B-9D40-EBD0E24C8B19}" name="Number of Times Purchased"/>
    <tableColumn id="14" xr3:uid="{3AACBFE8-0458-406A-ADA3-992D8D41CEEE}" name="Total Revenue" dataDxfId="90"/>
    <tableColumn id="15" xr3:uid="{B5AC172A-7F92-4543-B7A4-556DF3106A61}" name="Data Usage"/>
    <tableColumn id="20" xr3:uid="{E5521742-5307-4D2F-A90B-D66D2AA4A30A}" name="Reasons for Churn"/>
    <tableColumn id="16" xr3:uid="{B454DBEA-961A-45A1-8F28-7940ED563C3E}" name="Customer Churn 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D58909-16B3-4A56-843E-23DC53E33D62}" name="Table2" displayName="Table2" ref="G11:I18" totalsRowShown="0">
  <autoFilter ref="G11:I18" xr:uid="{4FD58909-16B3-4A56-843E-23DC53E33D62}"/>
  <tableColumns count="3">
    <tableColumn id="1" xr3:uid="{71EE3D17-4FB7-4484-AF5F-70310DBD2C33}" name="Churn Reasons" dataDxfId="2"/>
    <tableColumn id="2" xr3:uid="{6BA8984A-C03B-4BBB-90BA-F94E96FCA731}" name="Customer Count" dataDxfId="1"/>
    <tableColumn id="3" xr3:uid="{3CD4047A-E80A-4366-A021-5D76AC36068E}" name="Cummulative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Purchase" xr10:uid="{5F23A045-C3CA-4454-A657-33C201DD1479}" sourceName="Date of Purchase">
  <pivotTables>
    <pivotTable tabId="3" name="Combined KPIs"/>
    <pivotTable tabId="3" name="Churn by Agegroup"/>
    <pivotTable tabId="3" name="Churn by Device Type"/>
    <pivotTable tabId="3" name="Churn by State"/>
    <pivotTable tabId="3" name="Churn by Subscription Plan"/>
    <pivotTable tabId="3" name="Customer Review"/>
    <pivotTable tabId="3" name="Device Type Doughnut"/>
    <pivotTable tabId="3" name="Gender Doughnut"/>
    <pivotTable tabId="3" name="Reason for Churn"/>
    <pivotTable tabId="3" name="Revenue Lost KPI"/>
    <pivotTable tabId="3" name="Subsription Plan Top 5"/>
    <pivotTable tabId="3" name="Total Customers KPI"/>
    <pivotTable tabId="3" name="PivotTable1"/>
  </pivotTables>
  <state minimalRefreshVersion="6" lastRefreshVersion="6" pivotCacheId="1667700723"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Purchase 1" xr10:uid="{C3D39D82-CAF3-49ED-8F21-EBA676D1451D}" cache="NativeTimeline_Date_of_Purchase" caption="Date of Purchase" showHeader="0" showSelectionLabel="0" showHorizontalScrollbar="0" level="2" selectionLevel="2" scrollPosition="2025-01-01T00:00:00" style="Duplicat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Purchase 2" xr10:uid="{E7B955D6-0DE2-4149-AEDD-B31779368AA0}" cache="NativeTimeline_Date_of_Purchase" caption="Date of Purchase" showHeader="0" showSelectionLabel="0" showHorizontalScrollbar="0" level="2" selectionLevel="2" scrollPosition="2025-01-01T00:00:00" style="Timeline Style 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Purchase" xr10:uid="{5062BD0F-1863-4DA0-A9BD-9A1FEA7DB4F3}" cache="NativeTimeline_Date_of_Purchase" caption="Date of Purchase" showHeader="0" showSelectionLabel="0" showHorizontalScrollbar="0" level="2" selectionLevel="2" scrollPosition="2025-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F30F0-2B16-4204-ACE7-501448773727}">
  <dimension ref="A1:T975"/>
  <sheetViews>
    <sheetView workbookViewId="0">
      <selection activeCell="C2" sqref="C2"/>
    </sheetView>
  </sheetViews>
  <sheetFormatPr defaultRowHeight="14.5" x14ac:dyDescent="0.35"/>
  <cols>
    <col min="1" max="1" width="13.1796875" style="22" customWidth="1"/>
    <col min="2" max="2" width="17.1796875" customWidth="1"/>
    <col min="3" max="3" width="19.26953125" customWidth="1"/>
    <col min="4" max="4" width="20.7265625" style="2" customWidth="1"/>
    <col min="6" max="6" width="12.26953125" customWidth="1"/>
    <col min="7" max="7" width="15" customWidth="1"/>
    <col min="8" max="8" width="19.26953125" customWidth="1"/>
    <col min="9" max="9" width="8.90625" customWidth="1"/>
    <col min="10" max="10" width="17.08984375" customWidth="1"/>
    <col min="11" max="12" width="17.36328125" customWidth="1"/>
    <col min="13" max="13" width="25.81640625" customWidth="1"/>
    <col min="14" max="14" width="21.7265625" customWidth="1"/>
    <col min="15" max="15" width="15.1796875" style="1" customWidth="1"/>
    <col min="16" max="16" width="26.1796875" customWidth="1"/>
    <col min="17" max="17" width="14.54296875" style="1" customWidth="1"/>
    <col min="18" max="18" width="12.1796875" customWidth="1"/>
    <col min="19" max="19" width="22.26953125" customWidth="1"/>
    <col min="20" max="20" width="11.36328125" customWidth="1"/>
  </cols>
  <sheetData>
    <row r="1" spans="1:20" x14ac:dyDescent="0.35">
      <c r="A1" s="22" t="s">
        <v>0</v>
      </c>
      <c r="B1" t="s">
        <v>1104</v>
      </c>
      <c r="C1" t="s">
        <v>1</v>
      </c>
      <c r="D1" s="2" t="s">
        <v>2</v>
      </c>
      <c r="E1" t="s">
        <v>3</v>
      </c>
      <c r="F1" t="s">
        <v>1073</v>
      </c>
      <c r="G1" t="s">
        <v>4</v>
      </c>
      <c r="H1" t="s">
        <v>5</v>
      </c>
      <c r="I1" t="s">
        <v>6</v>
      </c>
      <c r="J1" t="s">
        <v>7</v>
      </c>
      <c r="K1" t="s">
        <v>8</v>
      </c>
      <c r="L1" t="s">
        <v>1074</v>
      </c>
      <c r="M1" t="s">
        <v>9</v>
      </c>
      <c r="N1" t="s">
        <v>10</v>
      </c>
      <c r="O1" s="1" t="s">
        <v>11</v>
      </c>
      <c r="P1" t="s">
        <v>12</v>
      </c>
      <c r="Q1" s="1" t="s">
        <v>13</v>
      </c>
      <c r="R1" t="s">
        <v>14</v>
      </c>
      <c r="S1" t="s">
        <v>16</v>
      </c>
      <c r="T1" t="s">
        <v>15</v>
      </c>
    </row>
    <row r="2" spans="1:20" x14ac:dyDescent="0.35">
      <c r="A2" s="22" t="s">
        <v>17</v>
      </c>
      <c r="B2" cm="1">
        <f t="array" ref="B2">IF(MATCH(Table1[[#This Row],[Customer ID]], Table1[Customer ID], 0) = ROW() - ROW(Table1[#Headers]), 1, 0)</f>
        <v>1</v>
      </c>
      <c r="C2" t="s">
        <v>18</v>
      </c>
      <c r="D2" s="2">
        <v>45682</v>
      </c>
      <c r="E2">
        <v>27</v>
      </c>
      <c r="F2" t="str" cm="1">
        <f t="array" ref="F2">_xlfn.IFS( Table1[[#This Row],[Age]]&lt;18, "&lt;18", Table1[[#This Row],[Age]]&lt;= 29, "18-29", Table1[[#This Row],[Age]]&lt;= 44, "30-44",  Table1[[#This Row],[Age]]&lt;=59, "45-59", TRUE, "60+")</f>
        <v>18-29</v>
      </c>
      <c r="G2" t="s">
        <v>19</v>
      </c>
      <c r="H2" t="s">
        <v>20</v>
      </c>
      <c r="I2" t="s">
        <v>21</v>
      </c>
      <c r="J2">
        <v>2</v>
      </c>
      <c r="K2" t="s">
        <v>22</v>
      </c>
      <c r="L2" t="str" cm="1">
        <f t="array" ref="L2">_xlfn.IFS(Table1[[#This Row],[Customer Tenure in months]]&lt;=6, "0-6 months", Table1[[#This Row],[Customer Tenure in months]] &lt;=12, "7-12 months", Table1[[#This Row],[Customer Tenure in months]] &lt;=24, "1-2 years", TRUE, "2+ years")</f>
        <v>0-6 months</v>
      </c>
      <c r="M2">
        <v>2</v>
      </c>
      <c r="N2" t="s">
        <v>23</v>
      </c>
      <c r="O2" s="1">
        <v>35000</v>
      </c>
      <c r="P2">
        <v>19</v>
      </c>
      <c r="Q2" s="1">
        <v>665000</v>
      </c>
      <c r="R2">
        <v>44.48</v>
      </c>
      <c r="S2" t="s">
        <v>25</v>
      </c>
      <c r="T2" t="s">
        <v>24</v>
      </c>
    </row>
    <row r="3" spans="1:20" x14ac:dyDescent="0.35">
      <c r="A3" s="22" t="s">
        <v>26</v>
      </c>
      <c r="B3" cm="1">
        <f t="array" ref="B3">IF(MATCH(Table1[[#This Row],[Customer ID]], Table1[Customer ID], 0) = ROW() - ROW(Table1[#Headers]), 1, 0)</f>
        <v>1</v>
      </c>
      <c r="C3" t="s">
        <v>27</v>
      </c>
      <c r="D3" s="2">
        <v>45741</v>
      </c>
      <c r="E3">
        <v>16</v>
      </c>
      <c r="F3" t="str" cm="1">
        <f t="array" ref="F3">_xlfn.IFS( Table1[[#This Row],[Age]]&lt;18, "&lt;18", Table1[[#This Row],[Age]]&lt;= 29, "18-29", Table1[[#This Row],[Age]]&lt;= 44, "30-44",  Table1[[#This Row],[Age]]&lt;=59, "45-59", TRUE, "60+")</f>
        <v>&lt;18</v>
      </c>
      <c r="G3" t="s">
        <v>28</v>
      </c>
      <c r="H3" t="s">
        <v>29</v>
      </c>
      <c r="I3" t="s">
        <v>30</v>
      </c>
      <c r="J3">
        <v>2</v>
      </c>
      <c r="K3" t="s">
        <v>22</v>
      </c>
      <c r="L3" t="str" cm="1">
        <f t="array" ref="L3">_xlfn.IFS(Table1[[#This Row],[Customer Tenure in months]]&lt;=6, "0-6 months", Table1[[#This Row],[Customer Tenure in months]] &lt;=12, "7-12 months", Table1[[#This Row],[Customer Tenure in months]] &lt;=24, "1-2 years", TRUE, "2+ years")</f>
        <v>1-2 years</v>
      </c>
      <c r="M3">
        <v>22</v>
      </c>
      <c r="N3" t="s">
        <v>31</v>
      </c>
      <c r="O3" s="1">
        <v>5500</v>
      </c>
      <c r="P3">
        <v>12</v>
      </c>
      <c r="Q3" s="1">
        <v>66000</v>
      </c>
      <c r="R3">
        <v>19.79</v>
      </c>
      <c r="S3" t="s">
        <v>32</v>
      </c>
      <c r="T3" t="s">
        <v>24</v>
      </c>
    </row>
    <row r="4" spans="1:20" x14ac:dyDescent="0.35">
      <c r="A4" s="22" t="s">
        <v>33</v>
      </c>
      <c r="B4" cm="1">
        <f t="array" ref="B4">IF(MATCH(Table1[[#This Row],[Customer ID]], Table1[Customer ID], 0) = ROW() - ROW(Table1[#Headers]), 1, 0)</f>
        <v>1</v>
      </c>
      <c r="C4" t="s">
        <v>34</v>
      </c>
      <c r="D4" s="2">
        <v>45741</v>
      </c>
      <c r="E4">
        <v>21</v>
      </c>
      <c r="F4" t="str" cm="1">
        <f t="array" ref="F4">_xlfn.IFS( Table1[[#This Row],[Age]]&lt;18, "&lt;18", Table1[[#This Row],[Age]]&lt;= 29, "18-29", Table1[[#This Row],[Age]]&lt;= 44, "30-44",  Table1[[#This Row],[Age]]&lt;=59, "45-59", TRUE, "60+")</f>
        <v>18-29</v>
      </c>
      <c r="G4" t="s">
        <v>35</v>
      </c>
      <c r="H4" t="s">
        <v>36</v>
      </c>
      <c r="I4" t="s">
        <v>21</v>
      </c>
      <c r="J4">
        <v>1</v>
      </c>
      <c r="K4" t="s">
        <v>37</v>
      </c>
      <c r="L4" t="str" cm="1">
        <f t="array" ref="L4">_xlfn.IFS(Table1[[#This Row],[Customer Tenure in months]]&lt;=6, "0-6 months", Table1[[#This Row],[Customer Tenure in months]] &lt;=12, "7-12 months", Table1[[#This Row],[Customer Tenure in months]] &lt;=24, "1-2 years", TRUE, "2+ years")</f>
        <v>2+ years</v>
      </c>
      <c r="M4">
        <v>60</v>
      </c>
      <c r="N4" t="s">
        <v>38</v>
      </c>
      <c r="O4" s="1">
        <v>20000</v>
      </c>
      <c r="P4">
        <v>8</v>
      </c>
      <c r="Q4" s="1">
        <v>160000</v>
      </c>
      <c r="R4">
        <v>9.64</v>
      </c>
      <c r="S4" t="s">
        <v>1091</v>
      </c>
      <c r="T4" t="s">
        <v>39</v>
      </c>
    </row>
    <row r="5" spans="1:20" x14ac:dyDescent="0.35">
      <c r="A5" s="22" t="s">
        <v>33</v>
      </c>
      <c r="B5" cm="1">
        <f t="array" ref="B5">IF(MATCH(Table1[[#This Row],[Customer ID]], Table1[Customer ID], 0) = ROW() - ROW(Table1[#Headers]), 1, 0)</f>
        <v>0</v>
      </c>
      <c r="C5" t="s">
        <v>34</v>
      </c>
      <c r="D5" s="2">
        <v>45741</v>
      </c>
      <c r="E5">
        <v>21</v>
      </c>
      <c r="F5" t="str" cm="1">
        <f t="array" ref="F5">_xlfn.IFS( Table1[[#This Row],[Age]]&lt;18, "&lt;18", Table1[[#This Row],[Age]]&lt;= 29, "18-29", Table1[[#This Row],[Age]]&lt;= 44, "30-44",  Table1[[#This Row],[Age]]&lt;=59, "45-59", TRUE, "60+")</f>
        <v>18-29</v>
      </c>
      <c r="G5" t="s">
        <v>35</v>
      </c>
      <c r="H5" t="s">
        <v>29</v>
      </c>
      <c r="I5" t="s">
        <v>21</v>
      </c>
      <c r="J5">
        <v>1</v>
      </c>
      <c r="K5" t="s">
        <v>37</v>
      </c>
      <c r="L5" t="str" cm="1">
        <f t="array" ref="L5">_xlfn.IFS(Table1[[#This Row],[Customer Tenure in months]]&lt;=6, "0-6 months", Table1[[#This Row],[Customer Tenure in months]] &lt;=12, "7-12 months", Table1[[#This Row],[Customer Tenure in months]] &lt;=24, "1-2 years", TRUE, "2+ years")</f>
        <v>2+ years</v>
      </c>
      <c r="M5">
        <v>60</v>
      </c>
      <c r="N5" t="s">
        <v>40</v>
      </c>
      <c r="O5" s="1">
        <v>500</v>
      </c>
      <c r="P5">
        <v>8</v>
      </c>
      <c r="Q5" s="1">
        <v>4000</v>
      </c>
      <c r="R5">
        <v>197.05</v>
      </c>
      <c r="S5" t="s">
        <v>1091</v>
      </c>
      <c r="T5" t="s">
        <v>39</v>
      </c>
    </row>
    <row r="6" spans="1:20" x14ac:dyDescent="0.35">
      <c r="A6" s="22" t="s">
        <v>33</v>
      </c>
      <c r="B6" cm="1">
        <f t="array" ref="B6">IF(MATCH(Table1[[#This Row],[Customer ID]], Table1[Customer ID], 0) = ROW() - ROW(Table1[#Headers]), 1, 0)</f>
        <v>0</v>
      </c>
      <c r="C6" t="s">
        <v>34</v>
      </c>
      <c r="D6" s="2">
        <v>45741</v>
      </c>
      <c r="E6">
        <v>21</v>
      </c>
      <c r="F6" t="str" cm="1">
        <f t="array" ref="F6">_xlfn.IFS( Table1[[#This Row],[Age]]&lt;18, "&lt;18", Table1[[#This Row],[Age]]&lt;= 29, "18-29", Table1[[#This Row],[Age]]&lt;= 44, "30-44",  Table1[[#This Row],[Age]]&lt;=59, "45-59", TRUE, "60+")</f>
        <v>18-29</v>
      </c>
      <c r="G6" t="s">
        <v>35</v>
      </c>
      <c r="H6" t="s">
        <v>41</v>
      </c>
      <c r="I6" t="s">
        <v>21</v>
      </c>
      <c r="J6">
        <v>1</v>
      </c>
      <c r="K6" t="s">
        <v>37</v>
      </c>
      <c r="L6" t="str" cm="1">
        <f t="array" ref="L6">_xlfn.IFS(Table1[[#This Row],[Customer Tenure in months]]&lt;=6, "0-6 months", Table1[[#This Row],[Customer Tenure in months]] &lt;=12, "7-12 months", Table1[[#This Row],[Customer Tenure in months]] &lt;=24, "1-2 years", TRUE, "2+ years")</f>
        <v>2+ years</v>
      </c>
      <c r="M6">
        <v>60</v>
      </c>
      <c r="N6" t="s">
        <v>42</v>
      </c>
      <c r="O6" s="1">
        <v>9000</v>
      </c>
      <c r="P6">
        <v>15</v>
      </c>
      <c r="Q6" s="1">
        <v>135000</v>
      </c>
      <c r="R6">
        <v>76.34</v>
      </c>
      <c r="S6" t="s">
        <v>1091</v>
      </c>
      <c r="T6" t="s">
        <v>39</v>
      </c>
    </row>
    <row r="7" spans="1:20" x14ac:dyDescent="0.35">
      <c r="A7" s="22" t="s">
        <v>43</v>
      </c>
      <c r="B7" cm="1">
        <f t="array" ref="B7">IF(MATCH(Table1[[#This Row],[Customer ID]], Table1[Customer ID], 0) = ROW() - ROW(Table1[#Headers]), 1, 0)</f>
        <v>1</v>
      </c>
      <c r="C7" t="s">
        <v>44</v>
      </c>
      <c r="D7" s="2">
        <v>45741</v>
      </c>
      <c r="E7">
        <v>36</v>
      </c>
      <c r="F7" t="str" cm="1">
        <f t="array" ref="F7">_xlfn.IFS( Table1[[#This Row],[Age]]&lt;18, "&lt;18", Table1[[#This Row],[Age]]&lt;= 29, "18-29", Table1[[#This Row],[Age]]&lt;= 44, "30-44",  Table1[[#This Row],[Age]]&lt;=59, "45-59", TRUE, "60+")</f>
        <v>30-44</v>
      </c>
      <c r="G7" t="s">
        <v>45</v>
      </c>
      <c r="H7" t="s">
        <v>20</v>
      </c>
      <c r="I7" t="s">
        <v>30</v>
      </c>
      <c r="J7">
        <v>1</v>
      </c>
      <c r="K7" t="s">
        <v>37</v>
      </c>
      <c r="L7" t="str" cm="1">
        <f t="array" ref="L7">_xlfn.IFS(Table1[[#This Row],[Customer Tenure in months]]&lt;=6, "0-6 months", Table1[[#This Row],[Customer Tenure in months]] &lt;=12, "7-12 months", Table1[[#This Row],[Customer Tenure in months]] &lt;=24, "1-2 years", TRUE, "2+ years")</f>
        <v>1-2 years</v>
      </c>
      <c r="M7">
        <v>14</v>
      </c>
      <c r="N7" t="s">
        <v>46</v>
      </c>
      <c r="O7" s="1">
        <v>4500</v>
      </c>
      <c r="P7">
        <v>9</v>
      </c>
      <c r="Q7" s="1">
        <v>40500</v>
      </c>
      <c r="R7">
        <v>92.72</v>
      </c>
      <c r="S7" t="s">
        <v>1091</v>
      </c>
      <c r="T7" t="s">
        <v>39</v>
      </c>
    </row>
    <row r="8" spans="1:20" x14ac:dyDescent="0.35">
      <c r="A8" s="22" t="s">
        <v>47</v>
      </c>
      <c r="B8" cm="1">
        <f t="array" ref="B8">IF(MATCH(Table1[[#This Row],[Customer ID]], Table1[Customer ID], 0) = ROW() - ROW(Table1[#Headers]), 1, 0)</f>
        <v>1</v>
      </c>
      <c r="C8" t="s">
        <v>48</v>
      </c>
      <c r="D8" s="2">
        <v>45682</v>
      </c>
      <c r="E8">
        <v>57</v>
      </c>
      <c r="F8" t="str" cm="1">
        <f t="array" ref="F8">_xlfn.IFS( Table1[[#This Row],[Age]]&lt;18, "&lt;18", Table1[[#This Row],[Age]]&lt;= 29, "18-29", Table1[[#This Row],[Age]]&lt;= 44, "30-44",  Table1[[#This Row],[Age]]&lt;=59, "45-59", TRUE, "60+")</f>
        <v>45-59</v>
      </c>
      <c r="G8" t="s">
        <v>49</v>
      </c>
      <c r="H8" t="s">
        <v>20</v>
      </c>
      <c r="I8" t="s">
        <v>21</v>
      </c>
      <c r="J8">
        <v>3</v>
      </c>
      <c r="K8" t="s">
        <v>50</v>
      </c>
      <c r="L8" t="str" cm="1">
        <f t="array" ref="L8">_xlfn.IFS(Table1[[#This Row],[Customer Tenure in months]]&lt;=6, "0-6 months", Table1[[#This Row],[Customer Tenure in months]] &lt;=12, "7-12 months", Table1[[#This Row],[Customer Tenure in months]] &lt;=24, "1-2 years", TRUE, "2+ years")</f>
        <v>2+ years</v>
      </c>
      <c r="M8">
        <v>53</v>
      </c>
      <c r="N8" t="s">
        <v>51</v>
      </c>
      <c r="O8" s="1">
        <v>9000</v>
      </c>
      <c r="P8">
        <v>16</v>
      </c>
      <c r="Q8" s="1">
        <v>144000</v>
      </c>
      <c r="R8">
        <v>42.92</v>
      </c>
      <c r="S8" t="s">
        <v>1091</v>
      </c>
      <c r="T8" t="s">
        <v>39</v>
      </c>
    </row>
    <row r="9" spans="1:20" x14ac:dyDescent="0.35">
      <c r="A9" s="22" t="s">
        <v>52</v>
      </c>
      <c r="B9" cm="1">
        <f t="array" ref="B9">IF(MATCH(Table1[[#This Row],[Customer ID]], Table1[Customer ID], 0) = ROW() - ROW(Table1[#Headers]), 1, 0)</f>
        <v>1</v>
      </c>
      <c r="C9" t="s">
        <v>53</v>
      </c>
      <c r="D9" s="2">
        <v>45713</v>
      </c>
      <c r="E9">
        <v>74</v>
      </c>
      <c r="F9" t="str" cm="1">
        <f t="array" ref="F9">_xlfn.IFS( Table1[[#This Row],[Age]]&lt;18, "&lt;18", Table1[[#This Row],[Age]]&lt;= 29, "18-29", Table1[[#This Row],[Age]]&lt;= 44, "30-44",  Table1[[#This Row],[Age]]&lt;=59, "45-59", TRUE, "60+")</f>
        <v>60+</v>
      </c>
      <c r="G9" t="s">
        <v>54</v>
      </c>
      <c r="H9" t="s">
        <v>29</v>
      </c>
      <c r="I9" t="s">
        <v>30</v>
      </c>
      <c r="J9">
        <v>5</v>
      </c>
      <c r="K9" t="s">
        <v>55</v>
      </c>
      <c r="L9" t="str" cm="1">
        <f t="array" ref="L9">_xlfn.IFS(Table1[[#This Row],[Customer Tenure in months]]&lt;=6, "0-6 months", Table1[[#This Row],[Customer Tenure in months]] &lt;=12, "7-12 months", Table1[[#This Row],[Customer Tenure in months]] &lt;=24, "1-2 years", TRUE, "2+ years")</f>
        <v>7-12 months</v>
      </c>
      <c r="M9">
        <v>9</v>
      </c>
      <c r="N9" t="s">
        <v>56</v>
      </c>
      <c r="O9" s="1">
        <v>3500</v>
      </c>
      <c r="P9">
        <v>5</v>
      </c>
      <c r="Q9" s="1">
        <v>17500</v>
      </c>
      <c r="R9">
        <v>44.25</v>
      </c>
      <c r="S9" t="s">
        <v>1091</v>
      </c>
      <c r="T9" t="s">
        <v>39</v>
      </c>
    </row>
    <row r="10" spans="1:20" x14ac:dyDescent="0.35">
      <c r="A10" s="22" t="s">
        <v>52</v>
      </c>
      <c r="B10" cm="1">
        <f t="array" ref="B10">IF(MATCH(Table1[[#This Row],[Customer ID]], Table1[Customer ID], 0) = ROW() - ROW(Table1[#Headers]), 1, 0)</f>
        <v>0</v>
      </c>
      <c r="C10" t="s">
        <v>53</v>
      </c>
      <c r="D10" s="2">
        <v>45713</v>
      </c>
      <c r="E10">
        <v>74</v>
      </c>
      <c r="F10" t="str" cm="1">
        <f t="array" ref="F10">_xlfn.IFS( Table1[[#This Row],[Age]]&lt;18, "&lt;18", Table1[[#This Row],[Age]]&lt;= 29, "18-29", Table1[[#This Row],[Age]]&lt;= 44, "30-44",  Table1[[#This Row],[Age]]&lt;=59, "45-59", TRUE, "60+")</f>
        <v>60+</v>
      </c>
      <c r="G10" t="s">
        <v>54</v>
      </c>
      <c r="H10" t="s">
        <v>36</v>
      </c>
      <c r="I10" t="s">
        <v>30</v>
      </c>
      <c r="J10">
        <v>5</v>
      </c>
      <c r="K10" t="s">
        <v>55</v>
      </c>
      <c r="L10" t="str" cm="1">
        <f t="array" ref="L10">_xlfn.IFS(Table1[[#This Row],[Customer Tenure in months]]&lt;=6, "0-6 months", Table1[[#This Row],[Customer Tenure in months]] &lt;=12, "7-12 months", Table1[[#This Row],[Customer Tenure in months]] &lt;=24, "1-2 years", TRUE, "2+ years")</f>
        <v>7-12 months</v>
      </c>
      <c r="M10">
        <v>9</v>
      </c>
      <c r="N10" t="s">
        <v>57</v>
      </c>
      <c r="O10" s="1">
        <v>150000</v>
      </c>
      <c r="P10">
        <v>2</v>
      </c>
      <c r="Q10" s="1">
        <v>300000</v>
      </c>
      <c r="R10">
        <v>18.64</v>
      </c>
      <c r="S10" t="s">
        <v>1091</v>
      </c>
      <c r="T10" t="s">
        <v>39</v>
      </c>
    </row>
    <row r="11" spans="1:20" x14ac:dyDescent="0.35">
      <c r="A11" s="22" t="s">
        <v>52</v>
      </c>
      <c r="B11" cm="1">
        <f t="array" ref="B11">IF(MATCH(Table1[[#This Row],[Customer ID]], Table1[Customer ID], 0) = ROW() - ROW(Table1[#Headers]), 1, 0)</f>
        <v>0</v>
      </c>
      <c r="C11" t="s">
        <v>53</v>
      </c>
      <c r="D11" s="2">
        <v>45713</v>
      </c>
      <c r="E11">
        <v>74</v>
      </c>
      <c r="F11" t="str" cm="1">
        <f t="array" ref="F11">_xlfn.IFS( Table1[[#This Row],[Age]]&lt;18, "&lt;18", Table1[[#This Row],[Age]]&lt;= 29, "18-29", Table1[[#This Row],[Age]]&lt;= 44, "30-44",  Table1[[#This Row],[Age]]&lt;=59, "45-59", TRUE, "60+")</f>
        <v>60+</v>
      </c>
      <c r="G11" t="s">
        <v>54</v>
      </c>
      <c r="H11" t="s">
        <v>20</v>
      </c>
      <c r="I11" t="s">
        <v>30</v>
      </c>
      <c r="J11">
        <v>5</v>
      </c>
      <c r="K11" t="s">
        <v>55</v>
      </c>
      <c r="L11" t="str" cm="1">
        <f t="array" ref="L11">_xlfn.IFS(Table1[[#This Row],[Customer Tenure in months]]&lt;=6, "0-6 months", Table1[[#This Row],[Customer Tenure in months]] &lt;=12, "7-12 months", Table1[[#This Row],[Customer Tenure in months]] &lt;=24, "1-2 years", TRUE, "2+ years")</f>
        <v>7-12 months</v>
      </c>
      <c r="M11">
        <v>9</v>
      </c>
      <c r="N11" t="s">
        <v>58</v>
      </c>
      <c r="O11" s="1">
        <v>16000</v>
      </c>
      <c r="P11">
        <v>6</v>
      </c>
      <c r="Q11" s="1">
        <v>96000</v>
      </c>
      <c r="R11">
        <v>30.99</v>
      </c>
      <c r="S11" t="s">
        <v>1091</v>
      </c>
      <c r="T11" t="s">
        <v>39</v>
      </c>
    </row>
    <row r="12" spans="1:20" x14ac:dyDescent="0.35">
      <c r="A12" s="22" t="s">
        <v>59</v>
      </c>
      <c r="B12" cm="1">
        <f t="array" ref="B12">IF(MATCH(Table1[[#This Row],[Customer ID]], Table1[Customer ID], 0) = ROW() - ROW(Table1[#Headers]), 1, 0)</f>
        <v>1</v>
      </c>
      <c r="C12" t="s">
        <v>60</v>
      </c>
      <c r="D12" s="2">
        <v>45741</v>
      </c>
      <c r="E12">
        <v>24</v>
      </c>
      <c r="F12" t="str" cm="1">
        <f t="array" ref="F12">_xlfn.IFS( Table1[[#This Row],[Age]]&lt;18, "&lt;18", Table1[[#This Row],[Age]]&lt;= 29, "18-29", Table1[[#This Row],[Age]]&lt;= 44, "30-44",  Table1[[#This Row],[Age]]&lt;=59, "45-59", TRUE, "60+")</f>
        <v>18-29</v>
      </c>
      <c r="G12" t="s">
        <v>61</v>
      </c>
      <c r="H12" t="s">
        <v>41</v>
      </c>
      <c r="I12" t="s">
        <v>30</v>
      </c>
      <c r="J12">
        <v>5</v>
      </c>
      <c r="K12" t="s">
        <v>55</v>
      </c>
      <c r="L12" t="str" cm="1">
        <f t="array" ref="L12">_xlfn.IFS(Table1[[#This Row],[Customer Tenure in months]]&lt;=6, "0-6 months", Table1[[#This Row],[Customer Tenure in months]] &lt;=12, "7-12 months", Table1[[#This Row],[Customer Tenure in months]] &lt;=24, "1-2 years", TRUE, "2+ years")</f>
        <v>2+ years</v>
      </c>
      <c r="M12">
        <v>39</v>
      </c>
      <c r="N12" t="s">
        <v>62</v>
      </c>
      <c r="O12" s="1">
        <v>24000</v>
      </c>
      <c r="P12">
        <v>11</v>
      </c>
      <c r="Q12" s="1">
        <v>264000</v>
      </c>
      <c r="R12">
        <v>150.30000000000001</v>
      </c>
      <c r="S12" t="s">
        <v>25</v>
      </c>
      <c r="T12" t="s">
        <v>24</v>
      </c>
    </row>
    <row r="13" spans="1:20" x14ac:dyDescent="0.35">
      <c r="A13" s="22" t="s">
        <v>63</v>
      </c>
      <c r="B13" cm="1">
        <f t="array" ref="B13">IF(MATCH(Table1[[#This Row],[Customer ID]], Table1[Customer ID], 0) = ROW() - ROW(Table1[#Headers]), 1, 0)</f>
        <v>1</v>
      </c>
      <c r="C13" t="s">
        <v>64</v>
      </c>
      <c r="D13" s="2">
        <v>45682</v>
      </c>
      <c r="E13">
        <v>53</v>
      </c>
      <c r="F13" t="str" cm="1">
        <f t="array" ref="F13">_xlfn.IFS( Table1[[#This Row],[Age]]&lt;18, "&lt;18", Table1[[#This Row],[Age]]&lt;= 29, "18-29", Table1[[#This Row],[Age]]&lt;= 44, "30-44",  Table1[[#This Row],[Age]]&lt;=59, "45-59", TRUE, "60+")</f>
        <v>45-59</v>
      </c>
      <c r="G13" t="s">
        <v>19</v>
      </c>
      <c r="H13" t="s">
        <v>41</v>
      </c>
      <c r="I13" t="s">
        <v>21</v>
      </c>
      <c r="J13">
        <v>3</v>
      </c>
      <c r="K13" t="s">
        <v>50</v>
      </c>
      <c r="L13" t="str" cm="1">
        <f t="array" ref="L13">_xlfn.IFS(Table1[[#This Row],[Customer Tenure in months]]&lt;=6, "0-6 months", Table1[[#This Row],[Customer Tenure in months]] &lt;=12, "7-12 months", Table1[[#This Row],[Customer Tenure in months]] &lt;=24, "1-2 years", TRUE, "2+ years")</f>
        <v>2+ years</v>
      </c>
      <c r="M13">
        <v>30</v>
      </c>
      <c r="N13" t="s">
        <v>65</v>
      </c>
      <c r="O13" s="1">
        <v>30000</v>
      </c>
      <c r="P13">
        <v>17</v>
      </c>
      <c r="Q13" s="1">
        <v>510000</v>
      </c>
      <c r="R13">
        <v>168.41</v>
      </c>
      <c r="S13" t="s">
        <v>1091</v>
      </c>
      <c r="T13" t="s">
        <v>39</v>
      </c>
    </row>
    <row r="14" spans="1:20" x14ac:dyDescent="0.35">
      <c r="A14" s="22" t="s">
        <v>66</v>
      </c>
      <c r="B14" cm="1">
        <f t="array" ref="B14">IF(MATCH(Table1[[#This Row],[Customer ID]], Table1[Customer ID], 0) = ROW() - ROW(Table1[#Headers]), 1, 0)</f>
        <v>1</v>
      </c>
      <c r="C14" t="s">
        <v>67</v>
      </c>
      <c r="D14" s="2">
        <v>45682</v>
      </c>
      <c r="E14">
        <v>35</v>
      </c>
      <c r="F14" t="str" cm="1">
        <f t="array" ref="F14">_xlfn.IFS( Table1[[#This Row],[Age]]&lt;18, "&lt;18", Table1[[#This Row],[Age]]&lt;= 29, "18-29", Table1[[#This Row],[Age]]&lt;= 44, "30-44",  Table1[[#This Row],[Age]]&lt;=59, "45-59", TRUE, "60+")</f>
        <v>30-44</v>
      </c>
      <c r="G14" t="s">
        <v>45</v>
      </c>
      <c r="H14" t="s">
        <v>41</v>
      </c>
      <c r="I14" t="s">
        <v>21</v>
      </c>
      <c r="J14">
        <v>5</v>
      </c>
      <c r="K14" t="s">
        <v>55</v>
      </c>
      <c r="L14" t="str" cm="1">
        <f t="array" ref="L14">_xlfn.IFS(Table1[[#This Row],[Customer Tenure in months]]&lt;=6, "0-6 months", Table1[[#This Row],[Customer Tenure in months]] &lt;=12, "7-12 months", Table1[[#This Row],[Customer Tenure in months]] &lt;=24, "1-2 years", TRUE, "2+ years")</f>
        <v>2+ years</v>
      </c>
      <c r="M14">
        <v>35</v>
      </c>
      <c r="N14" t="s">
        <v>65</v>
      </c>
      <c r="O14" s="1">
        <v>30000</v>
      </c>
      <c r="P14">
        <v>10</v>
      </c>
      <c r="Q14" s="1">
        <v>300000</v>
      </c>
      <c r="R14">
        <v>175.81</v>
      </c>
      <c r="S14" t="s">
        <v>1091</v>
      </c>
      <c r="T14" t="s">
        <v>39</v>
      </c>
    </row>
    <row r="15" spans="1:20" x14ac:dyDescent="0.35">
      <c r="A15" s="22" t="s">
        <v>68</v>
      </c>
      <c r="B15" cm="1">
        <f t="array" ref="B15">IF(MATCH(Table1[[#This Row],[Customer ID]], Table1[Customer ID], 0) = ROW() - ROW(Table1[#Headers]), 1, 0)</f>
        <v>1</v>
      </c>
      <c r="C15" t="s">
        <v>69</v>
      </c>
      <c r="D15" s="2">
        <v>45741</v>
      </c>
      <c r="E15">
        <v>23</v>
      </c>
      <c r="F15" t="str" cm="1">
        <f t="array" ref="F15">_xlfn.IFS( Table1[[#This Row],[Age]]&lt;18, "&lt;18", Table1[[#This Row],[Age]]&lt;= 29, "18-29", Table1[[#This Row],[Age]]&lt;= 44, "30-44",  Table1[[#This Row],[Age]]&lt;=59, "45-59", TRUE, "60+")</f>
        <v>18-29</v>
      </c>
      <c r="G15" t="s">
        <v>70</v>
      </c>
      <c r="H15" t="s">
        <v>20</v>
      </c>
      <c r="I15" t="s">
        <v>21</v>
      </c>
      <c r="J15">
        <v>1</v>
      </c>
      <c r="K15" t="s">
        <v>37</v>
      </c>
      <c r="L15" t="str" cm="1">
        <f t="array" ref="L15">_xlfn.IFS(Table1[[#This Row],[Customer Tenure in months]]&lt;=6, "0-6 months", Table1[[#This Row],[Customer Tenure in months]] &lt;=12, "7-12 months", Table1[[#This Row],[Customer Tenure in months]] &lt;=24, "1-2 years", TRUE, "2+ years")</f>
        <v>0-6 months</v>
      </c>
      <c r="M15">
        <v>6</v>
      </c>
      <c r="N15" t="s">
        <v>46</v>
      </c>
      <c r="O15" s="1">
        <v>4500</v>
      </c>
      <c r="P15">
        <v>20</v>
      </c>
      <c r="Q15" s="1">
        <v>90000</v>
      </c>
      <c r="R15">
        <v>53.38</v>
      </c>
      <c r="S15" t="s">
        <v>1091</v>
      </c>
      <c r="T15" t="s">
        <v>39</v>
      </c>
    </row>
    <row r="16" spans="1:20" x14ac:dyDescent="0.35">
      <c r="A16" s="22" t="s">
        <v>68</v>
      </c>
      <c r="B16" cm="1">
        <f t="array" ref="B16">IF(MATCH(Table1[[#This Row],[Customer ID]], Table1[Customer ID], 0) = ROW() - ROW(Table1[#Headers]), 1, 0)</f>
        <v>0</v>
      </c>
      <c r="C16" t="s">
        <v>69</v>
      </c>
      <c r="D16" s="2">
        <v>45741</v>
      </c>
      <c r="E16">
        <v>23</v>
      </c>
      <c r="F16" t="str" cm="1">
        <f t="array" ref="F16">_xlfn.IFS( Table1[[#This Row],[Age]]&lt;18, "&lt;18", Table1[[#This Row],[Age]]&lt;= 29, "18-29", Table1[[#This Row],[Age]]&lt;= 44, "30-44",  Table1[[#This Row],[Age]]&lt;=59, "45-59", TRUE, "60+")</f>
        <v>18-29</v>
      </c>
      <c r="G16" t="s">
        <v>70</v>
      </c>
      <c r="H16" t="s">
        <v>41</v>
      </c>
      <c r="I16" t="s">
        <v>21</v>
      </c>
      <c r="J16">
        <v>1</v>
      </c>
      <c r="K16" t="s">
        <v>37</v>
      </c>
      <c r="L16" t="str" cm="1">
        <f t="array" ref="L16">_xlfn.IFS(Table1[[#This Row],[Customer Tenure in months]]&lt;=6, "0-6 months", Table1[[#This Row],[Customer Tenure in months]] &lt;=12, "7-12 months", Table1[[#This Row],[Customer Tenure in months]] &lt;=24, "1-2 years", TRUE, "2+ years")</f>
        <v>0-6 months</v>
      </c>
      <c r="M16">
        <v>6</v>
      </c>
      <c r="N16" t="s">
        <v>71</v>
      </c>
      <c r="O16" s="1">
        <v>14500</v>
      </c>
      <c r="P16">
        <v>18</v>
      </c>
      <c r="Q16" s="1">
        <v>261000</v>
      </c>
      <c r="R16">
        <v>192.89</v>
      </c>
      <c r="S16" t="s">
        <v>1091</v>
      </c>
      <c r="T16" t="s">
        <v>39</v>
      </c>
    </row>
    <row r="17" spans="1:20" x14ac:dyDescent="0.35">
      <c r="A17" s="22" t="s">
        <v>68</v>
      </c>
      <c r="B17" cm="1">
        <f t="array" ref="B17">IF(MATCH(Table1[[#This Row],[Customer ID]], Table1[Customer ID], 0) = ROW() - ROW(Table1[#Headers]), 1, 0)</f>
        <v>0</v>
      </c>
      <c r="C17" t="s">
        <v>69</v>
      </c>
      <c r="D17" s="2">
        <v>45741</v>
      </c>
      <c r="E17">
        <v>23</v>
      </c>
      <c r="F17" t="str" cm="1">
        <f t="array" ref="F17">_xlfn.IFS( Table1[[#This Row],[Age]]&lt;18, "&lt;18", Table1[[#This Row],[Age]]&lt;= 29, "18-29", Table1[[#This Row],[Age]]&lt;= 44, "30-44",  Table1[[#This Row],[Age]]&lt;=59, "45-59", TRUE, "60+")</f>
        <v>18-29</v>
      </c>
      <c r="G17" t="s">
        <v>70</v>
      </c>
      <c r="H17" t="s">
        <v>29</v>
      </c>
      <c r="I17" t="s">
        <v>21</v>
      </c>
      <c r="J17">
        <v>1</v>
      </c>
      <c r="K17" t="s">
        <v>37</v>
      </c>
      <c r="L17" t="str" cm="1">
        <f t="array" ref="L17">_xlfn.IFS(Table1[[#This Row],[Customer Tenure in months]]&lt;=6, "0-6 months", Table1[[#This Row],[Customer Tenure in months]] &lt;=12, "7-12 months", Table1[[#This Row],[Customer Tenure in months]] &lt;=24, "1-2 years", TRUE, "2+ years")</f>
        <v>0-6 months</v>
      </c>
      <c r="M17">
        <v>6</v>
      </c>
      <c r="N17" t="s">
        <v>72</v>
      </c>
      <c r="O17" s="1">
        <v>350</v>
      </c>
      <c r="P17">
        <v>13</v>
      </c>
      <c r="Q17" s="1">
        <v>4550</v>
      </c>
      <c r="R17">
        <v>142.72999999999999</v>
      </c>
      <c r="S17" t="s">
        <v>1091</v>
      </c>
      <c r="T17" t="s">
        <v>39</v>
      </c>
    </row>
    <row r="18" spans="1:20" x14ac:dyDescent="0.35">
      <c r="A18" s="22" t="s">
        <v>73</v>
      </c>
      <c r="B18" cm="1">
        <f t="array" ref="B18">IF(MATCH(Table1[[#This Row],[Customer ID]], Table1[Customer ID], 0) = ROW() - ROW(Table1[#Headers]), 1, 0)</f>
        <v>1</v>
      </c>
      <c r="C18" t="s">
        <v>74</v>
      </c>
      <c r="D18" s="2">
        <v>45713</v>
      </c>
      <c r="E18">
        <v>72</v>
      </c>
      <c r="F18" t="str" cm="1">
        <f t="array" ref="F18">_xlfn.IFS( Table1[[#This Row],[Age]]&lt;18, "&lt;18", Table1[[#This Row],[Age]]&lt;= 29, "18-29", Table1[[#This Row],[Age]]&lt;= 44, "30-44",  Table1[[#This Row],[Age]]&lt;=59, "45-59", TRUE, "60+")</f>
        <v>60+</v>
      </c>
      <c r="G18" t="s">
        <v>75</v>
      </c>
      <c r="H18" t="s">
        <v>20</v>
      </c>
      <c r="I18" t="s">
        <v>30</v>
      </c>
      <c r="J18">
        <v>2</v>
      </c>
      <c r="K18" t="s">
        <v>22</v>
      </c>
      <c r="L18" t="str" cm="1">
        <f t="array" ref="L18">_xlfn.IFS(Table1[[#This Row],[Customer Tenure in months]]&lt;=6, "0-6 months", Table1[[#This Row],[Customer Tenure in months]] &lt;=12, "7-12 months", Table1[[#This Row],[Customer Tenure in months]] &lt;=24, "1-2 years", TRUE, "2+ years")</f>
        <v>7-12 months</v>
      </c>
      <c r="M18">
        <v>8</v>
      </c>
      <c r="N18" t="s">
        <v>58</v>
      </c>
      <c r="O18" s="1">
        <v>16000</v>
      </c>
      <c r="P18">
        <v>2</v>
      </c>
      <c r="Q18" s="1">
        <v>32000</v>
      </c>
      <c r="R18">
        <v>14.66</v>
      </c>
      <c r="S18" t="s">
        <v>76</v>
      </c>
      <c r="T18" t="s">
        <v>24</v>
      </c>
    </row>
    <row r="19" spans="1:20" x14ac:dyDescent="0.35">
      <c r="A19" s="22" t="s">
        <v>73</v>
      </c>
      <c r="B19" cm="1">
        <f t="array" ref="B19">IF(MATCH(Table1[[#This Row],[Customer ID]], Table1[Customer ID], 0) = ROW() - ROW(Table1[#Headers]), 1, 0)</f>
        <v>0</v>
      </c>
      <c r="C19" t="s">
        <v>74</v>
      </c>
      <c r="D19" s="2">
        <v>45713</v>
      </c>
      <c r="E19">
        <v>72</v>
      </c>
      <c r="F19" t="str" cm="1">
        <f t="array" ref="F19">_xlfn.IFS( Table1[[#This Row],[Age]]&lt;18, "&lt;18", Table1[[#This Row],[Age]]&lt;= 29, "18-29", Table1[[#This Row],[Age]]&lt;= 44, "30-44",  Table1[[#This Row],[Age]]&lt;=59, "45-59", TRUE, "60+")</f>
        <v>60+</v>
      </c>
      <c r="G19" t="s">
        <v>75</v>
      </c>
      <c r="H19" t="s">
        <v>36</v>
      </c>
      <c r="I19" t="s">
        <v>30</v>
      </c>
      <c r="J19">
        <v>2</v>
      </c>
      <c r="K19" t="s">
        <v>22</v>
      </c>
      <c r="L19" t="str" cm="1">
        <f t="array" ref="L19">_xlfn.IFS(Table1[[#This Row],[Customer Tenure in months]]&lt;=6, "0-6 months", Table1[[#This Row],[Customer Tenure in months]] &lt;=12, "7-12 months", Table1[[#This Row],[Customer Tenure in months]] &lt;=24, "1-2 years", TRUE, "2+ years")</f>
        <v>7-12 months</v>
      </c>
      <c r="M19">
        <v>8</v>
      </c>
      <c r="N19" t="s">
        <v>71</v>
      </c>
      <c r="O19" s="1">
        <v>14500</v>
      </c>
      <c r="P19">
        <v>2</v>
      </c>
      <c r="Q19" s="1">
        <v>29000</v>
      </c>
      <c r="R19">
        <v>13.95</v>
      </c>
      <c r="S19" t="s">
        <v>76</v>
      </c>
      <c r="T19" t="s">
        <v>24</v>
      </c>
    </row>
    <row r="20" spans="1:20" x14ac:dyDescent="0.35">
      <c r="A20" s="22" t="s">
        <v>73</v>
      </c>
      <c r="B20" cm="1">
        <f t="array" ref="B20">IF(MATCH(Table1[[#This Row],[Customer ID]], Table1[Customer ID], 0) = ROW() - ROW(Table1[#Headers]), 1, 0)</f>
        <v>0</v>
      </c>
      <c r="C20" t="s">
        <v>74</v>
      </c>
      <c r="D20" s="2">
        <v>45713</v>
      </c>
      <c r="E20">
        <v>72</v>
      </c>
      <c r="F20" t="str" cm="1">
        <f t="array" ref="F20">_xlfn.IFS( Table1[[#This Row],[Age]]&lt;18, "&lt;18", Table1[[#This Row],[Age]]&lt;= 29, "18-29", Table1[[#This Row],[Age]]&lt;= 44, "30-44",  Table1[[#This Row],[Age]]&lt;=59, "45-59", TRUE, "60+")</f>
        <v>60+</v>
      </c>
      <c r="G20" t="s">
        <v>75</v>
      </c>
      <c r="H20" t="s">
        <v>41</v>
      </c>
      <c r="I20" t="s">
        <v>30</v>
      </c>
      <c r="J20">
        <v>2</v>
      </c>
      <c r="K20" t="s">
        <v>22</v>
      </c>
      <c r="L20" t="str" cm="1">
        <f t="array" ref="L20">_xlfn.IFS(Table1[[#This Row],[Customer Tenure in months]]&lt;=6, "0-6 months", Table1[[#This Row],[Customer Tenure in months]] &lt;=12, "7-12 months", Table1[[#This Row],[Customer Tenure in months]] &lt;=24, "1-2 years", TRUE, "2+ years")</f>
        <v>7-12 months</v>
      </c>
      <c r="M20">
        <v>8</v>
      </c>
      <c r="N20" t="s">
        <v>65</v>
      </c>
      <c r="O20" s="1">
        <v>30000</v>
      </c>
      <c r="P20">
        <v>8</v>
      </c>
      <c r="Q20" s="1">
        <v>240000</v>
      </c>
      <c r="R20">
        <v>14.64</v>
      </c>
      <c r="S20" t="s">
        <v>76</v>
      </c>
      <c r="T20" t="s">
        <v>24</v>
      </c>
    </row>
    <row r="21" spans="1:20" x14ac:dyDescent="0.35">
      <c r="A21" s="22" t="s">
        <v>77</v>
      </c>
      <c r="B21" cm="1">
        <f t="array" ref="B21">IF(MATCH(Table1[[#This Row],[Customer ID]], Table1[Customer ID], 0) = ROW() - ROW(Table1[#Headers]), 1, 0)</f>
        <v>1</v>
      </c>
      <c r="C21" t="s">
        <v>78</v>
      </c>
      <c r="D21" s="2">
        <v>45741</v>
      </c>
      <c r="E21">
        <v>78</v>
      </c>
      <c r="F21" t="str" cm="1">
        <f t="array" ref="F21">_xlfn.IFS( Table1[[#This Row],[Age]]&lt;18, "&lt;18", Table1[[#This Row],[Age]]&lt;= 29, "18-29", Table1[[#This Row],[Age]]&lt;= 44, "30-44",  Table1[[#This Row],[Age]]&lt;=59, "45-59", TRUE, "60+")</f>
        <v>60+</v>
      </c>
      <c r="G21" t="s">
        <v>79</v>
      </c>
      <c r="H21" t="s">
        <v>20</v>
      </c>
      <c r="I21" t="s">
        <v>21</v>
      </c>
      <c r="J21">
        <v>2</v>
      </c>
      <c r="K21" t="s">
        <v>22</v>
      </c>
      <c r="L21" t="str" cm="1">
        <f t="array" ref="L21">_xlfn.IFS(Table1[[#This Row],[Customer Tenure in months]]&lt;=6, "0-6 months", Table1[[#This Row],[Customer Tenure in months]] &lt;=12, "7-12 months", Table1[[#This Row],[Customer Tenure in months]] &lt;=24, "1-2 years", TRUE, "2+ years")</f>
        <v>2+ years</v>
      </c>
      <c r="M21">
        <v>47</v>
      </c>
      <c r="N21" t="s">
        <v>58</v>
      </c>
      <c r="O21" s="1">
        <v>16000</v>
      </c>
      <c r="P21">
        <v>12</v>
      </c>
      <c r="Q21" s="1">
        <v>192000</v>
      </c>
      <c r="R21">
        <v>131.97</v>
      </c>
      <c r="S21" t="s">
        <v>1091</v>
      </c>
      <c r="T21" t="s">
        <v>39</v>
      </c>
    </row>
    <row r="22" spans="1:20" x14ac:dyDescent="0.35">
      <c r="A22" s="22" t="s">
        <v>77</v>
      </c>
      <c r="B22" cm="1">
        <f t="array" ref="B22">IF(MATCH(Table1[[#This Row],[Customer ID]], Table1[Customer ID], 0) = ROW() - ROW(Table1[#Headers]), 1, 0)</f>
        <v>0</v>
      </c>
      <c r="C22" t="s">
        <v>78</v>
      </c>
      <c r="D22" s="2">
        <v>45741</v>
      </c>
      <c r="E22">
        <v>78</v>
      </c>
      <c r="F22" t="str" cm="1">
        <f t="array" ref="F22">_xlfn.IFS( Table1[[#This Row],[Age]]&lt;18, "&lt;18", Table1[[#This Row],[Age]]&lt;= 29, "18-29", Table1[[#This Row],[Age]]&lt;= 44, "30-44",  Table1[[#This Row],[Age]]&lt;=59, "45-59", TRUE, "60+")</f>
        <v>60+</v>
      </c>
      <c r="G22" t="s">
        <v>79</v>
      </c>
      <c r="H22" t="s">
        <v>41</v>
      </c>
      <c r="I22" t="s">
        <v>21</v>
      </c>
      <c r="J22">
        <v>2</v>
      </c>
      <c r="K22" t="s">
        <v>22</v>
      </c>
      <c r="L22" t="str" cm="1">
        <f t="array" ref="L22">_xlfn.IFS(Table1[[#This Row],[Customer Tenure in months]]&lt;=6, "0-6 months", Table1[[#This Row],[Customer Tenure in months]] &lt;=12, "7-12 months", Table1[[#This Row],[Customer Tenure in months]] &lt;=24, "1-2 years", TRUE, "2+ years")</f>
        <v>2+ years</v>
      </c>
      <c r="M22">
        <v>47</v>
      </c>
      <c r="N22" t="s">
        <v>71</v>
      </c>
      <c r="O22" s="1">
        <v>14500</v>
      </c>
      <c r="P22">
        <v>2</v>
      </c>
      <c r="Q22" s="1">
        <v>29000</v>
      </c>
      <c r="R22">
        <v>82.51</v>
      </c>
      <c r="S22" t="s">
        <v>1091</v>
      </c>
      <c r="T22" t="s">
        <v>39</v>
      </c>
    </row>
    <row r="23" spans="1:20" x14ac:dyDescent="0.35">
      <c r="A23" s="22" t="s">
        <v>80</v>
      </c>
      <c r="B23" cm="1">
        <f t="array" ref="B23">IF(MATCH(Table1[[#This Row],[Customer ID]], Table1[Customer ID], 0) = ROW() - ROW(Table1[#Headers]), 1, 0)</f>
        <v>1</v>
      </c>
      <c r="C23" t="s">
        <v>81</v>
      </c>
      <c r="D23" s="2">
        <v>45682</v>
      </c>
      <c r="E23">
        <v>23</v>
      </c>
      <c r="F23" t="str" cm="1">
        <f t="array" ref="F23">_xlfn.IFS( Table1[[#This Row],[Age]]&lt;18, "&lt;18", Table1[[#This Row],[Age]]&lt;= 29, "18-29", Table1[[#This Row],[Age]]&lt;= 44, "30-44",  Table1[[#This Row],[Age]]&lt;=59, "45-59", TRUE, "60+")</f>
        <v>18-29</v>
      </c>
      <c r="G23" t="s">
        <v>82</v>
      </c>
      <c r="H23" t="s">
        <v>20</v>
      </c>
      <c r="I23" t="s">
        <v>30</v>
      </c>
      <c r="J23">
        <v>2</v>
      </c>
      <c r="K23" t="s">
        <v>22</v>
      </c>
      <c r="L23" t="str" cm="1">
        <f t="array" ref="L23">_xlfn.IFS(Table1[[#This Row],[Customer Tenure in months]]&lt;=6, "0-6 months", Table1[[#This Row],[Customer Tenure in months]] &lt;=12, "7-12 months", Table1[[#This Row],[Customer Tenure in months]] &lt;=24, "1-2 years", TRUE, "2+ years")</f>
        <v>2+ years</v>
      </c>
      <c r="M23">
        <v>52</v>
      </c>
      <c r="N23" t="s">
        <v>46</v>
      </c>
      <c r="O23" s="1">
        <v>4500</v>
      </c>
      <c r="P23">
        <v>8</v>
      </c>
      <c r="Q23" s="1">
        <v>36000</v>
      </c>
      <c r="R23">
        <v>56.07</v>
      </c>
      <c r="S23" t="s">
        <v>25</v>
      </c>
      <c r="T23" t="s">
        <v>24</v>
      </c>
    </row>
    <row r="24" spans="1:20" x14ac:dyDescent="0.35">
      <c r="A24" s="22" t="s">
        <v>80</v>
      </c>
      <c r="B24" cm="1">
        <f t="array" ref="B24">IF(MATCH(Table1[[#This Row],[Customer ID]], Table1[Customer ID], 0) = ROW() - ROW(Table1[#Headers]), 1, 0)</f>
        <v>0</v>
      </c>
      <c r="C24" t="s">
        <v>81</v>
      </c>
      <c r="D24" s="2">
        <v>45682</v>
      </c>
      <c r="E24">
        <v>23</v>
      </c>
      <c r="F24" t="str" cm="1">
        <f t="array" ref="F24">_xlfn.IFS( Table1[[#This Row],[Age]]&lt;18, "&lt;18", Table1[[#This Row],[Age]]&lt;= 29, "18-29", Table1[[#This Row],[Age]]&lt;= 44, "30-44",  Table1[[#This Row],[Age]]&lt;=59, "45-59", TRUE, "60+")</f>
        <v>18-29</v>
      </c>
      <c r="G24" t="s">
        <v>82</v>
      </c>
      <c r="H24" t="s">
        <v>29</v>
      </c>
      <c r="I24" t="s">
        <v>30</v>
      </c>
      <c r="J24">
        <v>2</v>
      </c>
      <c r="K24" t="s">
        <v>22</v>
      </c>
      <c r="L24" t="str" cm="1">
        <f t="array" ref="L24">_xlfn.IFS(Table1[[#This Row],[Customer Tenure in months]]&lt;=6, "0-6 months", Table1[[#This Row],[Customer Tenure in months]] &lt;=12, "7-12 months", Table1[[#This Row],[Customer Tenure in months]] &lt;=24, "1-2 years", TRUE, "2+ years")</f>
        <v>2+ years</v>
      </c>
      <c r="M24">
        <v>52</v>
      </c>
      <c r="N24" t="s">
        <v>83</v>
      </c>
      <c r="O24" s="1">
        <v>1000</v>
      </c>
      <c r="P24">
        <v>18</v>
      </c>
      <c r="Q24" s="1">
        <v>18000</v>
      </c>
      <c r="R24">
        <v>88.9</v>
      </c>
      <c r="S24" t="s">
        <v>25</v>
      </c>
      <c r="T24" t="s">
        <v>24</v>
      </c>
    </row>
    <row r="25" spans="1:20" x14ac:dyDescent="0.35">
      <c r="A25" s="22" t="s">
        <v>84</v>
      </c>
      <c r="B25" cm="1">
        <f t="array" ref="B25">IF(MATCH(Table1[[#This Row],[Customer ID]], Table1[Customer ID], 0) = ROW() - ROW(Table1[#Headers]), 1, 0)</f>
        <v>1</v>
      </c>
      <c r="C25" t="s">
        <v>85</v>
      </c>
      <c r="D25" s="2">
        <v>45713</v>
      </c>
      <c r="E25">
        <v>22</v>
      </c>
      <c r="F25" t="str" cm="1">
        <f t="array" ref="F25">_xlfn.IFS( Table1[[#This Row],[Age]]&lt;18, "&lt;18", Table1[[#This Row],[Age]]&lt;= 29, "18-29", Table1[[#This Row],[Age]]&lt;= 44, "30-44",  Table1[[#This Row],[Age]]&lt;=59, "45-59", TRUE, "60+")</f>
        <v>18-29</v>
      </c>
      <c r="G25" t="s">
        <v>86</v>
      </c>
      <c r="H25" t="s">
        <v>20</v>
      </c>
      <c r="I25" t="s">
        <v>21</v>
      </c>
      <c r="J25">
        <v>2</v>
      </c>
      <c r="K25" t="s">
        <v>22</v>
      </c>
      <c r="L25" t="str" cm="1">
        <f t="array" ref="L25">_xlfn.IFS(Table1[[#This Row],[Customer Tenure in months]]&lt;=6, "0-6 months", Table1[[#This Row],[Customer Tenure in months]] &lt;=12, "7-12 months", Table1[[#This Row],[Customer Tenure in months]] &lt;=24, "1-2 years", TRUE, "2+ years")</f>
        <v>0-6 months</v>
      </c>
      <c r="M25">
        <v>6</v>
      </c>
      <c r="N25" t="s">
        <v>58</v>
      </c>
      <c r="O25" s="1">
        <v>16000</v>
      </c>
      <c r="P25">
        <v>1</v>
      </c>
      <c r="Q25" s="1">
        <v>16000</v>
      </c>
      <c r="R25">
        <v>33.35</v>
      </c>
      <c r="S25" t="s">
        <v>1091</v>
      </c>
      <c r="T25" t="s">
        <v>39</v>
      </c>
    </row>
    <row r="26" spans="1:20" x14ac:dyDescent="0.35">
      <c r="A26" s="22" t="s">
        <v>84</v>
      </c>
      <c r="B26" cm="1">
        <f t="array" ref="B26">IF(MATCH(Table1[[#This Row],[Customer ID]], Table1[Customer ID], 0) = ROW() - ROW(Table1[#Headers]), 1, 0)</f>
        <v>0</v>
      </c>
      <c r="C26" t="s">
        <v>85</v>
      </c>
      <c r="D26" s="2">
        <v>45713</v>
      </c>
      <c r="E26">
        <v>22</v>
      </c>
      <c r="F26" t="str" cm="1">
        <f t="array" ref="F26">_xlfn.IFS( Table1[[#This Row],[Age]]&lt;18, "&lt;18", Table1[[#This Row],[Age]]&lt;= 29, "18-29", Table1[[#This Row],[Age]]&lt;= 44, "30-44",  Table1[[#This Row],[Age]]&lt;=59, "45-59", TRUE, "60+")</f>
        <v>18-29</v>
      </c>
      <c r="G26" t="s">
        <v>86</v>
      </c>
      <c r="H26" t="s">
        <v>29</v>
      </c>
      <c r="I26" t="s">
        <v>21</v>
      </c>
      <c r="J26">
        <v>2</v>
      </c>
      <c r="K26" t="s">
        <v>22</v>
      </c>
      <c r="L26" t="str" cm="1">
        <f t="array" ref="L26">_xlfn.IFS(Table1[[#This Row],[Customer Tenure in months]]&lt;=6, "0-6 months", Table1[[#This Row],[Customer Tenure in months]] &lt;=12, "7-12 months", Table1[[#This Row],[Customer Tenure in months]] &lt;=24, "1-2 years", TRUE, "2+ years")</f>
        <v>0-6 months</v>
      </c>
      <c r="M26">
        <v>6</v>
      </c>
      <c r="N26" t="s">
        <v>87</v>
      </c>
      <c r="O26" s="1">
        <v>7500</v>
      </c>
      <c r="P26">
        <v>15</v>
      </c>
      <c r="Q26" s="1">
        <v>112500</v>
      </c>
      <c r="R26">
        <v>53.41</v>
      </c>
      <c r="S26" t="s">
        <v>1091</v>
      </c>
      <c r="T26" t="s">
        <v>39</v>
      </c>
    </row>
    <row r="27" spans="1:20" x14ac:dyDescent="0.35">
      <c r="A27" s="22" t="s">
        <v>88</v>
      </c>
      <c r="B27" cm="1">
        <f t="array" ref="B27">IF(MATCH(Table1[[#This Row],[Customer ID]], Table1[Customer ID], 0) = ROW() - ROW(Table1[#Headers]), 1, 0)</f>
        <v>1</v>
      </c>
      <c r="C27" t="s">
        <v>89</v>
      </c>
      <c r="D27" s="2">
        <v>45741</v>
      </c>
      <c r="E27">
        <v>70</v>
      </c>
      <c r="F27" t="str" cm="1">
        <f t="array" ref="F27">_xlfn.IFS( Table1[[#This Row],[Age]]&lt;18, "&lt;18", Table1[[#This Row],[Age]]&lt;= 29, "18-29", Table1[[#This Row],[Age]]&lt;= 44, "30-44",  Table1[[#This Row],[Age]]&lt;=59, "45-59", TRUE, "60+")</f>
        <v>60+</v>
      </c>
      <c r="G27" t="s">
        <v>90</v>
      </c>
      <c r="H27" t="s">
        <v>41</v>
      </c>
      <c r="I27" t="s">
        <v>21</v>
      </c>
      <c r="J27">
        <v>2</v>
      </c>
      <c r="K27" t="s">
        <v>22</v>
      </c>
      <c r="L27" t="str" cm="1">
        <f t="array" ref="L27">_xlfn.IFS(Table1[[#This Row],[Customer Tenure in months]]&lt;=6, "0-6 months", Table1[[#This Row],[Customer Tenure in months]] &lt;=12, "7-12 months", Table1[[#This Row],[Customer Tenure in months]] &lt;=24, "1-2 years", TRUE, "2+ years")</f>
        <v>1-2 years</v>
      </c>
      <c r="M27">
        <v>13</v>
      </c>
      <c r="N27" t="s">
        <v>42</v>
      </c>
      <c r="O27" s="1">
        <v>9000</v>
      </c>
      <c r="P27">
        <v>16</v>
      </c>
      <c r="Q27" s="1">
        <v>144000</v>
      </c>
      <c r="R27">
        <v>10.5</v>
      </c>
      <c r="S27" t="s">
        <v>1091</v>
      </c>
      <c r="T27" t="s">
        <v>39</v>
      </c>
    </row>
    <row r="28" spans="1:20" x14ac:dyDescent="0.35">
      <c r="A28" s="22" t="s">
        <v>88</v>
      </c>
      <c r="B28" cm="1">
        <f t="array" ref="B28">IF(MATCH(Table1[[#This Row],[Customer ID]], Table1[Customer ID], 0) = ROW() - ROW(Table1[#Headers]), 1, 0)</f>
        <v>0</v>
      </c>
      <c r="C28" t="s">
        <v>89</v>
      </c>
      <c r="D28" s="2">
        <v>45741</v>
      </c>
      <c r="E28">
        <v>70</v>
      </c>
      <c r="F28" t="str" cm="1">
        <f t="array" ref="F28">_xlfn.IFS( Table1[[#This Row],[Age]]&lt;18, "&lt;18", Table1[[#This Row],[Age]]&lt;= 29, "18-29", Table1[[#This Row],[Age]]&lt;= 44, "30-44",  Table1[[#This Row],[Age]]&lt;=59, "45-59", TRUE, "60+")</f>
        <v>60+</v>
      </c>
      <c r="G28" t="s">
        <v>90</v>
      </c>
      <c r="H28" t="s">
        <v>36</v>
      </c>
      <c r="I28" t="s">
        <v>21</v>
      </c>
      <c r="J28">
        <v>2</v>
      </c>
      <c r="K28" t="s">
        <v>22</v>
      </c>
      <c r="L28" t="str" cm="1">
        <f t="array" ref="L28">_xlfn.IFS(Table1[[#This Row],[Customer Tenure in months]]&lt;=6, "0-6 months", Table1[[#This Row],[Customer Tenure in months]] &lt;=12, "7-12 months", Table1[[#This Row],[Customer Tenure in months]] &lt;=24, "1-2 years", TRUE, "2+ years")</f>
        <v>1-2 years</v>
      </c>
      <c r="M28">
        <v>13</v>
      </c>
      <c r="N28" t="s">
        <v>65</v>
      </c>
      <c r="O28" s="1">
        <v>30000</v>
      </c>
      <c r="P28">
        <v>17</v>
      </c>
      <c r="Q28" s="1">
        <v>510000</v>
      </c>
      <c r="R28">
        <v>11.85</v>
      </c>
      <c r="S28" t="s">
        <v>1091</v>
      </c>
      <c r="T28" t="s">
        <v>39</v>
      </c>
    </row>
    <row r="29" spans="1:20" x14ac:dyDescent="0.35">
      <c r="A29" s="22" t="s">
        <v>88</v>
      </c>
      <c r="B29" cm="1">
        <f t="array" ref="B29">IF(MATCH(Table1[[#This Row],[Customer ID]], Table1[Customer ID], 0) = ROW() - ROW(Table1[#Headers]), 1, 0)</f>
        <v>0</v>
      </c>
      <c r="C29" t="s">
        <v>89</v>
      </c>
      <c r="D29" s="2">
        <v>45741</v>
      </c>
      <c r="E29">
        <v>70</v>
      </c>
      <c r="F29" t="str" cm="1">
        <f t="array" ref="F29">_xlfn.IFS( Table1[[#This Row],[Age]]&lt;18, "&lt;18", Table1[[#This Row],[Age]]&lt;= 29, "18-29", Table1[[#This Row],[Age]]&lt;= 44, "30-44",  Table1[[#This Row],[Age]]&lt;=59, "45-59", TRUE, "60+")</f>
        <v>60+</v>
      </c>
      <c r="G29" t="s">
        <v>90</v>
      </c>
      <c r="H29" t="s">
        <v>20</v>
      </c>
      <c r="I29" t="s">
        <v>21</v>
      </c>
      <c r="J29">
        <v>2</v>
      </c>
      <c r="K29" t="s">
        <v>22</v>
      </c>
      <c r="L29" t="str" cm="1">
        <f t="array" ref="L29">_xlfn.IFS(Table1[[#This Row],[Customer Tenure in months]]&lt;=6, "0-6 months", Table1[[#This Row],[Customer Tenure in months]] &lt;=12, "7-12 months", Table1[[#This Row],[Customer Tenure in months]] &lt;=24, "1-2 years", TRUE, "2+ years")</f>
        <v>1-2 years</v>
      </c>
      <c r="M29">
        <v>13</v>
      </c>
      <c r="N29" t="s">
        <v>58</v>
      </c>
      <c r="O29" s="1">
        <v>16000</v>
      </c>
      <c r="P29">
        <v>3</v>
      </c>
      <c r="Q29" s="1">
        <v>48000</v>
      </c>
      <c r="R29">
        <v>170.34</v>
      </c>
      <c r="S29" t="s">
        <v>1091</v>
      </c>
      <c r="T29" t="s">
        <v>39</v>
      </c>
    </row>
    <row r="30" spans="1:20" x14ac:dyDescent="0.35">
      <c r="A30" s="22" t="s">
        <v>91</v>
      </c>
      <c r="B30" cm="1">
        <f t="array" ref="B30">IF(MATCH(Table1[[#This Row],[Customer ID]], Table1[Customer ID], 0) = ROW() - ROW(Table1[#Headers]), 1, 0)</f>
        <v>1</v>
      </c>
      <c r="C30" t="s">
        <v>92</v>
      </c>
      <c r="D30" s="2">
        <v>45713</v>
      </c>
      <c r="E30">
        <v>46</v>
      </c>
      <c r="F30" t="str" cm="1">
        <f t="array" ref="F30">_xlfn.IFS( Table1[[#This Row],[Age]]&lt;18, "&lt;18", Table1[[#This Row],[Age]]&lt;= 29, "18-29", Table1[[#This Row],[Age]]&lt;= 44, "30-44",  Table1[[#This Row],[Age]]&lt;=59, "45-59", TRUE, "60+")</f>
        <v>45-59</v>
      </c>
      <c r="G30" t="s">
        <v>82</v>
      </c>
      <c r="H30" t="s">
        <v>41</v>
      </c>
      <c r="I30" t="s">
        <v>21</v>
      </c>
      <c r="J30">
        <v>5</v>
      </c>
      <c r="K30" t="s">
        <v>55</v>
      </c>
      <c r="L30" t="str" cm="1">
        <f t="array" ref="L30">_xlfn.IFS(Table1[[#This Row],[Customer Tenure in months]]&lt;=6, "0-6 months", Table1[[#This Row],[Customer Tenure in months]] &lt;=12, "7-12 months", Table1[[#This Row],[Customer Tenure in months]] &lt;=24, "1-2 years", TRUE, "2+ years")</f>
        <v>2+ years</v>
      </c>
      <c r="M30">
        <v>57</v>
      </c>
      <c r="N30" t="s">
        <v>65</v>
      </c>
      <c r="O30" s="1">
        <v>30000</v>
      </c>
      <c r="P30">
        <v>11</v>
      </c>
      <c r="Q30" s="1">
        <v>330000</v>
      </c>
      <c r="R30">
        <v>41.25</v>
      </c>
      <c r="S30" t="s">
        <v>1091</v>
      </c>
      <c r="T30" t="s">
        <v>39</v>
      </c>
    </row>
    <row r="31" spans="1:20" x14ac:dyDescent="0.35">
      <c r="A31" s="22" t="s">
        <v>91</v>
      </c>
      <c r="B31" cm="1">
        <f t="array" ref="B31">IF(MATCH(Table1[[#This Row],[Customer ID]], Table1[Customer ID], 0) = ROW() - ROW(Table1[#Headers]), 1, 0)</f>
        <v>0</v>
      </c>
      <c r="C31" t="s">
        <v>92</v>
      </c>
      <c r="D31" s="2">
        <v>45713</v>
      </c>
      <c r="E31">
        <v>46</v>
      </c>
      <c r="F31" t="str" cm="1">
        <f t="array" ref="F31">_xlfn.IFS( Table1[[#This Row],[Age]]&lt;18, "&lt;18", Table1[[#This Row],[Age]]&lt;= 29, "18-29", Table1[[#This Row],[Age]]&lt;= 44, "30-44",  Table1[[#This Row],[Age]]&lt;=59, "45-59", TRUE, "60+")</f>
        <v>45-59</v>
      </c>
      <c r="G31" t="s">
        <v>82</v>
      </c>
      <c r="H31" t="s">
        <v>20</v>
      </c>
      <c r="I31" t="s">
        <v>21</v>
      </c>
      <c r="J31">
        <v>5</v>
      </c>
      <c r="K31" t="s">
        <v>55</v>
      </c>
      <c r="L31" t="str" cm="1">
        <f t="array" ref="L31">_xlfn.IFS(Table1[[#This Row],[Customer Tenure in months]]&lt;=6, "0-6 months", Table1[[#This Row],[Customer Tenure in months]] &lt;=12, "7-12 months", Table1[[#This Row],[Customer Tenure in months]] &lt;=24, "1-2 years", TRUE, "2+ years")</f>
        <v>2+ years</v>
      </c>
      <c r="M31">
        <v>57</v>
      </c>
      <c r="N31" t="s">
        <v>46</v>
      </c>
      <c r="O31" s="1">
        <v>4500</v>
      </c>
      <c r="P31">
        <v>5</v>
      </c>
      <c r="Q31" s="1">
        <v>22500</v>
      </c>
      <c r="R31">
        <v>53.49</v>
      </c>
      <c r="S31" t="s">
        <v>1091</v>
      </c>
      <c r="T31" t="s">
        <v>39</v>
      </c>
    </row>
    <row r="32" spans="1:20" x14ac:dyDescent="0.35">
      <c r="A32" s="22" t="s">
        <v>91</v>
      </c>
      <c r="B32" cm="1">
        <f t="array" ref="B32">IF(MATCH(Table1[[#This Row],[Customer ID]], Table1[Customer ID], 0) = ROW() - ROW(Table1[#Headers]), 1, 0)</f>
        <v>0</v>
      </c>
      <c r="C32" t="s">
        <v>92</v>
      </c>
      <c r="D32" s="2">
        <v>45713</v>
      </c>
      <c r="E32">
        <v>46</v>
      </c>
      <c r="F32" t="str" cm="1">
        <f t="array" ref="F32">_xlfn.IFS( Table1[[#This Row],[Age]]&lt;18, "&lt;18", Table1[[#This Row],[Age]]&lt;= 29, "18-29", Table1[[#This Row],[Age]]&lt;= 44, "30-44",  Table1[[#This Row],[Age]]&lt;=59, "45-59", TRUE, "60+")</f>
        <v>45-59</v>
      </c>
      <c r="G32" t="s">
        <v>82</v>
      </c>
      <c r="H32" t="s">
        <v>36</v>
      </c>
      <c r="I32" t="s">
        <v>21</v>
      </c>
      <c r="J32">
        <v>5</v>
      </c>
      <c r="K32" t="s">
        <v>55</v>
      </c>
      <c r="L32" t="str" cm="1">
        <f t="array" ref="L32">_xlfn.IFS(Table1[[#This Row],[Customer Tenure in months]]&lt;=6, "0-6 months", Table1[[#This Row],[Customer Tenure in months]] &lt;=12, "7-12 months", Table1[[#This Row],[Customer Tenure in months]] &lt;=24, "1-2 years", TRUE, "2+ years")</f>
        <v>2+ years</v>
      </c>
      <c r="M32">
        <v>57</v>
      </c>
      <c r="N32" t="s">
        <v>62</v>
      </c>
      <c r="O32" s="1">
        <v>24000</v>
      </c>
      <c r="P32">
        <v>3</v>
      </c>
      <c r="Q32" s="1">
        <v>72000</v>
      </c>
      <c r="R32">
        <v>91.72</v>
      </c>
      <c r="S32" t="s">
        <v>1091</v>
      </c>
      <c r="T32" t="s">
        <v>39</v>
      </c>
    </row>
    <row r="33" spans="1:20" x14ac:dyDescent="0.35">
      <c r="A33" s="22" t="s">
        <v>93</v>
      </c>
      <c r="B33" cm="1">
        <f t="array" ref="B33">IF(MATCH(Table1[[#This Row],[Customer ID]], Table1[Customer ID], 0) = ROW() - ROW(Table1[#Headers]), 1, 0)</f>
        <v>1</v>
      </c>
      <c r="C33" t="s">
        <v>94</v>
      </c>
      <c r="D33" s="2">
        <v>45713</v>
      </c>
      <c r="E33">
        <v>74</v>
      </c>
      <c r="F33" t="str" cm="1">
        <f t="array" ref="F33">_xlfn.IFS( Table1[[#This Row],[Age]]&lt;18, "&lt;18", Table1[[#This Row],[Age]]&lt;= 29, "18-29", Table1[[#This Row],[Age]]&lt;= 44, "30-44",  Table1[[#This Row],[Age]]&lt;=59, "45-59", TRUE, "60+")</f>
        <v>60+</v>
      </c>
      <c r="G33" t="s">
        <v>95</v>
      </c>
      <c r="H33" t="s">
        <v>20</v>
      </c>
      <c r="I33" t="s">
        <v>21</v>
      </c>
      <c r="J33">
        <v>5</v>
      </c>
      <c r="K33" t="s">
        <v>55</v>
      </c>
      <c r="L33" t="str" cm="1">
        <f t="array" ref="L33">_xlfn.IFS(Table1[[#This Row],[Customer Tenure in months]]&lt;=6, "0-6 months", Table1[[#This Row],[Customer Tenure in months]] &lt;=12, "7-12 months", Table1[[#This Row],[Customer Tenure in months]] &lt;=24, "1-2 years", TRUE, "2+ years")</f>
        <v>2+ years</v>
      </c>
      <c r="M33">
        <v>35</v>
      </c>
      <c r="N33" t="s">
        <v>51</v>
      </c>
      <c r="O33" s="1">
        <v>9000</v>
      </c>
      <c r="P33">
        <v>15</v>
      </c>
      <c r="Q33" s="1">
        <v>135000</v>
      </c>
      <c r="R33">
        <v>57.35</v>
      </c>
      <c r="S33" t="s">
        <v>96</v>
      </c>
      <c r="T33" t="s">
        <v>24</v>
      </c>
    </row>
    <row r="34" spans="1:20" x14ac:dyDescent="0.35">
      <c r="A34" s="22" t="s">
        <v>97</v>
      </c>
      <c r="B34" cm="1">
        <f t="array" ref="B34">IF(MATCH(Table1[[#This Row],[Customer ID]], Table1[Customer ID], 0) = ROW() - ROW(Table1[#Headers]), 1, 0)</f>
        <v>1</v>
      </c>
      <c r="C34" t="s">
        <v>98</v>
      </c>
      <c r="D34" s="2">
        <v>45741</v>
      </c>
      <c r="E34">
        <v>54</v>
      </c>
      <c r="F34" t="str" cm="1">
        <f t="array" ref="F34">_xlfn.IFS( Table1[[#This Row],[Age]]&lt;18, "&lt;18", Table1[[#This Row],[Age]]&lt;= 29, "18-29", Table1[[#This Row],[Age]]&lt;= 44, "30-44",  Table1[[#This Row],[Age]]&lt;=59, "45-59", TRUE, "60+")</f>
        <v>45-59</v>
      </c>
      <c r="G34" t="s">
        <v>75</v>
      </c>
      <c r="H34" t="s">
        <v>36</v>
      </c>
      <c r="I34" t="s">
        <v>21</v>
      </c>
      <c r="J34">
        <v>1</v>
      </c>
      <c r="K34" t="s">
        <v>37</v>
      </c>
      <c r="L34" t="str" cm="1">
        <f t="array" ref="L34">_xlfn.IFS(Table1[[#This Row],[Customer Tenure in months]]&lt;=6, "0-6 months", Table1[[#This Row],[Customer Tenure in months]] &lt;=12, "7-12 months", Table1[[#This Row],[Customer Tenure in months]] &lt;=24, "1-2 years", TRUE, "2+ years")</f>
        <v>2+ years</v>
      </c>
      <c r="M34">
        <v>43</v>
      </c>
      <c r="N34" t="s">
        <v>38</v>
      </c>
      <c r="O34" s="1">
        <v>20000</v>
      </c>
      <c r="P34">
        <v>18</v>
      </c>
      <c r="Q34" s="1">
        <v>360000</v>
      </c>
      <c r="R34">
        <v>178</v>
      </c>
      <c r="S34" t="s">
        <v>1091</v>
      </c>
      <c r="T34" t="s">
        <v>39</v>
      </c>
    </row>
    <row r="35" spans="1:20" x14ac:dyDescent="0.35">
      <c r="A35" s="22" t="s">
        <v>99</v>
      </c>
      <c r="B35" cm="1">
        <f t="array" ref="B35">IF(MATCH(Table1[[#This Row],[Customer ID]], Table1[Customer ID], 0) = ROW() - ROW(Table1[#Headers]), 1, 0)</f>
        <v>1</v>
      </c>
      <c r="C35" t="s">
        <v>100</v>
      </c>
      <c r="D35" s="2">
        <v>45741</v>
      </c>
      <c r="E35">
        <v>50</v>
      </c>
      <c r="F35" t="str" cm="1">
        <f t="array" ref="F35">_xlfn.IFS( Table1[[#This Row],[Age]]&lt;18, "&lt;18", Table1[[#This Row],[Age]]&lt;= 29, "18-29", Table1[[#This Row],[Age]]&lt;= 44, "30-44",  Table1[[#This Row],[Age]]&lt;=59, "45-59", TRUE, "60+")</f>
        <v>45-59</v>
      </c>
      <c r="G35" t="s">
        <v>101</v>
      </c>
      <c r="H35" t="s">
        <v>29</v>
      </c>
      <c r="I35" t="s">
        <v>21</v>
      </c>
      <c r="J35">
        <v>2</v>
      </c>
      <c r="K35" t="s">
        <v>22</v>
      </c>
      <c r="L35" t="str" cm="1">
        <f t="array" ref="L35">_xlfn.IFS(Table1[[#This Row],[Customer Tenure in months]]&lt;=6, "0-6 months", Table1[[#This Row],[Customer Tenure in months]] &lt;=12, "7-12 months", Table1[[#This Row],[Customer Tenure in months]] &lt;=24, "1-2 years", TRUE, "2+ years")</f>
        <v>2+ years</v>
      </c>
      <c r="M35">
        <v>46</v>
      </c>
      <c r="N35" t="s">
        <v>102</v>
      </c>
      <c r="O35" s="1">
        <v>900</v>
      </c>
      <c r="P35">
        <v>14</v>
      </c>
      <c r="Q35" s="1">
        <v>12600</v>
      </c>
      <c r="R35">
        <v>18.91</v>
      </c>
      <c r="S35" t="s">
        <v>1091</v>
      </c>
      <c r="T35" t="s">
        <v>39</v>
      </c>
    </row>
    <row r="36" spans="1:20" x14ac:dyDescent="0.35">
      <c r="A36" s="22" t="s">
        <v>99</v>
      </c>
      <c r="B36" cm="1">
        <f t="array" ref="B36">IF(MATCH(Table1[[#This Row],[Customer ID]], Table1[Customer ID], 0) = ROW() - ROW(Table1[#Headers]), 1, 0)</f>
        <v>0</v>
      </c>
      <c r="C36" t="s">
        <v>100</v>
      </c>
      <c r="D36" s="2">
        <v>45741</v>
      </c>
      <c r="E36">
        <v>50</v>
      </c>
      <c r="F36" t="str" cm="1">
        <f t="array" ref="F36">_xlfn.IFS( Table1[[#This Row],[Age]]&lt;18, "&lt;18", Table1[[#This Row],[Age]]&lt;= 29, "18-29", Table1[[#This Row],[Age]]&lt;= 44, "30-44",  Table1[[#This Row],[Age]]&lt;=59, "45-59", TRUE, "60+")</f>
        <v>45-59</v>
      </c>
      <c r="G36" t="s">
        <v>101</v>
      </c>
      <c r="H36" t="s">
        <v>20</v>
      </c>
      <c r="I36" t="s">
        <v>21</v>
      </c>
      <c r="J36">
        <v>2</v>
      </c>
      <c r="K36" t="s">
        <v>22</v>
      </c>
      <c r="L36" t="str" cm="1">
        <f t="array" ref="L36">_xlfn.IFS(Table1[[#This Row],[Customer Tenure in months]]&lt;=6, "0-6 months", Table1[[#This Row],[Customer Tenure in months]] &lt;=12, "7-12 months", Table1[[#This Row],[Customer Tenure in months]] &lt;=24, "1-2 years", TRUE, "2+ years")</f>
        <v>2+ years</v>
      </c>
      <c r="M36">
        <v>46</v>
      </c>
      <c r="N36" t="s">
        <v>51</v>
      </c>
      <c r="O36" s="1">
        <v>9000</v>
      </c>
      <c r="P36">
        <v>11</v>
      </c>
      <c r="Q36" s="1">
        <v>99000</v>
      </c>
      <c r="R36">
        <v>9.3000000000000007</v>
      </c>
      <c r="S36" t="s">
        <v>1091</v>
      </c>
      <c r="T36" t="s">
        <v>39</v>
      </c>
    </row>
    <row r="37" spans="1:20" x14ac:dyDescent="0.35">
      <c r="A37" s="22" t="s">
        <v>103</v>
      </c>
      <c r="B37" cm="1">
        <f t="array" ref="B37">IF(MATCH(Table1[[#This Row],[Customer ID]], Table1[Customer ID], 0) = ROW() - ROW(Table1[#Headers]), 1, 0)</f>
        <v>1</v>
      </c>
      <c r="C37" t="s">
        <v>104</v>
      </c>
      <c r="D37" s="2">
        <v>45741</v>
      </c>
      <c r="E37">
        <v>49</v>
      </c>
      <c r="F37" t="str" cm="1">
        <f t="array" ref="F37">_xlfn.IFS( Table1[[#This Row],[Age]]&lt;18, "&lt;18", Table1[[#This Row],[Age]]&lt;= 29, "18-29", Table1[[#This Row],[Age]]&lt;= 44, "30-44",  Table1[[#This Row],[Age]]&lt;=59, "45-59", TRUE, "60+")</f>
        <v>45-59</v>
      </c>
      <c r="G37" t="s">
        <v>28</v>
      </c>
      <c r="H37" t="s">
        <v>20</v>
      </c>
      <c r="I37" t="s">
        <v>30</v>
      </c>
      <c r="J37">
        <v>5</v>
      </c>
      <c r="K37" t="s">
        <v>55</v>
      </c>
      <c r="L37" t="str" cm="1">
        <f t="array" ref="L37">_xlfn.IFS(Table1[[#This Row],[Customer Tenure in months]]&lt;=6, "0-6 months", Table1[[#This Row],[Customer Tenure in months]] &lt;=12, "7-12 months", Table1[[#This Row],[Customer Tenure in months]] &lt;=24, "1-2 years", TRUE, "2+ years")</f>
        <v>2+ years</v>
      </c>
      <c r="M37">
        <v>36</v>
      </c>
      <c r="N37" t="s">
        <v>51</v>
      </c>
      <c r="O37" s="1">
        <v>9000</v>
      </c>
      <c r="P37">
        <v>5</v>
      </c>
      <c r="Q37" s="1">
        <v>45000</v>
      </c>
      <c r="R37">
        <v>116.71</v>
      </c>
      <c r="S37" t="s">
        <v>76</v>
      </c>
      <c r="T37" t="s">
        <v>24</v>
      </c>
    </row>
    <row r="38" spans="1:20" x14ac:dyDescent="0.35">
      <c r="A38" s="22" t="s">
        <v>103</v>
      </c>
      <c r="B38" cm="1">
        <f t="array" ref="B38">IF(MATCH(Table1[[#This Row],[Customer ID]], Table1[Customer ID], 0) = ROW() - ROW(Table1[#Headers]), 1, 0)</f>
        <v>0</v>
      </c>
      <c r="C38" t="s">
        <v>104</v>
      </c>
      <c r="D38" s="2">
        <v>45741</v>
      </c>
      <c r="E38">
        <v>49</v>
      </c>
      <c r="F38" t="str" cm="1">
        <f t="array" ref="F38">_xlfn.IFS( Table1[[#This Row],[Age]]&lt;18, "&lt;18", Table1[[#This Row],[Age]]&lt;= 29, "18-29", Table1[[#This Row],[Age]]&lt;= 44, "30-44",  Table1[[#This Row],[Age]]&lt;=59, "45-59", TRUE, "60+")</f>
        <v>45-59</v>
      </c>
      <c r="G38" t="s">
        <v>28</v>
      </c>
      <c r="H38" t="s">
        <v>36</v>
      </c>
      <c r="I38" t="s">
        <v>30</v>
      </c>
      <c r="J38">
        <v>5</v>
      </c>
      <c r="K38" t="s">
        <v>55</v>
      </c>
      <c r="L38" t="str" cm="1">
        <f t="array" ref="L38">_xlfn.IFS(Table1[[#This Row],[Customer Tenure in months]]&lt;=6, "0-6 months", Table1[[#This Row],[Customer Tenure in months]] &lt;=12, "7-12 months", Table1[[#This Row],[Customer Tenure in months]] &lt;=24, "1-2 years", TRUE, "2+ years")</f>
        <v>2+ years</v>
      </c>
      <c r="M38">
        <v>36</v>
      </c>
      <c r="N38" t="s">
        <v>105</v>
      </c>
      <c r="O38" s="1">
        <v>75000</v>
      </c>
      <c r="P38">
        <v>10</v>
      </c>
      <c r="Q38" s="1">
        <v>750000</v>
      </c>
      <c r="R38">
        <v>25.93</v>
      </c>
      <c r="S38" t="s">
        <v>76</v>
      </c>
      <c r="T38" t="s">
        <v>24</v>
      </c>
    </row>
    <row r="39" spans="1:20" x14ac:dyDescent="0.35">
      <c r="A39" s="22" t="s">
        <v>103</v>
      </c>
      <c r="B39" cm="1">
        <f t="array" ref="B39">IF(MATCH(Table1[[#This Row],[Customer ID]], Table1[Customer ID], 0) = ROW() - ROW(Table1[#Headers]), 1, 0)</f>
        <v>0</v>
      </c>
      <c r="C39" t="s">
        <v>104</v>
      </c>
      <c r="D39" s="2">
        <v>45741</v>
      </c>
      <c r="E39">
        <v>49</v>
      </c>
      <c r="F39" t="str" cm="1">
        <f t="array" ref="F39">_xlfn.IFS( Table1[[#This Row],[Age]]&lt;18, "&lt;18", Table1[[#This Row],[Age]]&lt;= 29, "18-29", Table1[[#This Row],[Age]]&lt;= 44, "30-44",  Table1[[#This Row],[Age]]&lt;=59, "45-59", TRUE, "60+")</f>
        <v>45-59</v>
      </c>
      <c r="G39" t="s">
        <v>28</v>
      </c>
      <c r="H39" t="s">
        <v>41</v>
      </c>
      <c r="I39" t="s">
        <v>30</v>
      </c>
      <c r="J39">
        <v>5</v>
      </c>
      <c r="K39" t="s">
        <v>55</v>
      </c>
      <c r="L39" t="str" cm="1">
        <f t="array" ref="L39">_xlfn.IFS(Table1[[#This Row],[Customer Tenure in months]]&lt;=6, "0-6 months", Table1[[#This Row],[Customer Tenure in months]] &lt;=12, "7-12 months", Table1[[#This Row],[Customer Tenure in months]] &lt;=24, "1-2 years", TRUE, "2+ years")</f>
        <v>2+ years</v>
      </c>
      <c r="M39">
        <v>36</v>
      </c>
      <c r="N39" t="s">
        <v>65</v>
      </c>
      <c r="O39" s="1">
        <v>30000</v>
      </c>
      <c r="P39">
        <v>2</v>
      </c>
      <c r="Q39" s="1">
        <v>60000</v>
      </c>
      <c r="R39">
        <v>179.85</v>
      </c>
      <c r="S39" t="s">
        <v>76</v>
      </c>
      <c r="T39" t="s">
        <v>24</v>
      </c>
    </row>
    <row r="40" spans="1:20" x14ac:dyDescent="0.35">
      <c r="A40" s="22" t="s">
        <v>106</v>
      </c>
      <c r="B40" cm="1">
        <f t="array" ref="B40">IF(MATCH(Table1[[#This Row],[Customer ID]], Table1[Customer ID], 0) = ROW() - ROW(Table1[#Headers]), 1, 0)</f>
        <v>1</v>
      </c>
      <c r="C40" t="s">
        <v>107</v>
      </c>
      <c r="D40" s="2">
        <v>45741</v>
      </c>
      <c r="E40">
        <v>42</v>
      </c>
      <c r="F40" t="str" cm="1">
        <f t="array" ref="F40">_xlfn.IFS( Table1[[#This Row],[Age]]&lt;18, "&lt;18", Table1[[#This Row],[Age]]&lt;= 29, "18-29", Table1[[#This Row],[Age]]&lt;= 44, "30-44",  Table1[[#This Row],[Age]]&lt;=59, "45-59", TRUE, "60+")</f>
        <v>30-44</v>
      </c>
      <c r="G40" t="s">
        <v>70</v>
      </c>
      <c r="H40" t="s">
        <v>29</v>
      </c>
      <c r="I40" t="s">
        <v>21</v>
      </c>
      <c r="J40">
        <v>5</v>
      </c>
      <c r="K40" t="s">
        <v>55</v>
      </c>
      <c r="L40" t="str" cm="1">
        <f t="array" ref="L40">_xlfn.IFS(Table1[[#This Row],[Customer Tenure in months]]&lt;=6, "0-6 months", Table1[[#This Row],[Customer Tenure in months]] &lt;=12, "7-12 months", Table1[[#This Row],[Customer Tenure in months]] &lt;=24, "1-2 years", TRUE, "2+ years")</f>
        <v>1-2 years</v>
      </c>
      <c r="M40">
        <v>23</v>
      </c>
      <c r="N40" t="s">
        <v>46</v>
      </c>
      <c r="O40" s="1">
        <v>4500</v>
      </c>
      <c r="P40">
        <v>1</v>
      </c>
      <c r="Q40" s="1">
        <v>4500</v>
      </c>
      <c r="R40">
        <v>176.34</v>
      </c>
      <c r="S40" t="s">
        <v>1091</v>
      </c>
      <c r="T40" t="s">
        <v>39</v>
      </c>
    </row>
    <row r="41" spans="1:20" x14ac:dyDescent="0.35">
      <c r="A41" s="22" t="s">
        <v>108</v>
      </c>
      <c r="B41" cm="1">
        <f t="array" ref="B41">IF(MATCH(Table1[[#This Row],[Customer ID]], Table1[Customer ID], 0) = ROW() - ROW(Table1[#Headers]), 1, 0)</f>
        <v>1</v>
      </c>
      <c r="C41" t="s">
        <v>109</v>
      </c>
      <c r="D41" s="2">
        <v>45713</v>
      </c>
      <c r="E41">
        <v>58</v>
      </c>
      <c r="F41" t="str" cm="1">
        <f t="array" ref="F41">_xlfn.IFS( Table1[[#This Row],[Age]]&lt;18, "&lt;18", Table1[[#This Row],[Age]]&lt;= 29, "18-29", Table1[[#This Row],[Age]]&lt;= 44, "30-44",  Table1[[#This Row],[Age]]&lt;=59, "45-59", TRUE, "60+")</f>
        <v>45-59</v>
      </c>
      <c r="G41" t="s">
        <v>110</v>
      </c>
      <c r="H41" t="s">
        <v>29</v>
      </c>
      <c r="I41" t="s">
        <v>21</v>
      </c>
      <c r="J41">
        <v>1</v>
      </c>
      <c r="K41" t="s">
        <v>37</v>
      </c>
      <c r="L41" t="str" cm="1">
        <f t="array" ref="L41">_xlfn.IFS(Table1[[#This Row],[Customer Tenure in months]]&lt;=6, "0-6 months", Table1[[#This Row],[Customer Tenure in months]] &lt;=12, "7-12 months", Table1[[#This Row],[Customer Tenure in months]] &lt;=24, "1-2 years", TRUE, "2+ years")</f>
        <v>1-2 years</v>
      </c>
      <c r="M41">
        <v>18</v>
      </c>
      <c r="N41" t="s">
        <v>72</v>
      </c>
      <c r="O41" s="1">
        <v>350</v>
      </c>
      <c r="P41">
        <v>15</v>
      </c>
      <c r="Q41" s="1">
        <v>5250</v>
      </c>
      <c r="R41">
        <v>40.31</v>
      </c>
      <c r="S41" t="s">
        <v>1091</v>
      </c>
      <c r="T41" t="s">
        <v>39</v>
      </c>
    </row>
    <row r="42" spans="1:20" x14ac:dyDescent="0.35">
      <c r="A42" s="22" t="s">
        <v>111</v>
      </c>
      <c r="B42" cm="1">
        <f t="array" ref="B42">IF(MATCH(Table1[[#This Row],[Customer ID]], Table1[Customer ID], 0) = ROW() - ROW(Table1[#Headers]), 1, 0)</f>
        <v>1</v>
      </c>
      <c r="C42" t="s">
        <v>112</v>
      </c>
      <c r="D42" s="2">
        <v>45713</v>
      </c>
      <c r="E42">
        <v>55</v>
      </c>
      <c r="F42" t="str" cm="1">
        <f t="array" ref="F42">_xlfn.IFS( Table1[[#This Row],[Age]]&lt;18, "&lt;18", Table1[[#This Row],[Age]]&lt;= 29, "18-29", Table1[[#This Row],[Age]]&lt;= 44, "30-44",  Table1[[#This Row],[Age]]&lt;=59, "45-59", TRUE, "60+")</f>
        <v>45-59</v>
      </c>
      <c r="G42" t="s">
        <v>113</v>
      </c>
      <c r="H42" t="s">
        <v>36</v>
      </c>
      <c r="I42" t="s">
        <v>21</v>
      </c>
      <c r="J42">
        <v>4</v>
      </c>
      <c r="K42" t="s">
        <v>114</v>
      </c>
      <c r="L42" t="str" cm="1">
        <f t="array" ref="L42">_xlfn.IFS(Table1[[#This Row],[Customer Tenure in months]]&lt;=6, "0-6 months", Table1[[#This Row],[Customer Tenure in months]] &lt;=12, "7-12 months", Table1[[#This Row],[Customer Tenure in months]] &lt;=24, "1-2 years", TRUE, "2+ years")</f>
        <v>0-6 months</v>
      </c>
      <c r="M42">
        <v>2</v>
      </c>
      <c r="N42" t="s">
        <v>115</v>
      </c>
      <c r="O42" s="1">
        <v>25000</v>
      </c>
      <c r="P42">
        <v>13</v>
      </c>
      <c r="Q42" s="1">
        <v>325000</v>
      </c>
      <c r="R42">
        <v>128.47999999999999</v>
      </c>
      <c r="S42" t="s">
        <v>1091</v>
      </c>
      <c r="T42" t="s">
        <v>39</v>
      </c>
    </row>
    <row r="43" spans="1:20" x14ac:dyDescent="0.35">
      <c r="A43" s="22" t="s">
        <v>116</v>
      </c>
      <c r="B43" cm="1">
        <f t="array" ref="B43">IF(MATCH(Table1[[#This Row],[Customer ID]], Table1[Customer ID], 0) = ROW() - ROW(Table1[#Headers]), 1, 0)</f>
        <v>1</v>
      </c>
      <c r="C43" t="s">
        <v>117</v>
      </c>
      <c r="D43" s="2">
        <v>45741</v>
      </c>
      <c r="E43">
        <v>58</v>
      </c>
      <c r="F43" t="str" cm="1">
        <f t="array" ref="F43">_xlfn.IFS( Table1[[#This Row],[Age]]&lt;18, "&lt;18", Table1[[#This Row],[Age]]&lt;= 29, "18-29", Table1[[#This Row],[Age]]&lt;= 44, "30-44",  Table1[[#This Row],[Age]]&lt;=59, "45-59", TRUE, "60+")</f>
        <v>45-59</v>
      </c>
      <c r="G43" t="s">
        <v>118</v>
      </c>
      <c r="H43" t="s">
        <v>41</v>
      </c>
      <c r="I43" t="s">
        <v>21</v>
      </c>
      <c r="J43">
        <v>2</v>
      </c>
      <c r="K43" t="s">
        <v>22</v>
      </c>
      <c r="L43" t="str" cm="1">
        <f t="array" ref="L43">_xlfn.IFS(Table1[[#This Row],[Customer Tenure in months]]&lt;=6, "0-6 months", Table1[[#This Row],[Customer Tenure in months]] &lt;=12, "7-12 months", Table1[[#This Row],[Customer Tenure in months]] &lt;=24, "1-2 years", TRUE, "2+ years")</f>
        <v>2+ years</v>
      </c>
      <c r="M43">
        <v>57</v>
      </c>
      <c r="N43" t="s">
        <v>62</v>
      </c>
      <c r="O43" s="1">
        <v>24000</v>
      </c>
      <c r="P43">
        <v>11</v>
      </c>
      <c r="Q43" s="1">
        <v>264000</v>
      </c>
      <c r="R43">
        <v>87.2</v>
      </c>
      <c r="S43" t="s">
        <v>1091</v>
      </c>
      <c r="T43" t="s">
        <v>39</v>
      </c>
    </row>
    <row r="44" spans="1:20" x14ac:dyDescent="0.35">
      <c r="A44" s="22" t="s">
        <v>116</v>
      </c>
      <c r="B44" cm="1">
        <f t="array" ref="B44">IF(MATCH(Table1[[#This Row],[Customer ID]], Table1[Customer ID], 0) = ROW() - ROW(Table1[#Headers]), 1, 0)</f>
        <v>0</v>
      </c>
      <c r="C44" t="s">
        <v>117</v>
      </c>
      <c r="D44" s="2">
        <v>45741</v>
      </c>
      <c r="E44">
        <v>58</v>
      </c>
      <c r="F44" t="str" cm="1">
        <f t="array" ref="F44">_xlfn.IFS( Table1[[#This Row],[Age]]&lt;18, "&lt;18", Table1[[#This Row],[Age]]&lt;= 29, "18-29", Table1[[#This Row],[Age]]&lt;= 44, "30-44",  Table1[[#This Row],[Age]]&lt;=59, "45-59", TRUE, "60+")</f>
        <v>45-59</v>
      </c>
      <c r="G44" t="s">
        <v>118</v>
      </c>
      <c r="H44" t="s">
        <v>29</v>
      </c>
      <c r="I44" t="s">
        <v>21</v>
      </c>
      <c r="J44">
        <v>2</v>
      </c>
      <c r="K44" t="s">
        <v>22</v>
      </c>
      <c r="L44" t="str" cm="1">
        <f t="array" ref="L44">_xlfn.IFS(Table1[[#This Row],[Customer Tenure in months]]&lt;=6, "0-6 months", Table1[[#This Row],[Customer Tenure in months]] &lt;=12, "7-12 months", Table1[[#This Row],[Customer Tenure in months]] &lt;=24, "1-2 years", TRUE, "2+ years")</f>
        <v>2+ years</v>
      </c>
      <c r="M44">
        <v>57</v>
      </c>
      <c r="N44" t="s">
        <v>87</v>
      </c>
      <c r="O44" s="1">
        <v>7500</v>
      </c>
      <c r="P44">
        <v>17</v>
      </c>
      <c r="Q44" s="1">
        <v>127500</v>
      </c>
      <c r="R44">
        <v>121.44</v>
      </c>
      <c r="S44" t="s">
        <v>1091</v>
      </c>
      <c r="T44" t="s">
        <v>39</v>
      </c>
    </row>
    <row r="45" spans="1:20" x14ac:dyDescent="0.35">
      <c r="A45" s="22" t="s">
        <v>119</v>
      </c>
      <c r="B45" cm="1">
        <f t="array" ref="B45">IF(MATCH(Table1[[#This Row],[Customer ID]], Table1[Customer ID], 0) = ROW() - ROW(Table1[#Headers]), 1, 0)</f>
        <v>1</v>
      </c>
      <c r="C45" t="s">
        <v>120</v>
      </c>
      <c r="D45" s="2">
        <v>45741</v>
      </c>
      <c r="E45">
        <v>65</v>
      </c>
      <c r="F45" t="str" cm="1">
        <f t="array" ref="F45">_xlfn.IFS( Table1[[#This Row],[Age]]&lt;18, "&lt;18", Table1[[#This Row],[Age]]&lt;= 29, "18-29", Table1[[#This Row],[Age]]&lt;= 44, "30-44",  Table1[[#This Row],[Age]]&lt;=59, "45-59", TRUE, "60+")</f>
        <v>60+</v>
      </c>
      <c r="G45" t="s">
        <v>121</v>
      </c>
      <c r="H45" t="s">
        <v>20</v>
      </c>
      <c r="I45" t="s">
        <v>30</v>
      </c>
      <c r="J45">
        <v>1</v>
      </c>
      <c r="K45" t="s">
        <v>37</v>
      </c>
      <c r="L45" t="str" cm="1">
        <f t="array" ref="L45">_xlfn.IFS(Table1[[#This Row],[Customer Tenure in months]]&lt;=6, "0-6 months", Table1[[#This Row],[Customer Tenure in months]] &lt;=12, "7-12 months", Table1[[#This Row],[Customer Tenure in months]] &lt;=24, "1-2 years", TRUE, "2+ years")</f>
        <v>0-6 months</v>
      </c>
      <c r="M45">
        <v>3</v>
      </c>
      <c r="N45" t="s">
        <v>58</v>
      </c>
      <c r="O45" s="1">
        <v>16000</v>
      </c>
      <c r="P45">
        <v>11</v>
      </c>
      <c r="Q45" s="1">
        <v>176000</v>
      </c>
      <c r="R45">
        <v>189.8</v>
      </c>
      <c r="S45" t="s">
        <v>1091</v>
      </c>
      <c r="T45" t="s">
        <v>39</v>
      </c>
    </row>
    <row r="46" spans="1:20" x14ac:dyDescent="0.35">
      <c r="A46" s="22" t="s">
        <v>119</v>
      </c>
      <c r="B46" cm="1">
        <f t="array" ref="B46">IF(MATCH(Table1[[#This Row],[Customer ID]], Table1[Customer ID], 0) = ROW() - ROW(Table1[#Headers]), 1, 0)</f>
        <v>0</v>
      </c>
      <c r="C46" t="s">
        <v>120</v>
      </c>
      <c r="D46" s="2">
        <v>45741</v>
      </c>
      <c r="E46">
        <v>65</v>
      </c>
      <c r="F46" t="str" cm="1">
        <f t="array" ref="F46">_xlfn.IFS( Table1[[#This Row],[Age]]&lt;18, "&lt;18", Table1[[#This Row],[Age]]&lt;= 29, "18-29", Table1[[#This Row],[Age]]&lt;= 44, "30-44",  Table1[[#This Row],[Age]]&lt;=59, "45-59", TRUE, "60+")</f>
        <v>60+</v>
      </c>
      <c r="G46" t="s">
        <v>121</v>
      </c>
      <c r="H46" t="s">
        <v>29</v>
      </c>
      <c r="I46" t="s">
        <v>30</v>
      </c>
      <c r="J46">
        <v>1</v>
      </c>
      <c r="K46" t="s">
        <v>37</v>
      </c>
      <c r="L46" t="str" cm="1">
        <f t="array" ref="L46">_xlfn.IFS(Table1[[#This Row],[Customer Tenure in months]]&lt;=6, "0-6 months", Table1[[#This Row],[Customer Tenure in months]] &lt;=12, "7-12 months", Table1[[#This Row],[Customer Tenure in months]] &lt;=24, "1-2 years", TRUE, "2+ years")</f>
        <v>0-6 months</v>
      </c>
      <c r="M46">
        <v>3</v>
      </c>
      <c r="N46" t="s">
        <v>56</v>
      </c>
      <c r="O46" s="1">
        <v>3500</v>
      </c>
      <c r="P46">
        <v>4</v>
      </c>
      <c r="Q46" s="1">
        <v>14000</v>
      </c>
      <c r="R46">
        <v>132.85</v>
      </c>
      <c r="S46" t="s">
        <v>1091</v>
      </c>
      <c r="T46" t="s">
        <v>39</v>
      </c>
    </row>
    <row r="47" spans="1:20" x14ac:dyDescent="0.35">
      <c r="A47" s="22" t="s">
        <v>119</v>
      </c>
      <c r="B47" cm="1">
        <f t="array" ref="B47">IF(MATCH(Table1[[#This Row],[Customer ID]], Table1[Customer ID], 0) = ROW() - ROW(Table1[#Headers]), 1, 0)</f>
        <v>0</v>
      </c>
      <c r="C47" t="s">
        <v>120</v>
      </c>
      <c r="D47" s="2">
        <v>45741</v>
      </c>
      <c r="E47">
        <v>65</v>
      </c>
      <c r="F47" t="str" cm="1">
        <f t="array" ref="F47">_xlfn.IFS( Table1[[#This Row],[Age]]&lt;18, "&lt;18", Table1[[#This Row],[Age]]&lt;= 29, "18-29", Table1[[#This Row],[Age]]&lt;= 44, "30-44",  Table1[[#This Row],[Age]]&lt;=59, "45-59", TRUE, "60+")</f>
        <v>60+</v>
      </c>
      <c r="G47" t="s">
        <v>121</v>
      </c>
      <c r="H47" t="s">
        <v>36</v>
      </c>
      <c r="I47" t="s">
        <v>30</v>
      </c>
      <c r="J47">
        <v>1</v>
      </c>
      <c r="K47" t="s">
        <v>37</v>
      </c>
      <c r="L47" t="str" cm="1">
        <f t="array" ref="L47">_xlfn.IFS(Table1[[#This Row],[Customer Tenure in months]]&lt;=6, "0-6 months", Table1[[#This Row],[Customer Tenure in months]] &lt;=12, "7-12 months", Table1[[#This Row],[Customer Tenure in months]] &lt;=24, "1-2 years", TRUE, "2+ years")</f>
        <v>0-6 months</v>
      </c>
      <c r="M47">
        <v>3</v>
      </c>
      <c r="N47" t="s">
        <v>62</v>
      </c>
      <c r="O47" s="1">
        <v>24000</v>
      </c>
      <c r="P47">
        <v>14</v>
      </c>
      <c r="Q47" s="1">
        <v>336000</v>
      </c>
      <c r="R47">
        <v>101.67</v>
      </c>
      <c r="S47" t="s">
        <v>1091</v>
      </c>
      <c r="T47" t="s">
        <v>39</v>
      </c>
    </row>
    <row r="48" spans="1:20" x14ac:dyDescent="0.35">
      <c r="A48" s="22" t="s">
        <v>122</v>
      </c>
      <c r="B48" cm="1">
        <f t="array" ref="B48">IF(MATCH(Table1[[#This Row],[Customer ID]], Table1[Customer ID], 0) = ROW() - ROW(Table1[#Headers]), 1, 0)</f>
        <v>1</v>
      </c>
      <c r="C48" t="s">
        <v>123</v>
      </c>
      <c r="D48" s="2">
        <v>45741</v>
      </c>
      <c r="E48">
        <v>67</v>
      </c>
      <c r="F48" t="str" cm="1">
        <f t="array" ref="F48">_xlfn.IFS( Table1[[#This Row],[Age]]&lt;18, "&lt;18", Table1[[#This Row],[Age]]&lt;= 29, "18-29", Table1[[#This Row],[Age]]&lt;= 44, "30-44",  Table1[[#This Row],[Age]]&lt;=59, "45-59", TRUE, "60+")</f>
        <v>60+</v>
      </c>
      <c r="G48" t="s">
        <v>101</v>
      </c>
      <c r="H48" t="s">
        <v>36</v>
      </c>
      <c r="I48" t="s">
        <v>21</v>
      </c>
      <c r="J48">
        <v>4</v>
      </c>
      <c r="K48" t="s">
        <v>114</v>
      </c>
      <c r="L48" t="str" cm="1">
        <f t="array" ref="L48">_xlfn.IFS(Table1[[#This Row],[Customer Tenure in months]]&lt;=6, "0-6 months", Table1[[#This Row],[Customer Tenure in months]] &lt;=12, "7-12 months", Table1[[#This Row],[Customer Tenure in months]] &lt;=24, "1-2 years", TRUE, "2+ years")</f>
        <v>1-2 years</v>
      </c>
      <c r="M48">
        <v>13</v>
      </c>
      <c r="N48" t="s">
        <v>105</v>
      </c>
      <c r="O48" s="1">
        <v>75000</v>
      </c>
      <c r="P48">
        <v>1</v>
      </c>
      <c r="Q48" s="1">
        <v>75000</v>
      </c>
      <c r="R48">
        <v>109.81</v>
      </c>
      <c r="S48" t="s">
        <v>1091</v>
      </c>
      <c r="T48" t="s">
        <v>39</v>
      </c>
    </row>
    <row r="49" spans="1:20" x14ac:dyDescent="0.35">
      <c r="A49" s="22" t="s">
        <v>124</v>
      </c>
      <c r="B49" cm="1">
        <f t="array" ref="B49">IF(MATCH(Table1[[#This Row],[Customer ID]], Table1[Customer ID], 0) = ROW() - ROW(Table1[#Headers]), 1, 0)</f>
        <v>1</v>
      </c>
      <c r="C49" t="s">
        <v>125</v>
      </c>
      <c r="D49" s="2">
        <v>45741</v>
      </c>
      <c r="E49">
        <v>52</v>
      </c>
      <c r="F49" t="str" cm="1">
        <f t="array" ref="F49">_xlfn.IFS( Table1[[#This Row],[Age]]&lt;18, "&lt;18", Table1[[#This Row],[Age]]&lt;= 29, "18-29", Table1[[#This Row],[Age]]&lt;= 44, "30-44",  Table1[[#This Row],[Age]]&lt;=59, "45-59", TRUE, "60+")</f>
        <v>45-59</v>
      </c>
      <c r="G49" t="s">
        <v>79</v>
      </c>
      <c r="H49" t="s">
        <v>20</v>
      </c>
      <c r="I49" t="s">
        <v>30</v>
      </c>
      <c r="J49">
        <v>4</v>
      </c>
      <c r="K49" t="s">
        <v>114</v>
      </c>
      <c r="L49" t="str" cm="1">
        <f t="array" ref="L49">_xlfn.IFS(Table1[[#This Row],[Customer Tenure in months]]&lt;=6, "0-6 months", Table1[[#This Row],[Customer Tenure in months]] &lt;=12, "7-12 months", Table1[[#This Row],[Customer Tenure in months]] &lt;=24, "1-2 years", TRUE, "2+ years")</f>
        <v>2+ years</v>
      </c>
      <c r="M49">
        <v>51</v>
      </c>
      <c r="N49" t="s">
        <v>46</v>
      </c>
      <c r="O49" s="1">
        <v>4500</v>
      </c>
      <c r="P49">
        <v>10</v>
      </c>
      <c r="Q49" s="1">
        <v>45000</v>
      </c>
      <c r="R49">
        <v>131.94</v>
      </c>
      <c r="S49" t="s">
        <v>1091</v>
      </c>
      <c r="T49" t="s">
        <v>39</v>
      </c>
    </row>
    <row r="50" spans="1:20" x14ac:dyDescent="0.35">
      <c r="A50" s="22" t="s">
        <v>124</v>
      </c>
      <c r="B50" cm="1">
        <f t="array" ref="B50">IF(MATCH(Table1[[#This Row],[Customer ID]], Table1[Customer ID], 0) = ROW() - ROW(Table1[#Headers]), 1, 0)</f>
        <v>0</v>
      </c>
      <c r="C50" t="s">
        <v>125</v>
      </c>
      <c r="D50" s="2">
        <v>45741</v>
      </c>
      <c r="E50">
        <v>52</v>
      </c>
      <c r="F50" t="str" cm="1">
        <f t="array" ref="F50">_xlfn.IFS( Table1[[#This Row],[Age]]&lt;18, "&lt;18", Table1[[#This Row],[Age]]&lt;= 29, "18-29", Table1[[#This Row],[Age]]&lt;= 44, "30-44",  Table1[[#This Row],[Age]]&lt;=59, "45-59", TRUE, "60+")</f>
        <v>45-59</v>
      </c>
      <c r="G50" t="s">
        <v>79</v>
      </c>
      <c r="H50" t="s">
        <v>36</v>
      </c>
      <c r="I50" t="s">
        <v>30</v>
      </c>
      <c r="J50">
        <v>4</v>
      </c>
      <c r="K50" t="s">
        <v>114</v>
      </c>
      <c r="L50" t="str" cm="1">
        <f t="array" ref="L50">_xlfn.IFS(Table1[[#This Row],[Customer Tenure in months]]&lt;=6, "0-6 months", Table1[[#This Row],[Customer Tenure in months]] &lt;=12, "7-12 months", Table1[[#This Row],[Customer Tenure in months]] &lt;=24, "1-2 years", TRUE, "2+ years")</f>
        <v>2+ years</v>
      </c>
      <c r="M50">
        <v>51</v>
      </c>
      <c r="N50" t="s">
        <v>115</v>
      </c>
      <c r="O50" s="1">
        <v>25000</v>
      </c>
      <c r="P50">
        <v>8</v>
      </c>
      <c r="Q50" s="1">
        <v>200000</v>
      </c>
      <c r="R50">
        <v>19.13</v>
      </c>
      <c r="S50" t="s">
        <v>1091</v>
      </c>
      <c r="T50" t="s">
        <v>39</v>
      </c>
    </row>
    <row r="51" spans="1:20" x14ac:dyDescent="0.35">
      <c r="A51" s="22" t="s">
        <v>124</v>
      </c>
      <c r="B51" cm="1">
        <f t="array" ref="B51">IF(MATCH(Table1[[#This Row],[Customer ID]], Table1[Customer ID], 0) = ROW() - ROW(Table1[#Headers]), 1, 0)</f>
        <v>0</v>
      </c>
      <c r="C51" t="s">
        <v>125</v>
      </c>
      <c r="D51" s="2">
        <v>45741</v>
      </c>
      <c r="E51">
        <v>52</v>
      </c>
      <c r="F51" t="str" cm="1">
        <f t="array" ref="F51">_xlfn.IFS( Table1[[#This Row],[Age]]&lt;18, "&lt;18", Table1[[#This Row],[Age]]&lt;= 29, "18-29", Table1[[#This Row],[Age]]&lt;= 44, "30-44",  Table1[[#This Row],[Age]]&lt;=59, "45-59", TRUE, "60+")</f>
        <v>45-59</v>
      </c>
      <c r="G51" t="s">
        <v>79</v>
      </c>
      <c r="H51" t="s">
        <v>29</v>
      </c>
      <c r="I51" t="s">
        <v>30</v>
      </c>
      <c r="J51">
        <v>4</v>
      </c>
      <c r="K51" t="s">
        <v>114</v>
      </c>
      <c r="L51" t="str" cm="1">
        <f t="array" ref="L51">_xlfn.IFS(Table1[[#This Row],[Customer Tenure in months]]&lt;=6, "0-6 months", Table1[[#This Row],[Customer Tenure in months]] &lt;=12, "7-12 months", Table1[[#This Row],[Customer Tenure in months]] &lt;=24, "1-2 years", TRUE, "2+ years")</f>
        <v>2+ years</v>
      </c>
      <c r="M51">
        <v>51</v>
      </c>
      <c r="N51" t="s">
        <v>40</v>
      </c>
      <c r="O51" s="1">
        <v>500</v>
      </c>
      <c r="P51">
        <v>7</v>
      </c>
      <c r="Q51" s="1">
        <v>3500</v>
      </c>
      <c r="R51">
        <v>45.32</v>
      </c>
      <c r="S51" t="s">
        <v>1091</v>
      </c>
      <c r="T51" t="s">
        <v>39</v>
      </c>
    </row>
    <row r="52" spans="1:20" x14ac:dyDescent="0.35">
      <c r="A52" s="22" t="s">
        <v>126</v>
      </c>
      <c r="B52" cm="1">
        <f t="array" ref="B52">IF(MATCH(Table1[[#This Row],[Customer ID]], Table1[Customer ID], 0) = ROW() - ROW(Table1[#Headers]), 1, 0)</f>
        <v>1</v>
      </c>
      <c r="C52" t="s">
        <v>127</v>
      </c>
      <c r="D52" s="2">
        <v>45682</v>
      </c>
      <c r="E52">
        <v>19</v>
      </c>
      <c r="F52" t="str" cm="1">
        <f t="array" ref="F52">_xlfn.IFS( Table1[[#This Row],[Age]]&lt;18, "&lt;18", Table1[[#This Row],[Age]]&lt;= 29, "18-29", Table1[[#This Row],[Age]]&lt;= 44, "30-44",  Table1[[#This Row],[Age]]&lt;=59, "45-59", TRUE, "60+")</f>
        <v>18-29</v>
      </c>
      <c r="G52" t="s">
        <v>128</v>
      </c>
      <c r="H52" t="s">
        <v>29</v>
      </c>
      <c r="I52" t="s">
        <v>21</v>
      </c>
      <c r="J52">
        <v>4</v>
      </c>
      <c r="K52" t="s">
        <v>114</v>
      </c>
      <c r="L52" t="str" cm="1">
        <f t="array" ref="L52">_xlfn.IFS(Table1[[#This Row],[Customer Tenure in months]]&lt;=6, "0-6 months", Table1[[#This Row],[Customer Tenure in months]] &lt;=12, "7-12 months", Table1[[#This Row],[Customer Tenure in months]] &lt;=24, "1-2 years", TRUE, "2+ years")</f>
        <v>2+ years</v>
      </c>
      <c r="M52">
        <v>31</v>
      </c>
      <c r="N52" t="s">
        <v>46</v>
      </c>
      <c r="O52" s="1">
        <v>4500</v>
      </c>
      <c r="P52">
        <v>5</v>
      </c>
      <c r="Q52" s="1">
        <v>22500</v>
      </c>
      <c r="R52">
        <v>80.23</v>
      </c>
      <c r="S52" t="s">
        <v>1091</v>
      </c>
      <c r="T52" t="s">
        <v>39</v>
      </c>
    </row>
    <row r="53" spans="1:20" x14ac:dyDescent="0.35">
      <c r="A53" s="22" t="s">
        <v>126</v>
      </c>
      <c r="B53" cm="1">
        <f t="array" ref="B53">IF(MATCH(Table1[[#This Row],[Customer ID]], Table1[Customer ID], 0) = ROW() - ROW(Table1[#Headers]), 1, 0)</f>
        <v>0</v>
      </c>
      <c r="C53" t="s">
        <v>127</v>
      </c>
      <c r="D53" s="2">
        <v>45682</v>
      </c>
      <c r="E53">
        <v>19</v>
      </c>
      <c r="F53" t="str" cm="1">
        <f t="array" ref="F53">_xlfn.IFS( Table1[[#This Row],[Age]]&lt;18, "&lt;18", Table1[[#This Row],[Age]]&lt;= 29, "18-29", Table1[[#This Row],[Age]]&lt;= 44, "30-44",  Table1[[#This Row],[Age]]&lt;=59, "45-59", TRUE, "60+")</f>
        <v>18-29</v>
      </c>
      <c r="G53" t="s">
        <v>128</v>
      </c>
      <c r="H53" t="s">
        <v>29</v>
      </c>
      <c r="I53" t="s">
        <v>21</v>
      </c>
      <c r="J53">
        <v>4</v>
      </c>
      <c r="K53" t="s">
        <v>114</v>
      </c>
      <c r="L53" t="str" cm="1">
        <f t="array" ref="L53">_xlfn.IFS(Table1[[#This Row],[Customer Tenure in months]]&lt;=6, "0-6 months", Table1[[#This Row],[Customer Tenure in months]] &lt;=12, "7-12 months", Table1[[#This Row],[Customer Tenure in months]] &lt;=24, "1-2 years", TRUE, "2+ years")</f>
        <v>2+ years</v>
      </c>
      <c r="M53">
        <v>31</v>
      </c>
      <c r="N53" t="s">
        <v>102</v>
      </c>
      <c r="O53" s="1">
        <v>900</v>
      </c>
      <c r="P53">
        <v>4</v>
      </c>
      <c r="Q53" s="1">
        <v>3600</v>
      </c>
      <c r="R53">
        <v>178.59</v>
      </c>
      <c r="S53" t="s">
        <v>1091</v>
      </c>
      <c r="T53" t="s">
        <v>39</v>
      </c>
    </row>
    <row r="54" spans="1:20" x14ac:dyDescent="0.35">
      <c r="A54" s="22" t="s">
        <v>129</v>
      </c>
      <c r="B54" cm="1">
        <f t="array" ref="B54">IF(MATCH(Table1[[#This Row],[Customer ID]], Table1[Customer ID], 0) = ROW() - ROW(Table1[#Headers]), 1, 0)</f>
        <v>1</v>
      </c>
      <c r="C54" t="s">
        <v>130</v>
      </c>
      <c r="D54" s="2">
        <v>45713</v>
      </c>
      <c r="E54">
        <v>44</v>
      </c>
      <c r="F54" t="str" cm="1">
        <f t="array" ref="F54">_xlfn.IFS( Table1[[#This Row],[Age]]&lt;18, "&lt;18", Table1[[#This Row],[Age]]&lt;= 29, "18-29", Table1[[#This Row],[Age]]&lt;= 44, "30-44",  Table1[[#This Row],[Age]]&lt;=59, "45-59", TRUE, "60+")</f>
        <v>30-44</v>
      </c>
      <c r="G54" t="s">
        <v>131</v>
      </c>
      <c r="H54" t="s">
        <v>36</v>
      </c>
      <c r="I54" t="s">
        <v>30</v>
      </c>
      <c r="J54">
        <v>1</v>
      </c>
      <c r="K54" t="s">
        <v>37</v>
      </c>
      <c r="L54" t="str" cm="1">
        <f t="array" ref="L54">_xlfn.IFS(Table1[[#This Row],[Customer Tenure in months]]&lt;=6, "0-6 months", Table1[[#This Row],[Customer Tenure in months]] &lt;=12, "7-12 months", Table1[[#This Row],[Customer Tenure in months]] &lt;=24, "1-2 years", TRUE, "2+ years")</f>
        <v>0-6 months</v>
      </c>
      <c r="M54">
        <v>4</v>
      </c>
      <c r="N54" t="s">
        <v>105</v>
      </c>
      <c r="O54" s="1">
        <v>75000</v>
      </c>
      <c r="P54">
        <v>18</v>
      </c>
      <c r="Q54" s="1">
        <v>1350000</v>
      </c>
      <c r="R54">
        <v>166.2</v>
      </c>
      <c r="S54" t="s">
        <v>1091</v>
      </c>
      <c r="T54" t="s">
        <v>39</v>
      </c>
    </row>
    <row r="55" spans="1:20" x14ac:dyDescent="0.35">
      <c r="A55" s="22" t="s">
        <v>129</v>
      </c>
      <c r="B55" cm="1">
        <f t="array" ref="B55">IF(MATCH(Table1[[#This Row],[Customer ID]], Table1[Customer ID], 0) = ROW() - ROW(Table1[#Headers]), 1, 0)</f>
        <v>0</v>
      </c>
      <c r="C55" t="s">
        <v>130</v>
      </c>
      <c r="D55" s="2">
        <v>45713</v>
      </c>
      <c r="E55">
        <v>44</v>
      </c>
      <c r="F55" t="str" cm="1">
        <f t="array" ref="F55">_xlfn.IFS( Table1[[#This Row],[Age]]&lt;18, "&lt;18", Table1[[#This Row],[Age]]&lt;= 29, "18-29", Table1[[#This Row],[Age]]&lt;= 44, "30-44",  Table1[[#This Row],[Age]]&lt;=59, "45-59", TRUE, "60+")</f>
        <v>30-44</v>
      </c>
      <c r="G55" t="s">
        <v>131</v>
      </c>
      <c r="H55" t="s">
        <v>20</v>
      </c>
      <c r="I55" t="s">
        <v>30</v>
      </c>
      <c r="J55">
        <v>1</v>
      </c>
      <c r="K55" t="s">
        <v>37</v>
      </c>
      <c r="L55" t="str" cm="1">
        <f t="array" ref="L55">_xlfn.IFS(Table1[[#This Row],[Customer Tenure in months]]&lt;=6, "0-6 months", Table1[[#This Row],[Customer Tenure in months]] &lt;=12, "7-12 months", Table1[[#This Row],[Customer Tenure in months]] &lt;=24, "1-2 years", TRUE, "2+ years")</f>
        <v>0-6 months</v>
      </c>
      <c r="M55">
        <v>4</v>
      </c>
      <c r="N55" t="s">
        <v>23</v>
      </c>
      <c r="O55" s="1">
        <v>35000</v>
      </c>
      <c r="P55">
        <v>16</v>
      </c>
      <c r="Q55" s="1">
        <v>560000</v>
      </c>
      <c r="R55">
        <v>179.49</v>
      </c>
      <c r="S55" t="s">
        <v>1091</v>
      </c>
      <c r="T55" t="s">
        <v>39</v>
      </c>
    </row>
    <row r="56" spans="1:20" x14ac:dyDescent="0.35">
      <c r="A56" s="22" t="s">
        <v>132</v>
      </c>
      <c r="B56" cm="1">
        <f t="array" ref="B56">IF(MATCH(Table1[[#This Row],[Customer ID]], Table1[Customer ID], 0) = ROW() - ROW(Table1[#Headers]), 1, 0)</f>
        <v>1</v>
      </c>
      <c r="C56" t="s">
        <v>133</v>
      </c>
      <c r="D56" s="2">
        <v>45741</v>
      </c>
      <c r="E56">
        <v>49</v>
      </c>
      <c r="F56" t="str" cm="1">
        <f t="array" ref="F56">_xlfn.IFS( Table1[[#This Row],[Age]]&lt;18, "&lt;18", Table1[[#This Row],[Age]]&lt;= 29, "18-29", Table1[[#This Row],[Age]]&lt;= 44, "30-44",  Table1[[#This Row],[Age]]&lt;=59, "45-59", TRUE, "60+")</f>
        <v>45-59</v>
      </c>
      <c r="G56" t="s">
        <v>70</v>
      </c>
      <c r="H56" t="s">
        <v>36</v>
      </c>
      <c r="I56" t="s">
        <v>30</v>
      </c>
      <c r="J56">
        <v>2</v>
      </c>
      <c r="K56" t="s">
        <v>22</v>
      </c>
      <c r="L56" t="str" cm="1">
        <f t="array" ref="L56">_xlfn.IFS(Table1[[#This Row],[Customer Tenure in months]]&lt;=6, "0-6 months", Table1[[#This Row],[Customer Tenure in months]] &lt;=12, "7-12 months", Table1[[#This Row],[Customer Tenure in months]] &lt;=24, "1-2 years", TRUE, "2+ years")</f>
        <v>2+ years</v>
      </c>
      <c r="M56">
        <v>50</v>
      </c>
      <c r="N56" t="s">
        <v>115</v>
      </c>
      <c r="O56" s="1">
        <v>25000</v>
      </c>
      <c r="P56">
        <v>18</v>
      </c>
      <c r="Q56" s="1">
        <v>450000</v>
      </c>
      <c r="R56">
        <v>64.28</v>
      </c>
      <c r="S56" t="s">
        <v>76</v>
      </c>
      <c r="T56" t="s">
        <v>24</v>
      </c>
    </row>
    <row r="57" spans="1:20" x14ac:dyDescent="0.35">
      <c r="A57" s="22" t="s">
        <v>132</v>
      </c>
      <c r="B57" cm="1">
        <f t="array" ref="B57">IF(MATCH(Table1[[#This Row],[Customer ID]], Table1[Customer ID], 0) = ROW() - ROW(Table1[#Headers]), 1, 0)</f>
        <v>0</v>
      </c>
      <c r="C57" t="s">
        <v>133</v>
      </c>
      <c r="D57" s="2">
        <v>45741</v>
      </c>
      <c r="E57">
        <v>49</v>
      </c>
      <c r="F57" t="str" cm="1">
        <f t="array" ref="F57">_xlfn.IFS( Table1[[#This Row],[Age]]&lt;18, "&lt;18", Table1[[#This Row],[Age]]&lt;= 29, "18-29", Table1[[#This Row],[Age]]&lt;= 44, "30-44",  Table1[[#This Row],[Age]]&lt;=59, "45-59", TRUE, "60+")</f>
        <v>45-59</v>
      </c>
      <c r="G57" t="s">
        <v>70</v>
      </c>
      <c r="H57" t="s">
        <v>41</v>
      </c>
      <c r="I57" t="s">
        <v>30</v>
      </c>
      <c r="J57">
        <v>2</v>
      </c>
      <c r="K57" t="s">
        <v>22</v>
      </c>
      <c r="L57" t="str" cm="1">
        <f t="array" ref="L57">_xlfn.IFS(Table1[[#This Row],[Customer Tenure in months]]&lt;=6, "0-6 months", Table1[[#This Row],[Customer Tenure in months]] &lt;=12, "7-12 months", Table1[[#This Row],[Customer Tenure in months]] &lt;=24, "1-2 years", TRUE, "2+ years")</f>
        <v>2+ years</v>
      </c>
      <c r="M57">
        <v>50</v>
      </c>
      <c r="N57" t="s">
        <v>42</v>
      </c>
      <c r="O57" s="1">
        <v>9000</v>
      </c>
      <c r="P57">
        <v>8</v>
      </c>
      <c r="Q57" s="1">
        <v>72000</v>
      </c>
      <c r="R57">
        <v>28.11</v>
      </c>
      <c r="S57" t="s">
        <v>76</v>
      </c>
      <c r="T57" t="s">
        <v>24</v>
      </c>
    </row>
    <row r="58" spans="1:20" x14ac:dyDescent="0.35">
      <c r="A58" s="22" t="s">
        <v>132</v>
      </c>
      <c r="B58" cm="1">
        <f t="array" ref="B58">IF(MATCH(Table1[[#This Row],[Customer ID]], Table1[Customer ID], 0) = ROW() - ROW(Table1[#Headers]), 1, 0)</f>
        <v>0</v>
      </c>
      <c r="C58" t="s">
        <v>133</v>
      </c>
      <c r="D58" s="2">
        <v>45741</v>
      </c>
      <c r="E58">
        <v>49</v>
      </c>
      <c r="F58" t="str" cm="1">
        <f t="array" ref="F58">_xlfn.IFS( Table1[[#This Row],[Age]]&lt;18, "&lt;18", Table1[[#This Row],[Age]]&lt;= 29, "18-29", Table1[[#This Row],[Age]]&lt;= 44, "30-44",  Table1[[#This Row],[Age]]&lt;=59, "45-59", TRUE, "60+")</f>
        <v>45-59</v>
      </c>
      <c r="G58" t="s">
        <v>70</v>
      </c>
      <c r="H58" t="s">
        <v>20</v>
      </c>
      <c r="I58" t="s">
        <v>30</v>
      </c>
      <c r="J58">
        <v>2</v>
      </c>
      <c r="K58" t="s">
        <v>22</v>
      </c>
      <c r="L58" t="str" cm="1">
        <f t="array" ref="L58">_xlfn.IFS(Table1[[#This Row],[Customer Tenure in months]]&lt;=6, "0-6 months", Table1[[#This Row],[Customer Tenure in months]] &lt;=12, "7-12 months", Table1[[#This Row],[Customer Tenure in months]] &lt;=24, "1-2 years", TRUE, "2+ years")</f>
        <v>2+ years</v>
      </c>
      <c r="M58">
        <v>50</v>
      </c>
      <c r="N58" t="s">
        <v>23</v>
      </c>
      <c r="O58" s="1">
        <v>35000</v>
      </c>
      <c r="P58">
        <v>7</v>
      </c>
      <c r="Q58" s="1">
        <v>245000</v>
      </c>
      <c r="R58">
        <v>138.94</v>
      </c>
      <c r="S58" t="s">
        <v>76</v>
      </c>
      <c r="T58" t="s">
        <v>24</v>
      </c>
    </row>
    <row r="59" spans="1:20" x14ac:dyDescent="0.35">
      <c r="A59" s="22" t="s">
        <v>134</v>
      </c>
      <c r="B59" cm="1">
        <f t="array" ref="B59">IF(MATCH(Table1[[#This Row],[Customer ID]], Table1[Customer ID], 0) = ROW() - ROW(Table1[#Headers]), 1, 0)</f>
        <v>1</v>
      </c>
      <c r="C59" t="s">
        <v>135</v>
      </c>
      <c r="D59" s="2">
        <v>45741</v>
      </c>
      <c r="E59">
        <v>69</v>
      </c>
      <c r="F59" t="str" cm="1">
        <f t="array" ref="F59">_xlfn.IFS( Table1[[#This Row],[Age]]&lt;18, "&lt;18", Table1[[#This Row],[Age]]&lt;= 29, "18-29", Table1[[#This Row],[Age]]&lt;= 44, "30-44",  Table1[[#This Row],[Age]]&lt;=59, "45-59", TRUE, "60+")</f>
        <v>60+</v>
      </c>
      <c r="G59" t="s">
        <v>110</v>
      </c>
      <c r="H59" t="s">
        <v>29</v>
      </c>
      <c r="I59" t="s">
        <v>30</v>
      </c>
      <c r="J59">
        <v>4</v>
      </c>
      <c r="K59" t="s">
        <v>114</v>
      </c>
      <c r="L59" t="str" cm="1">
        <f t="array" ref="L59">_xlfn.IFS(Table1[[#This Row],[Customer Tenure in months]]&lt;=6, "0-6 months", Table1[[#This Row],[Customer Tenure in months]] &lt;=12, "7-12 months", Table1[[#This Row],[Customer Tenure in months]] &lt;=24, "1-2 years", TRUE, "2+ years")</f>
        <v>2+ years</v>
      </c>
      <c r="M59">
        <v>35</v>
      </c>
      <c r="N59" t="s">
        <v>102</v>
      </c>
      <c r="O59" s="1">
        <v>900</v>
      </c>
      <c r="P59">
        <v>19</v>
      </c>
      <c r="Q59" s="1">
        <v>17100</v>
      </c>
      <c r="R59">
        <v>171.42</v>
      </c>
      <c r="S59" t="s">
        <v>32</v>
      </c>
      <c r="T59" t="s">
        <v>24</v>
      </c>
    </row>
    <row r="60" spans="1:20" x14ac:dyDescent="0.35">
      <c r="A60" s="22" t="s">
        <v>134</v>
      </c>
      <c r="B60" cm="1">
        <f t="array" ref="B60">IF(MATCH(Table1[[#This Row],[Customer ID]], Table1[Customer ID], 0) = ROW() - ROW(Table1[#Headers]), 1, 0)</f>
        <v>0</v>
      </c>
      <c r="C60" t="s">
        <v>135</v>
      </c>
      <c r="D60" s="2">
        <v>45713</v>
      </c>
      <c r="E60">
        <v>69</v>
      </c>
      <c r="F60" t="str" cm="1">
        <f t="array" ref="F60">_xlfn.IFS( Table1[[#This Row],[Age]]&lt;18, "&lt;18", Table1[[#This Row],[Age]]&lt;= 29, "18-29", Table1[[#This Row],[Age]]&lt;= 44, "30-44",  Table1[[#This Row],[Age]]&lt;=59, "45-59", TRUE, "60+")</f>
        <v>60+</v>
      </c>
      <c r="G60" t="s">
        <v>110</v>
      </c>
      <c r="H60" t="s">
        <v>36</v>
      </c>
      <c r="I60" t="s">
        <v>30</v>
      </c>
      <c r="J60">
        <v>4</v>
      </c>
      <c r="K60" t="s">
        <v>114</v>
      </c>
      <c r="L60" t="str" cm="1">
        <f t="array" ref="L60">_xlfn.IFS(Table1[[#This Row],[Customer Tenure in months]]&lt;=6, "0-6 months", Table1[[#This Row],[Customer Tenure in months]] &lt;=12, "7-12 months", Table1[[#This Row],[Customer Tenure in months]] &lt;=24, "1-2 years", TRUE, "2+ years")</f>
        <v>2+ years</v>
      </c>
      <c r="M60">
        <v>35</v>
      </c>
      <c r="N60" t="s">
        <v>105</v>
      </c>
      <c r="O60" s="1">
        <v>75000</v>
      </c>
      <c r="P60">
        <v>12</v>
      </c>
      <c r="Q60" s="1">
        <v>900000</v>
      </c>
      <c r="R60">
        <v>95.66</v>
      </c>
      <c r="S60" t="s">
        <v>32</v>
      </c>
      <c r="T60" t="s">
        <v>24</v>
      </c>
    </row>
    <row r="61" spans="1:20" x14ac:dyDescent="0.35">
      <c r="A61" s="22" t="s">
        <v>136</v>
      </c>
      <c r="B61" cm="1">
        <f t="array" ref="B61">IF(MATCH(Table1[[#This Row],[Customer ID]], Table1[Customer ID], 0) = ROW() - ROW(Table1[#Headers]), 1, 0)</f>
        <v>1</v>
      </c>
      <c r="C61" t="s">
        <v>137</v>
      </c>
      <c r="D61" s="2">
        <v>45713</v>
      </c>
      <c r="E61">
        <v>65</v>
      </c>
      <c r="F61" t="str" cm="1">
        <f t="array" ref="F61">_xlfn.IFS( Table1[[#This Row],[Age]]&lt;18, "&lt;18", Table1[[#This Row],[Age]]&lt;= 29, "18-29", Table1[[#This Row],[Age]]&lt;= 44, "30-44",  Table1[[#This Row],[Age]]&lt;=59, "45-59", TRUE, "60+")</f>
        <v>60+</v>
      </c>
      <c r="G61" t="s">
        <v>110</v>
      </c>
      <c r="H61" t="s">
        <v>29</v>
      </c>
      <c r="I61" t="s">
        <v>21</v>
      </c>
      <c r="J61">
        <v>3</v>
      </c>
      <c r="K61" t="s">
        <v>50</v>
      </c>
      <c r="L61" t="str" cm="1">
        <f t="array" ref="L61">_xlfn.IFS(Table1[[#This Row],[Customer Tenure in months]]&lt;=6, "0-6 months", Table1[[#This Row],[Customer Tenure in months]] &lt;=12, "7-12 months", Table1[[#This Row],[Customer Tenure in months]] &lt;=24, "1-2 years", TRUE, "2+ years")</f>
        <v>2+ years</v>
      </c>
      <c r="M61">
        <v>32</v>
      </c>
      <c r="N61" t="s">
        <v>56</v>
      </c>
      <c r="O61" s="1">
        <v>3500</v>
      </c>
      <c r="P61">
        <v>13</v>
      </c>
      <c r="Q61" s="1">
        <v>45500</v>
      </c>
      <c r="R61">
        <v>133.94</v>
      </c>
      <c r="S61" t="s">
        <v>1091</v>
      </c>
      <c r="T61" t="s">
        <v>39</v>
      </c>
    </row>
    <row r="62" spans="1:20" x14ac:dyDescent="0.35">
      <c r="A62" s="22" t="s">
        <v>138</v>
      </c>
      <c r="B62" cm="1">
        <f t="array" ref="B62">IF(MATCH(Table1[[#This Row],[Customer ID]], Table1[Customer ID], 0) = ROW() - ROW(Table1[#Headers]), 1, 0)</f>
        <v>1</v>
      </c>
      <c r="C62" t="s">
        <v>139</v>
      </c>
      <c r="D62" s="2">
        <v>45713</v>
      </c>
      <c r="E62">
        <v>75</v>
      </c>
      <c r="F62" t="str" cm="1">
        <f t="array" ref="F62">_xlfn.IFS( Table1[[#This Row],[Age]]&lt;18, "&lt;18", Table1[[#This Row],[Age]]&lt;= 29, "18-29", Table1[[#This Row],[Age]]&lt;= 44, "30-44",  Table1[[#This Row],[Age]]&lt;=59, "45-59", TRUE, "60+")</f>
        <v>60+</v>
      </c>
      <c r="G62" t="s">
        <v>140</v>
      </c>
      <c r="H62" t="s">
        <v>41</v>
      </c>
      <c r="I62" t="s">
        <v>21</v>
      </c>
      <c r="J62">
        <v>5</v>
      </c>
      <c r="K62" t="s">
        <v>55</v>
      </c>
      <c r="L62" t="str" cm="1">
        <f t="array" ref="L62">_xlfn.IFS(Table1[[#This Row],[Customer Tenure in months]]&lt;=6, "0-6 months", Table1[[#This Row],[Customer Tenure in months]] &lt;=12, "7-12 months", Table1[[#This Row],[Customer Tenure in months]] &lt;=24, "1-2 years", TRUE, "2+ years")</f>
        <v>2+ years</v>
      </c>
      <c r="M62">
        <v>59</v>
      </c>
      <c r="N62" t="s">
        <v>71</v>
      </c>
      <c r="O62" s="1">
        <v>14500</v>
      </c>
      <c r="P62">
        <v>15</v>
      </c>
      <c r="Q62" s="1">
        <v>217500</v>
      </c>
      <c r="R62">
        <v>27.57</v>
      </c>
      <c r="S62" t="s">
        <v>1091</v>
      </c>
      <c r="T62" t="s">
        <v>39</v>
      </c>
    </row>
    <row r="63" spans="1:20" x14ac:dyDescent="0.35">
      <c r="A63" s="22" t="s">
        <v>141</v>
      </c>
      <c r="B63" cm="1">
        <f t="array" ref="B63">IF(MATCH(Table1[[#This Row],[Customer ID]], Table1[Customer ID], 0) = ROW() - ROW(Table1[#Headers]), 1, 0)</f>
        <v>1</v>
      </c>
      <c r="C63" t="s">
        <v>142</v>
      </c>
      <c r="D63" s="2">
        <v>45713</v>
      </c>
      <c r="E63">
        <v>22</v>
      </c>
      <c r="F63" t="str" cm="1">
        <f t="array" ref="F63">_xlfn.IFS( Table1[[#This Row],[Age]]&lt;18, "&lt;18", Table1[[#This Row],[Age]]&lt;= 29, "18-29", Table1[[#This Row],[Age]]&lt;= 44, "30-44",  Table1[[#This Row],[Age]]&lt;=59, "45-59", TRUE, "60+")</f>
        <v>18-29</v>
      </c>
      <c r="G63" t="s">
        <v>143</v>
      </c>
      <c r="H63" t="s">
        <v>36</v>
      </c>
      <c r="I63" t="s">
        <v>30</v>
      </c>
      <c r="J63">
        <v>4</v>
      </c>
      <c r="K63" t="s">
        <v>114</v>
      </c>
      <c r="L63" t="str" cm="1">
        <f t="array" ref="L63">_xlfn.IFS(Table1[[#This Row],[Customer Tenure in months]]&lt;=6, "0-6 months", Table1[[#This Row],[Customer Tenure in months]] &lt;=12, "7-12 months", Table1[[#This Row],[Customer Tenure in months]] &lt;=24, "1-2 years", TRUE, "2+ years")</f>
        <v>1-2 years</v>
      </c>
      <c r="M63">
        <v>21</v>
      </c>
      <c r="N63" t="s">
        <v>62</v>
      </c>
      <c r="O63" s="1">
        <v>24000</v>
      </c>
      <c r="P63">
        <v>16</v>
      </c>
      <c r="Q63" s="1">
        <v>384000</v>
      </c>
      <c r="R63">
        <v>167.06</v>
      </c>
      <c r="S63" t="s">
        <v>1091</v>
      </c>
      <c r="T63" t="s">
        <v>39</v>
      </c>
    </row>
    <row r="64" spans="1:20" x14ac:dyDescent="0.35">
      <c r="A64" s="22" t="s">
        <v>141</v>
      </c>
      <c r="B64" cm="1">
        <f t="array" ref="B64">IF(MATCH(Table1[[#This Row],[Customer ID]], Table1[Customer ID], 0) = ROW() - ROW(Table1[#Headers]), 1, 0)</f>
        <v>0</v>
      </c>
      <c r="C64" t="s">
        <v>142</v>
      </c>
      <c r="D64" s="2">
        <v>45713</v>
      </c>
      <c r="E64">
        <v>22</v>
      </c>
      <c r="F64" t="str" cm="1">
        <f t="array" ref="F64">_xlfn.IFS( Table1[[#This Row],[Age]]&lt;18, "&lt;18", Table1[[#This Row],[Age]]&lt;= 29, "18-29", Table1[[#This Row],[Age]]&lt;= 44, "30-44",  Table1[[#This Row],[Age]]&lt;=59, "45-59", TRUE, "60+")</f>
        <v>18-29</v>
      </c>
      <c r="G64" t="s">
        <v>143</v>
      </c>
      <c r="H64" t="s">
        <v>29</v>
      </c>
      <c r="I64" t="s">
        <v>30</v>
      </c>
      <c r="J64">
        <v>4</v>
      </c>
      <c r="K64" t="s">
        <v>114</v>
      </c>
      <c r="L64" t="str" cm="1">
        <f t="array" ref="L64">_xlfn.IFS(Table1[[#This Row],[Customer Tenure in months]]&lt;=6, "0-6 months", Table1[[#This Row],[Customer Tenure in months]] &lt;=12, "7-12 months", Table1[[#This Row],[Customer Tenure in months]] &lt;=24, "1-2 years", TRUE, "2+ years")</f>
        <v>1-2 years</v>
      </c>
      <c r="M64">
        <v>21</v>
      </c>
      <c r="N64" t="s">
        <v>58</v>
      </c>
      <c r="O64" s="1">
        <v>16000</v>
      </c>
      <c r="P64">
        <v>2</v>
      </c>
      <c r="Q64" s="1">
        <v>32000</v>
      </c>
      <c r="R64">
        <v>149.93</v>
      </c>
      <c r="S64" t="s">
        <v>1091</v>
      </c>
      <c r="T64" t="s">
        <v>39</v>
      </c>
    </row>
    <row r="65" spans="1:20" x14ac:dyDescent="0.35">
      <c r="A65" s="22" t="s">
        <v>144</v>
      </c>
      <c r="B65" cm="1">
        <f t="array" ref="B65">IF(MATCH(Table1[[#This Row],[Customer ID]], Table1[Customer ID], 0) = ROW() - ROW(Table1[#Headers]), 1, 0)</f>
        <v>1</v>
      </c>
      <c r="C65" t="s">
        <v>145</v>
      </c>
      <c r="D65" s="2">
        <v>45682</v>
      </c>
      <c r="E65">
        <v>44</v>
      </c>
      <c r="F65" t="str" cm="1">
        <f t="array" ref="F65">_xlfn.IFS( Table1[[#This Row],[Age]]&lt;18, "&lt;18", Table1[[#This Row],[Age]]&lt;= 29, "18-29", Table1[[#This Row],[Age]]&lt;= 44, "30-44",  Table1[[#This Row],[Age]]&lt;=59, "45-59", TRUE, "60+")</f>
        <v>30-44</v>
      </c>
      <c r="G65" t="s">
        <v>146</v>
      </c>
      <c r="H65" t="s">
        <v>20</v>
      </c>
      <c r="I65" t="s">
        <v>21</v>
      </c>
      <c r="J65">
        <v>2</v>
      </c>
      <c r="K65" t="s">
        <v>22</v>
      </c>
      <c r="L65" t="str" cm="1">
        <f t="array" ref="L65">_xlfn.IFS(Table1[[#This Row],[Customer Tenure in months]]&lt;=6, "0-6 months", Table1[[#This Row],[Customer Tenure in months]] &lt;=12, "7-12 months", Table1[[#This Row],[Customer Tenure in months]] &lt;=24, "1-2 years", TRUE, "2+ years")</f>
        <v>2+ years</v>
      </c>
      <c r="M65">
        <v>49</v>
      </c>
      <c r="N65" t="s">
        <v>23</v>
      </c>
      <c r="O65" s="1">
        <v>35000</v>
      </c>
      <c r="P65">
        <v>19</v>
      </c>
      <c r="Q65" s="1">
        <v>665000</v>
      </c>
      <c r="R65">
        <v>134.06</v>
      </c>
      <c r="S65" t="s">
        <v>76</v>
      </c>
      <c r="T65" t="s">
        <v>24</v>
      </c>
    </row>
    <row r="66" spans="1:20" x14ac:dyDescent="0.35">
      <c r="A66" s="22" t="s">
        <v>144</v>
      </c>
      <c r="B66" cm="1">
        <f t="array" ref="B66">IF(MATCH(Table1[[#This Row],[Customer ID]], Table1[Customer ID], 0) = ROW() - ROW(Table1[#Headers]), 1, 0)</f>
        <v>0</v>
      </c>
      <c r="C66" t="s">
        <v>145</v>
      </c>
      <c r="D66" s="2">
        <v>45682</v>
      </c>
      <c r="E66">
        <v>44</v>
      </c>
      <c r="F66" t="str" cm="1">
        <f t="array" ref="F66">_xlfn.IFS( Table1[[#This Row],[Age]]&lt;18, "&lt;18", Table1[[#This Row],[Age]]&lt;= 29, "18-29", Table1[[#This Row],[Age]]&lt;= 44, "30-44",  Table1[[#This Row],[Age]]&lt;=59, "45-59", TRUE, "60+")</f>
        <v>30-44</v>
      </c>
      <c r="G66" t="s">
        <v>146</v>
      </c>
      <c r="H66" t="s">
        <v>41</v>
      </c>
      <c r="I66" t="s">
        <v>21</v>
      </c>
      <c r="J66">
        <v>2</v>
      </c>
      <c r="K66" t="s">
        <v>22</v>
      </c>
      <c r="L66" t="str" cm="1">
        <f t="array" ref="L66">_xlfn.IFS(Table1[[#This Row],[Customer Tenure in months]]&lt;=6, "0-6 months", Table1[[#This Row],[Customer Tenure in months]] &lt;=12, "7-12 months", Table1[[#This Row],[Customer Tenure in months]] &lt;=24, "1-2 years", TRUE, "2+ years")</f>
        <v>2+ years</v>
      </c>
      <c r="M66">
        <v>49</v>
      </c>
      <c r="N66" t="s">
        <v>38</v>
      </c>
      <c r="O66" s="1">
        <v>20000</v>
      </c>
      <c r="P66">
        <v>9</v>
      </c>
      <c r="Q66" s="1">
        <v>180000</v>
      </c>
      <c r="R66">
        <v>93.27</v>
      </c>
      <c r="S66" t="s">
        <v>76</v>
      </c>
      <c r="T66" t="s">
        <v>24</v>
      </c>
    </row>
    <row r="67" spans="1:20" x14ac:dyDescent="0.35">
      <c r="A67" s="22" t="s">
        <v>144</v>
      </c>
      <c r="B67" cm="1">
        <f t="array" ref="B67">IF(MATCH(Table1[[#This Row],[Customer ID]], Table1[Customer ID], 0) = ROW() - ROW(Table1[#Headers]), 1, 0)</f>
        <v>0</v>
      </c>
      <c r="C67" t="s">
        <v>145</v>
      </c>
      <c r="D67" s="2">
        <v>45682</v>
      </c>
      <c r="E67">
        <v>44</v>
      </c>
      <c r="F67" t="str" cm="1">
        <f t="array" ref="F67">_xlfn.IFS( Table1[[#This Row],[Age]]&lt;18, "&lt;18", Table1[[#This Row],[Age]]&lt;= 29, "18-29", Table1[[#This Row],[Age]]&lt;= 44, "30-44",  Table1[[#This Row],[Age]]&lt;=59, "45-59", TRUE, "60+")</f>
        <v>30-44</v>
      </c>
      <c r="G67" t="s">
        <v>146</v>
      </c>
      <c r="H67" t="s">
        <v>36</v>
      </c>
      <c r="I67" t="s">
        <v>21</v>
      </c>
      <c r="J67">
        <v>2</v>
      </c>
      <c r="K67" t="s">
        <v>22</v>
      </c>
      <c r="L67" t="str" cm="1">
        <f t="array" ref="L67">_xlfn.IFS(Table1[[#This Row],[Customer Tenure in months]]&lt;=6, "0-6 months", Table1[[#This Row],[Customer Tenure in months]] &lt;=12, "7-12 months", Table1[[#This Row],[Customer Tenure in months]] &lt;=24, "1-2 years", TRUE, "2+ years")</f>
        <v>2+ years</v>
      </c>
      <c r="M67">
        <v>49</v>
      </c>
      <c r="N67" t="s">
        <v>115</v>
      </c>
      <c r="O67" s="1">
        <v>25000</v>
      </c>
      <c r="P67">
        <v>20</v>
      </c>
      <c r="Q67" s="1">
        <v>500000</v>
      </c>
      <c r="R67">
        <v>33.97</v>
      </c>
      <c r="S67" t="s">
        <v>76</v>
      </c>
      <c r="T67" t="s">
        <v>24</v>
      </c>
    </row>
    <row r="68" spans="1:20" x14ac:dyDescent="0.35">
      <c r="A68" s="22" t="s">
        <v>147</v>
      </c>
      <c r="B68" cm="1">
        <f t="array" ref="B68">IF(MATCH(Table1[[#This Row],[Customer ID]], Table1[Customer ID], 0) = ROW() - ROW(Table1[#Headers]), 1, 0)</f>
        <v>1</v>
      </c>
      <c r="C68" t="s">
        <v>148</v>
      </c>
      <c r="D68" s="2">
        <v>45682</v>
      </c>
      <c r="E68">
        <v>36</v>
      </c>
      <c r="F68" t="str" cm="1">
        <f t="array" ref="F68">_xlfn.IFS( Table1[[#This Row],[Age]]&lt;18, "&lt;18", Table1[[#This Row],[Age]]&lt;= 29, "18-29", Table1[[#This Row],[Age]]&lt;= 44, "30-44",  Table1[[#This Row],[Age]]&lt;=59, "45-59", TRUE, "60+")</f>
        <v>30-44</v>
      </c>
      <c r="G68" t="s">
        <v>149</v>
      </c>
      <c r="H68" t="s">
        <v>29</v>
      </c>
      <c r="I68" t="s">
        <v>21</v>
      </c>
      <c r="J68">
        <v>3</v>
      </c>
      <c r="K68" t="s">
        <v>50</v>
      </c>
      <c r="L68" t="str" cm="1">
        <f t="array" ref="L68">_xlfn.IFS(Table1[[#This Row],[Customer Tenure in months]]&lt;=6, "0-6 months", Table1[[#This Row],[Customer Tenure in months]] &lt;=12, "7-12 months", Table1[[#This Row],[Customer Tenure in months]] &lt;=24, "1-2 years", TRUE, "2+ years")</f>
        <v>2+ years</v>
      </c>
      <c r="M68">
        <v>38</v>
      </c>
      <c r="N68" t="s">
        <v>72</v>
      </c>
      <c r="O68" s="1">
        <v>350</v>
      </c>
      <c r="P68">
        <v>8</v>
      </c>
      <c r="Q68" s="1">
        <v>2800</v>
      </c>
      <c r="R68">
        <v>15.66</v>
      </c>
      <c r="S68" t="s">
        <v>1091</v>
      </c>
      <c r="T68" t="s">
        <v>39</v>
      </c>
    </row>
    <row r="69" spans="1:20" x14ac:dyDescent="0.35">
      <c r="A69" s="22" t="s">
        <v>147</v>
      </c>
      <c r="B69" cm="1">
        <f t="array" ref="B69">IF(MATCH(Table1[[#This Row],[Customer ID]], Table1[Customer ID], 0) = ROW() - ROW(Table1[#Headers]), 1, 0)</f>
        <v>0</v>
      </c>
      <c r="C69" t="s">
        <v>148</v>
      </c>
      <c r="D69" s="2">
        <v>45682</v>
      </c>
      <c r="E69">
        <v>36</v>
      </c>
      <c r="F69" t="str" cm="1">
        <f t="array" ref="F69">_xlfn.IFS( Table1[[#This Row],[Age]]&lt;18, "&lt;18", Table1[[#This Row],[Age]]&lt;= 29, "18-29", Table1[[#This Row],[Age]]&lt;= 44, "30-44",  Table1[[#This Row],[Age]]&lt;=59, "45-59", TRUE, "60+")</f>
        <v>30-44</v>
      </c>
      <c r="G69" t="s">
        <v>149</v>
      </c>
      <c r="H69" t="s">
        <v>36</v>
      </c>
      <c r="I69" t="s">
        <v>21</v>
      </c>
      <c r="J69">
        <v>3</v>
      </c>
      <c r="K69" t="s">
        <v>50</v>
      </c>
      <c r="L69" t="str" cm="1">
        <f t="array" ref="L69">_xlfn.IFS(Table1[[#This Row],[Customer Tenure in months]]&lt;=6, "0-6 months", Table1[[#This Row],[Customer Tenure in months]] &lt;=12, "7-12 months", Table1[[#This Row],[Customer Tenure in months]] &lt;=24, "1-2 years", TRUE, "2+ years")</f>
        <v>2+ years</v>
      </c>
      <c r="M69">
        <v>38</v>
      </c>
      <c r="N69" t="s">
        <v>38</v>
      </c>
      <c r="O69" s="1">
        <v>20000</v>
      </c>
      <c r="P69">
        <v>10</v>
      </c>
      <c r="Q69" s="1">
        <v>200000</v>
      </c>
      <c r="R69">
        <v>139.59</v>
      </c>
      <c r="S69" t="s">
        <v>1091</v>
      </c>
      <c r="T69" t="s">
        <v>39</v>
      </c>
    </row>
    <row r="70" spans="1:20" x14ac:dyDescent="0.35">
      <c r="A70" s="22" t="s">
        <v>150</v>
      </c>
      <c r="B70" cm="1">
        <f t="array" ref="B70">IF(MATCH(Table1[[#This Row],[Customer ID]], Table1[Customer ID], 0) = ROW() - ROW(Table1[#Headers]), 1, 0)</f>
        <v>1</v>
      </c>
      <c r="C70" t="s">
        <v>151</v>
      </c>
      <c r="D70" s="2">
        <v>45741</v>
      </c>
      <c r="E70">
        <v>21</v>
      </c>
      <c r="F70" t="str" cm="1">
        <f t="array" ref="F70">_xlfn.IFS( Table1[[#This Row],[Age]]&lt;18, "&lt;18", Table1[[#This Row],[Age]]&lt;= 29, "18-29", Table1[[#This Row],[Age]]&lt;= 44, "30-44",  Table1[[#This Row],[Age]]&lt;=59, "45-59", TRUE, "60+")</f>
        <v>18-29</v>
      </c>
      <c r="G70" t="s">
        <v>152</v>
      </c>
      <c r="H70" t="s">
        <v>41</v>
      </c>
      <c r="I70" t="s">
        <v>30</v>
      </c>
      <c r="J70">
        <v>1</v>
      </c>
      <c r="K70" t="s">
        <v>37</v>
      </c>
      <c r="L70" t="str" cm="1">
        <f t="array" ref="L70">_xlfn.IFS(Table1[[#This Row],[Customer Tenure in months]]&lt;=6, "0-6 months", Table1[[#This Row],[Customer Tenure in months]] &lt;=12, "7-12 months", Table1[[#This Row],[Customer Tenure in months]] &lt;=24, "1-2 years", TRUE, "2+ years")</f>
        <v>2+ years</v>
      </c>
      <c r="M70">
        <v>43</v>
      </c>
      <c r="N70" t="s">
        <v>71</v>
      </c>
      <c r="O70" s="1">
        <v>14500</v>
      </c>
      <c r="P70">
        <v>12</v>
      </c>
      <c r="Q70" s="1">
        <v>174000</v>
      </c>
      <c r="R70">
        <v>21.56</v>
      </c>
      <c r="S70" t="s">
        <v>1091</v>
      </c>
      <c r="T70" t="s">
        <v>39</v>
      </c>
    </row>
    <row r="71" spans="1:20" x14ac:dyDescent="0.35">
      <c r="A71" s="22" t="s">
        <v>150</v>
      </c>
      <c r="B71" cm="1">
        <f t="array" ref="B71">IF(MATCH(Table1[[#This Row],[Customer ID]], Table1[Customer ID], 0) = ROW() - ROW(Table1[#Headers]), 1, 0)</f>
        <v>0</v>
      </c>
      <c r="C71" t="s">
        <v>151</v>
      </c>
      <c r="D71" s="2">
        <v>45741</v>
      </c>
      <c r="E71">
        <v>21</v>
      </c>
      <c r="F71" t="str" cm="1">
        <f t="array" ref="F71">_xlfn.IFS( Table1[[#This Row],[Age]]&lt;18, "&lt;18", Table1[[#This Row],[Age]]&lt;= 29, "18-29", Table1[[#This Row],[Age]]&lt;= 44, "30-44",  Table1[[#This Row],[Age]]&lt;=59, "45-59", TRUE, "60+")</f>
        <v>18-29</v>
      </c>
      <c r="G71" t="s">
        <v>152</v>
      </c>
      <c r="H71" t="s">
        <v>20</v>
      </c>
      <c r="I71" t="s">
        <v>30</v>
      </c>
      <c r="J71">
        <v>1</v>
      </c>
      <c r="K71" t="s">
        <v>37</v>
      </c>
      <c r="L71" t="str" cm="1">
        <f t="array" ref="L71">_xlfn.IFS(Table1[[#This Row],[Customer Tenure in months]]&lt;=6, "0-6 months", Table1[[#This Row],[Customer Tenure in months]] &lt;=12, "7-12 months", Table1[[#This Row],[Customer Tenure in months]] &lt;=24, "1-2 years", TRUE, "2+ years")</f>
        <v>2+ years</v>
      </c>
      <c r="M71">
        <v>43</v>
      </c>
      <c r="N71" t="s">
        <v>23</v>
      </c>
      <c r="O71" s="1">
        <v>35000</v>
      </c>
      <c r="P71">
        <v>14</v>
      </c>
      <c r="Q71" s="1">
        <v>490000</v>
      </c>
      <c r="R71">
        <v>141.61000000000001</v>
      </c>
      <c r="S71" t="s">
        <v>1091</v>
      </c>
      <c r="T71" t="s">
        <v>39</v>
      </c>
    </row>
    <row r="72" spans="1:20" x14ac:dyDescent="0.35">
      <c r="A72" s="22" t="s">
        <v>153</v>
      </c>
      <c r="B72" cm="1">
        <f t="array" ref="B72">IF(MATCH(Table1[[#This Row],[Customer ID]], Table1[Customer ID], 0) = ROW() - ROW(Table1[#Headers]), 1, 0)</f>
        <v>1</v>
      </c>
      <c r="C72" t="s">
        <v>154</v>
      </c>
      <c r="D72" s="2">
        <v>45713</v>
      </c>
      <c r="E72">
        <v>50</v>
      </c>
      <c r="F72" t="str" cm="1">
        <f t="array" ref="F72">_xlfn.IFS( Table1[[#This Row],[Age]]&lt;18, "&lt;18", Table1[[#This Row],[Age]]&lt;= 29, "18-29", Table1[[#This Row],[Age]]&lt;= 44, "30-44",  Table1[[#This Row],[Age]]&lt;=59, "45-59", TRUE, "60+")</f>
        <v>45-59</v>
      </c>
      <c r="G72" t="s">
        <v>86</v>
      </c>
      <c r="H72" t="s">
        <v>41</v>
      </c>
      <c r="I72" t="s">
        <v>30</v>
      </c>
      <c r="J72">
        <v>5</v>
      </c>
      <c r="K72" t="s">
        <v>55</v>
      </c>
      <c r="L72" t="str" cm="1">
        <f t="array" ref="L72">_xlfn.IFS(Table1[[#This Row],[Customer Tenure in months]]&lt;=6, "0-6 months", Table1[[#This Row],[Customer Tenure in months]] &lt;=12, "7-12 months", Table1[[#This Row],[Customer Tenure in months]] &lt;=24, "1-2 years", TRUE, "2+ years")</f>
        <v>2+ years</v>
      </c>
      <c r="M72">
        <v>30</v>
      </c>
      <c r="N72" t="s">
        <v>65</v>
      </c>
      <c r="O72" s="1">
        <v>30000</v>
      </c>
      <c r="P72">
        <v>8</v>
      </c>
      <c r="Q72" s="1">
        <v>240000</v>
      </c>
      <c r="R72">
        <v>176.39</v>
      </c>
      <c r="S72" t="s">
        <v>32</v>
      </c>
      <c r="T72" t="s">
        <v>24</v>
      </c>
    </row>
    <row r="73" spans="1:20" x14ac:dyDescent="0.35">
      <c r="A73" s="22" t="s">
        <v>155</v>
      </c>
      <c r="B73" cm="1">
        <f t="array" ref="B73">IF(MATCH(Table1[[#This Row],[Customer ID]], Table1[Customer ID], 0) = ROW() - ROW(Table1[#Headers]), 1, 0)</f>
        <v>1</v>
      </c>
      <c r="C73" t="s">
        <v>156</v>
      </c>
      <c r="D73" s="2">
        <v>45741</v>
      </c>
      <c r="E73">
        <v>64</v>
      </c>
      <c r="F73" t="str" cm="1">
        <f t="array" ref="F73">_xlfn.IFS( Table1[[#This Row],[Age]]&lt;18, "&lt;18", Table1[[#This Row],[Age]]&lt;= 29, "18-29", Table1[[#This Row],[Age]]&lt;= 44, "30-44",  Table1[[#This Row],[Age]]&lt;=59, "45-59", TRUE, "60+")</f>
        <v>60+</v>
      </c>
      <c r="G73" t="s">
        <v>157</v>
      </c>
      <c r="H73" t="s">
        <v>36</v>
      </c>
      <c r="I73" t="s">
        <v>21</v>
      </c>
      <c r="J73">
        <v>2</v>
      </c>
      <c r="K73" t="s">
        <v>22</v>
      </c>
      <c r="L73" t="str" cm="1">
        <f t="array" ref="L73">_xlfn.IFS(Table1[[#This Row],[Customer Tenure in months]]&lt;=6, "0-6 months", Table1[[#This Row],[Customer Tenure in months]] &lt;=12, "7-12 months", Table1[[#This Row],[Customer Tenure in months]] &lt;=24, "1-2 years", TRUE, "2+ years")</f>
        <v>2+ years</v>
      </c>
      <c r="M73">
        <v>32</v>
      </c>
      <c r="N73" t="s">
        <v>62</v>
      </c>
      <c r="O73" s="1">
        <v>24000</v>
      </c>
      <c r="P73">
        <v>9</v>
      </c>
      <c r="Q73" s="1">
        <v>216000</v>
      </c>
      <c r="R73">
        <v>176.12</v>
      </c>
      <c r="S73" t="s">
        <v>1091</v>
      </c>
      <c r="T73" t="s">
        <v>39</v>
      </c>
    </row>
    <row r="74" spans="1:20" x14ac:dyDescent="0.35">
      <c r="A74" s="22" t="s">
        <v>155</v>
      </c>
      <c r="B74" cm="1">
        <f t="array" ref="B74">IF(MATCH(Table1[[#This Row],[Customer ID]], Table1[Customer ID], 0) = ROW() - ROW(Table1[#Headers]), 1, 0)</f>
        <v>0</v>
      </c>
      <c r="C74" t="s">
        <v>156</v>
      </c>
      <c r="D74" s="2">
        <v>45741</v>
      </c>
      <c r="E74">
        <v>64</v>
      </c>
      <c r="F74" t="str" cm="1">
        <f t="array" ref="F74">_xlfn.IFS( Table1[[#This Row],[Age]]&lt;18, "&lt;18", Table1[[#This Row],[Age]]&lt;= 29, "18-29", Table1[[#This Row],[Age]]&lt;= 44, "30-44",  Table1[[#This Row],[Age]]&lt;=59, "45-59", TRUE, "60+")</f>
        <v>60+</v>
      </c>
      <c r="G74" t="s">
        <v>157</v>
      </c>
      <c r="H74" t="s">
        <v>29</v>
      </c>
      <c r="I74" t="s">
        <v>21</v>
      </c>
      <c r="J74">
        <v>2</v>
      </c>
      <c r="K74" t="s">
        <v>22</v>
      </c>
      <c r="L74" t="str" cm="1">
        <f t="array" ref="L74">_xlfn.IFS(Table1[[#This Row],[Customer Tenure in months]]&lt;=6, "0-6 months", Table1[[#This Row],[Customer Tenure in months]] &lt;=12, "7-12 months", Table1[[#This Row],[Customer Tenure in months]] &lt;=24, "1-2 years", TRUE, "2+ years")</f>
        <v>2+ years</v>
      </c>
      <c r="M74">
        <v>32</v>
      </c>
      <c r="N74" t="s">
        <v>58</v>
      </c>
      <c r="O74" s="1">
        <v>16000</v>
      </c>
      <c r="P74">
        <v>7</v>
      </c>
      <c r="Q74" s="1">
        <v>112000</v>
      </c>
      <c r="R74">
        <v>103.57</v>
      </c>
      <c r="S74" t="s">
        <v>1091</v>
      </c>
      <c r="T74" t="s">
        <v>39</v>
      </c>
    </row>
    <row r="75" spans="1:20" x14ac:dyDescent="0.35">
      <c r="A75" s="22" t="s">
        <v>158</v>
      </c>
      <c r="B75" cm="1">
        <f t="array" ref="B75">IF(MATCH(Table1[[#This Row],[Customer ID]], Table1[Customer ID], 0) = ROW() - ROW(Table1[#Headers]), 1, 0)</f>
        <v>1</v>
      </c>
      <c r="C75" t="s">
        <v>159</v>
      </c>
      <c r="D75" s="2">
        <v>45713</v>
      </c>
      <c r="E75">
        <v>46</v>
      </c>
      <c r="F75" t="str" cm="1">
        <f t="array" ref="F75">_xlfn.IFS( Table1[[#This Row],[Age]]&lt;18, "&lt;18", Table1[[#This Row],[Age]]&lt;= 29, "18-29", Table1[[#This Row],[Age]]&lt;= 44, "30-44",  Table1[[#This Row],[Age]]&lt;=59, "45-59", TRUE, "60+")</f>
        <v>45-59</v>
      </c>
      <c r="G75" t="s">
        <v>110</v>
      </c>
      <c r="H75" t="s">
        <v>29</v>
      </c>
      <c r="I75" t="s">
        <v>30</v>
      </c>
      <c r="J75">
        <v>4</v>
      </c>
      <c r="K75" t="s">
        <v>114</v>
      </c>
      <c r="L75" t="str" cm="1">
        <f t="array" ref="L75">_xlfn.IFS(Table1[[#This Row],[Customer Tenure in months]]&lt;=6, "0-6 months", Table1[[#This Row],[Customer Tenure in months]] &lt;=12, "7-12 months", Table1[[#This Row],[Customer Tenure in months]] &lt;=24, "1-2 years", TRUE, "2+ years")</f>
        <v>2+ years</v>
      </c>
      <c r="M75">
        <v>36</v>
      </c>
      <c r="N75" t="s">
        <v>83</v>
      </c>
      <c r="O75" s="1">
        <v>1000</v>
      </c>
      <c r="P75">
        <v>13</v>
      </c>
      <c r="Q75" s="1">
        <v>13000</v>
      </c>
      <c r="R75">
        <v>59.2</v>
      </c>
      <c r="S75" t="s">
        <v>1091</v>
      </c>
      <c r="T75" t="s">
        <v>39</v>
      </c>
    </row>
    <row r="76" spans="1:20" x14ac:dyDescent="0.35">
      <c r="A76" s="22" t="s">
        <v>158</v>
      </c>
      <c r="B76" cm="1">
        <f t="array" ref="B76">IF(MATCH(Table1[[#This Row],[Customer ID]], Table1[Customer ID], 0) = ROW() - ROW(Table1[#Headers]), 1, 0)</f>
        <v>0</v>
      </c>
      <c r="C76" t="s">
        <v>159</v>
      </c>
      <c r="D76" s="2">
        <v>45713</v>
      </c>
      <c r="E76">
        <v>46</v>
      </c>
      <c r="F76" t="str" cm="1">
        <f t="array" ref="F76">_xlfn.IFS( Table1[[#This Row],[Age]]&lt;18, "&lt;18", Table1[[#This Row],[Age]]&lt;= 29, "18-29", Table1[[#This Row],[Age]]&lt;= 44, "30-44",  Table1[[#This Row],[Age]]&lt;=59, "45-59", TRUE, "60+")</f>
        <v>45-59</v>
      </c>
      <c r="G76" t="s">
        <v>110</v>
      </c>
      <c r="H76" t="s">
        <v>41</v>
      </c>
      <c r="I76" t="s">
        <v>30</v>
      </c>
      <c r="J76">
        <v>4</v>
      </c>
      <c r="K76" t="s">
        <v>114</v>
      </c>
      <c r="L76" t="str" cm="1">
        <f t="array" ref="L76">_xlfn.IFS(Table1[[#This Row],[Customer Tenure in months]]&lt;=6, "0-6 months", Table1[[#This Row],[Customer Tenure in months]] &lt;=12, "7-12 months", Table1[[#This Row],[Customer Tenure in months]] &lt;=24, "1-2 years", TRUE, "2+ years")</f>
        <v>2+ years</v>
      </c>
      <c r="M76">
        <v>36</v>
      </c>
      <c r="N76" t="s">
        <v>38</v>
      </c>
      <c r="O76" s="1">
        <v>20000</v>
      </c>
      <c r="P76">
        <v>19</v>
      </c>
      <c r="Q76" s="1">
        <v>380000</v>
      </c>
      <c r="R76">
        <v>61.59</v>
      </c>
      <c r="S76" t="s">
        <v>1091</v>
      </c>
      <c r="T76" t="s">
        <v>39</v>
      </c>
    </row>
    <row r="77" spans="1:20" x14ac:dyDescent="0.35">
      <c r="A77" s="22" t="s">
        <v>160</v>
      </c>
      <c r="B77" cm="1">
        <f t="array" ref="B77">IF(MATCH(Table1[[#This Row],[Customer ID]], Table1[Customer ID], 0) = ROW() - ROW(Table1[#Headers]), 1, 0)</f>
        <v>1</v>
      </c>
      <c r="C77" t="s">
        <v>161</v>
      </c>
      <c r="D77" s="2">
        <v>45741</v>
      </c>
      <c r="E77">
        <v>76</v>
      </c>
      <c r="F77" t="str" cm="1">
        <f t="array" ref="F77">_xlfn.IFS( Table1[[#This Row],[Age]]&lt;18, "&lt;18", Table1[[#This Row],[Age]]&lt;= 29, "18-29", Table1[[#This Row],[Age]]&lt;= 44, "30-44",  Table1[[#This Row],[Age]]&lt;=59, "45-59", TRUE, "60+")</f>
        <v>60+</v>
      </c>
      <c r="G77" t="s">
        <v>75</v>
      </c>
      <c r="H77" t="s">
        <v>36</v>
      </c>
      <c r="I77" t="s">
        <v>30</v>
      </c>
      <c r="J77">
        <v>3</v>
      </c>
      <c r="K77" t="s">
        <v>50</v>
      </c>
      <c r="L77" t="str" cm="1">
        <f t="array" ref="L77">_xlfn.IFS(Table1[[#This Row],[Customer Tenure in months]]&lt;=6, "0-6 months", Table1[[#This Row],[Customer Tenure in months]] &lt;=12, "7-12 months", Table1[[#This Row],[Customer Tenure in months]] &lt;=24, "1-2 years", TRUE, "2+ years")</f>
        <v>2+ years</v>
      </c>
      <c r="M77">
        <v>28</v>
      </c>
      <c r="N77" t="s">
        <v>71</v>
      </c>
      <c r="O77" s="1">
        <v>14500</v>
      </c>
      <c r="P77">
        <v>7</v>
      </c>
      <c r="Q77" s="1">
        <v>101500</v>
      </c>
      <c r="R77">
        <v>24.57</v>
      </c>
      <c r="S77" t="s">
        <v>1091</v>
      </c>
      <c r="T77" t="s">
        <v>39</v>
      </c>
    </row>
    <row r="78" spans="1:20" x14ac:dyDescent="0.35">
      <c r="A78" s="22" t="s">
        <v>160</v>
      </c>
      <c r="B78" cm="1">
        <f t="array" ref="B78">IF(MATCH(Table1[[#This Row],[Customer ID]], Table1[Customer ID], 0) = ROW() - ROW(Table1[#Headers]), 1, 0)</f>
        <v>0</v>
      </c>
      <c r="C78" t="s">
        <v>161</v>
      </c>
      <c r="D78" s="2">
        <v>45741</v>
      </c>
      <c r="E78">
        <v>76</v>
      </c>
      <c r="F78" t="str" cm="1">
        <f t="array" ref="F78">_xlfn.IFS( Table1[[#This Row],[Age]]&lt;18, "&lt;18", Table1[[#This Row],[Age]]&lt;= 29, "18-29", Table1[[#This Row],[Age]]&lt;= 44, "30-44",  Table1[[#This Row],[Age]]&lt;=59, "45-59", TRUE, "60+")</f>
        <v>60+</v>
      </c>
      <c r="G78" t="s">
        <v>75</v>
      </c>
      <c r="H78" t="s">
        <v>29</v>
      </c>
      <c r="I78" t="s">
        <v>30</v>
      </c>
      <c r="J78">
        <v>3</v>
      </c>
      <c r="K78" t="s">
        <v>50</v>
      </c>
      <c r="L78" t="str" cm="1">
        <f t="array" ref="L78">_xlfn.IFS(Table1[[#This Row],[Customer Tenure in months]]&lt;=6, "0-6 months", Table1[[#This Row],[Customer Tenure in months]] &lt;=12, "7-12 months", Table1[[#This Row],[Customer Tenure in months]] &lt;=24, "1-2 years", TRUE, "2+ years")</f>
        <v>2+ years</v>
      </c>
      <c r="M78">
        <v>28</v>
      </c>
      <c r="N78" t="s">
        <v>51</v>
      </c>
      <c r="O78" s="1">
        <v>9000</v>
      </c>
      <c r="P78">
        <v>18</v>
      </c>
      <c r="Q78" s="1">
        <v>162000</v>
      </c>
      <c r="R78">
        <v>24.35</v>
      </c>
      <c r="S78" t="s">
        <v>1091</v>
      </c>
      <c r="T78" t="s">
        <v>39</v>
      </c>
    </row>
    <row r="79" spans="1:20" x14ac:dyDescent="0.35">
      <c r="A79" s="22" t="s">
        <v>162</v>
      </c>
      <c r="B79" cm="1">
        <f t="array" ref="B79">IF(MATCH(Table1[[#This Row],[Customer ID]], Table1[Customer ID], 0) = ROW() - ROW(Table1[#Headers]), 1, 0)</f>
        <v>1</v>
      </c>
      <c r="C79" t="s">
        <v>163</v>
      </c>
      <c r="D79" s="2">
        <v>45741</v>
      </c>
      <c r="E79">
        <v>40</v>
      </c>
      <c r="F79" t="str" cm="1">
        <f t="array" ref="F79">_xlfn.IFS( Table1[[#This Row],[Age]]&lt;18, "&lt;18", Table1[[#This Row],[Age]]&lt;= 29, "18-29", Table1[[#This Row],[Age]]&lt;= 44, "30-44",  Table1[[#This Row],[Age]]&lt;=59, "45-59", TRUE, "60+")</f>
        <v>30-44</v>
      </c>
      <c r="G79" t="s">
        <v>79</v>
      </c>
      <c r="H79" t="s">
        <v>20</v>
      </c>
      <c r="I79" t="s">
        <v>30</v>
      </c>
      <c r="J79">
        <v>1</v>
      </c>
      <c r="K79" t="s">
        <v>37</v>
      </c>
      <c r="L79" t="str" cm="1">
        <f t="array" ref="L79">_xlfn.IFS(Table1[[#This Row],[Customer Tenure in months]]&lt;=6, "0-6 months", Table1[[#This Row],[Customer Tenure in months]] &lt;=12, "7-12 months", Table1[[#This Row],[Customer Tenure in months]] &lt;=24, "1-2 years", TRUE, "2+ years")</f>
        <v>1-2 years</v>
      </c>
      <c r="M79">
        <v>18</v>
      </c>
      <c r="N79" t="s">
        <v>46</v>
      </c>
      <c r="O79" s="1">
        <v>4500</v>
      </c>
      <c r="P79">
        <v>18</v>
      </c>
      <c r="Q79" s="1">
        <v>81000</v>
      </c>
      <c r="R79">
        <v>60.8</v>
      </c>
      <c r="S79" t="s">
        <v>1091</v>
      </c>
      <c r="T79" t="s">
        <v>39</v>
      </c>
    </row>
    <row r="80" spans="1:20" x14ac:dyDescent="0.35">
      <c r="A80" s="22" t="s">
        <v>162</v>
      </c>
      <c r="B80" cm="1">
        <f t="array" ref="B80">IF(MATCH(Table1[[#This Row],[Customer ID]], Table1[Customer ID], 0) = ROW() - ROW(Table1[#Headers]), 1, 0)</f>
        <v>0</v>
      </c>
      <c r="C80" t="s">
        <v>163</v>
      </c>
      <c r="D80" s="2">
        <v>45741</v>
      </c>
      <c r="E80">
        <v>40</v>
      </c>
      <c r="F80" t="str" cm="1">
        <f t="array" ref="F80">_xlfn.IFS( Table1[[#This Row],[Age]]&lt;18, "&lt;18", Table1[[#This Row],[Age]]&lt;= 29, "18-29", Table1[[#This Row],[Age]]&lt;= 44, "30-44",  Table1[[#This Row],[Age]]&lt;=59, "45-59", TRUE, "60+")</f>
        <v>30-44</v>
      </c>
      <c r="G80" t="s">
        <v>79</v>
      </c>
      <c r="H80" t="s">
        <v>29</v>
      </c>
      <c r="I80" t="s">
        <v>30</v>
      </c>
      <c r="J80">
        <v>1</v>
      </c>
      <c r="K80" t="s">
        <v>37</v>
      </c>
      <c r="L80" t="str" cm="1">
        <f t="array" ref="L80">_xlfn.IFS(Table1[[#This Row],[Customer Tenure in months]]&lt;=6, "0-6 months", Table1[[#This Row],[Customer Tenure in months]] &lt;=12, "7-12 months", Table1[[#This Row],[Customer Tenure in months]] &lt;=24, "1-2 years", TRUE, "2+ years")</f>
        <v>1-2 years</v>
      </c>
      <c r="M80">
        <v>18</v>
      </c>
      <c r="N80" t="s">
        <v>164</v>
      </c>
      <c r="O80" s="1">
        <v>600</v>
      </c>
      <c r="P80">
        <v>2</v>
      </c>
      <c r="Q80" s="1">
        <v>1200</v>
      </c>
      <c r="R80">
        <v>55.23</v>
      </c>
      <c r="S80" t="s">
        <v>1091</v>
      </c>
      <c r="T80" t="s">
        <v>39</v>
      </c>
    </row>
    <row r="81" spans="1:20" x14ac:dyDescent="0.35">
      <c r="A81" s="22" t="s">
        <v>165</v>
      </c>
      <c r="B81" cm="1">
        <f t="array" ref="B81">IF(MATCH(Table1[[#This Row],[Customer ID]], Table1[Customer ID], 0) = ROW() - ROW(Table1[#Headers]), 1, 0)</f>
        <v>1</v>
      </c>
      <c r="C81" t="s">
        <v>166</v>
      </c>
      <c r="D81" s="2">
        <v>45682</v>
      </c>
      <c r="E81">
        <v>32</v>
      </c>
      <c r="F81" t="str" cm="1">
        <f t="array" ref="F81">_xlfn.IFS( Table1[[#This Row],[Age]]&lt;18, "&lt;18", Table1[[#This Row],[Age]]&lt;= 29, "18-29", Table1[[#This Row],[Age]]&lt;= 44, "30-44",  Table1[[#This Row],[Age]]&lt;=59, "45-59", TRUE, "60+")</f>
        <v>30-44</v>
      </c>
      <c r="G81" t="s">
        <v>90</v>
      </c>
      <c r="H81" t="s">
        <v>36</v>
      </c>
      <c r="I81" t="s">
        <v>21</v>
      </c>
      <c r="J81">
        <v>5</v>
      </c>
      <c r="K81" t="s">
        <v>55</v>
      </c>
      <c r="L81" t="str" cm="1">
        <f t="array" ref="L81">_xlfn.IFS(Table1[[#This Row],[Customer Tenure in months]]&lt;=6, "0-6 months", Table1[[#This Row],[Customer Tenure in months]] &lt;=12, "7-12 months", Table1[[#This Row],[Customer Tenure in months]] &lt;=24, "1-2 years", TRUE, "2+ years")</f>
        <v>2+ years</v>
      </c>
      <c r="M81">
        <v>56</v>
      </c>
      <c r="N81" t="s">
        <v>42</v>
      </c>
      <c r="O81" s="1">
        <v>9000</v>
      </c>
      <c r="P81">
        <v>16</v>
      </c>
      <c r="Q81" s="1">
        <v>144000</v>
      </c>
      <c r="R81">
        <v>50.87</v>
      </c>
      <c r="S81" t="s">
        <v>167</v>
      </c>
      <c r="T81" t="s">
        <v>24</v>
      </c>
    </row>
    <row r="82" spans="1:20" x14ac:dyDescent="0.35">
      <c r="A82" s="22" t="s">
        <v>165</v>
      </c>
      <c r="B82" cm="1">
        <f t="array" ref="B82">IF(MATCH(Table1[[#This Row],[Customer ID]], Table1[Customer ID], 0) = ROW() - ROW(Table1[#Headers]), 1, 0)</f>
        <v>0</v>
      </c>
      <c r="C82" t="s">
        <v>166</v>
      </c>
      <c r="D82" s="2">
        <v>45682</v>
      </c>
      <c r="E82">
        <v>32</v>
      </c>
      <c r="F82" t="str" cm="1">
        <f t="array" ref="F82">_xlfn.IFS( Table1[[#This Row],[Age]]&lt;18, "&lt;18", Table1[[#This Row],[Age]]&lt;= 29, "18-29", Table1[[#This Row],[Age]]&lt;= 44, "30-44",  Table1[[#This Row],[Age]]&lt;=59, "45-59", TRUE, "60+")</f>
        <v>30-44</v>
      </c>
      <c r="G82" t="s">
        <v>90</v>
      </c>
      <c r="H82" t="s">
        <v>41</v>
      </c>
      <c r="I82" t="s">
        <v>21</v>
      </c>
      <c r="J82">
        <v>5</v>
      </c>
      <c r="K82" t="s">
        <v>55</v>
      </c>
      <c r="L82" t="str" cm="1">
        <f t="array" ref="L82">_xlfn.IFS(Table1[[#This Row],[Customer Tenure in months]]&lt;=6, "0-6 months", Table1[[#This Row],[Customer Tenure in months]] &lt;=12, "7-12 months", Table1[[#This Row],[Customer Tenure in months]] &lt;=24, "1-2 years", TRUE, "2+ years")</f>
        <v>2+ years</v>
      </c>
      <c r="M82">
        <v>56</v>
      </c>
      <c r="N82" t="s">
        <v>42</v>
      </c>
      <c r="O82" s="1">
        <v>9000</v>
      </c>
      <c r="P82">
        <v>13</v>
      </c>
      <c r="Q82" s="1">
        <v>117000</v>
      </c>
      <c r="R82">
        <v>164.51</v>
      </c>
      <c r="S82" t="s">
        <v>167</v>
      </c>
      <c r="T82" t="s">
        <v>24</v>
      </c>
    </row>
    <row r="83" spans="1:20" x14ac:dyDescent="0.35">
      <c r="A83" s="22" t="s">
        <v>168</v>
      </c>
      <c r="B83" cm="1">
        <f t="array" ref="B83">IF(MATCH(Table1[[#This Row],[Customer ID]], Table1[Customer ID], 0) = ROW() - ROW(Table1[#Headers]), 1, 0)</f>
        <v>1</v>
      </c>
      <c r="C83" t="s">
        <v>169</v>
      </c>
      <c r="D83" s="2">
        <v>45741</v>
      </c>
      <c r="E83">
        <v>25</v>
      </c>
      <c r="F83" t="str" cm="1">
        <f t="array" ref="F83">_xlfn.IFS( Table1[[#This Row],[Age]]&lt;18, "&lt;18", Table1[[#This Row],[Age]]&lt;= 29, "18-29", Table1[[#This Row],[Age]]&lt;= 44, "30-44",  Table1[[#This Row],[Age]]&lt;=59, "45-59", TRUE, "60+")</f>
        <v>18-29</v>
      </c>
      <c r="G83" t="s">
        <v>49</v>
      </c>
      <c r="H83" t="s">
        <v>29</v>
      </c>
      <c r="I83" t="s">
        <v>21</v>
      </c>
      <c r="J83">
        <v>1</v>
      </c>
      <c r="K83" t="s">
        <v>37</v>
      </c>
      <c r="L83" t="str" cm="1">
        <f t="array" ref="L83">_xlfn.IFS(Table1[[#This Row],[Customer Tenure in months]]&lt;=6, "0-6 months", Table1[[#This Row],[Customer Tenure in months]] &lt;=12, "7-12 months", Table1[[#This Row],[Customer Tenure in months]] &lt;=24, "1-2 years", TRUE, "2+ years")</f>
        <v>7-12 months</v>
      </c>
      <c r="M83">
        <v>10</v>
      </c>
      <c r="N83" t="s">
        <v>72</v>
      </c>
      <c r="O83" s="1">
        <v>350</v>
      </c>
      <c r="P83">
        <v>13</v>
      </c>
      <c r="Q83" s="1">
        <v>4550</v>
      </c>
      <c r="R83">
        <v>155.25</v>
      </c>
      <c r="S83" t="s">
        <v>1091</v>
      </c>
      <c r="T83" t="s">
        <v>39</v>
      </c>
    </row>
    <row r="84" spans="1:20" x14ac:dyDescent="0.35">
      <c r="A84" s="22" t="s">
        <v>170</v>
      </c>
      <c r="B84" cm="1">
        <f t="array" ref="B84">IF(MATCH(Table1[[#This Row],[Customer ID]], Table1[Customer ID], 0) = ROW() - ROW(Table1[#Headers]), 1, 0)</f>
        <v>1</v>
      </c>
      <c r="C84" t="s">
        <v>171</v>
      </c>
      <c r="D84" s="2">
        <v>45682</v>
      </c>
      <c r="E84">
        <v>72</v>
      </c>
      <c r="F84" t="str" cm="1">
        <f t="array" ref="F84">_xlfn.IFS( Table1[[#This Row],[Age]]&lt;18, "&lt;18", Table1[[#This Row],[Age]]&lt;= 29, "18-29", Table1[[#This Row],[Age]]&lt;= 44, "30-44",  Table1[[#This Row],[Age]]&lt;=59, "45-59", TRUE, "60+")</f>
        <v>60+</v>
      </c>
      <c r="G84" t="s">
        <v>149</v>
      </c>
      <c r="H84" t="s">
        <v>20</v>
      </c>
      <c r="I84" t="s">
        <v>30</v>
      </c>
      <c r="J84">
        <v>5</v>
      </c>
      <c r="K84" t="s">
        <v>55</v>
      </c>
      <c r="L84" t="str" cm="1">
        <f t="array" ref="L84">_xlfn.IFS(Table1[[#This Row],[Customer Tenure in months]]&lt;=6, "0-6 months", Table1[[#This Row],[Customer Tenure in months]] &lt;=12, "7-12 months", Table1[[#This Row],[Customer Tenure in months]] &lt;=24, "1-2 years", TRUE, "2+ years")</f>
        <v>1-2 years</v>
      </c>
      <c r="M84">
        <v>20</v>
      </c>
      <c r="N84" t="s">
        <v>46</v>
      </c>
      <c r="O84" s="1">
        <v>4500</v>
      </c>
      <c r="P84">
        <v>3</v>
      </c>
      <c r="Q84" s="1">
        <v>13500</v>
      </c>
      <c r="R84">
        <v>53.3</v>
      </c>
      <c r="S84" t="s">
        <v>1091</v>
      </c>
      <c r="T84" t="s">
        <v>39</v>
      </c>
    </row>
    <row r="85" spans="1:20" x14ac:dyDescent="0.35">
      <c r="A85" s="22" t="s">
        <v>172</v>
      </c>
      <c r="B85" cm="1">
        <f t="array" ref="B85">IF(MATCH(Table1[[#This Row],[Customer ID]], Table1[Customer ID], 0) = ROW() - ROW(Table1[#Headers]), 1, 0)</f>
        <v>1</v>
      </c>
      <c r="C85" t="s">
        <v>173</v>
      </c>
      <c r="D85" s="2">
        <v>45682</v>
      </c>
      <c r="E85">
        <v>46</v>
      </c>
      <c r="F85" t="str" cm="1">
        <f t="array" ref="F85">_xlfn.IFS( Table1[[#This Row],[Age]]&lt;18, "&lt;18", Table1[[#This Row],[Age]]&lt;= 29, "18-29", Table1[[#This Row],[Age]]&lt;= 44, "30-44",  Table1[[#This Row],[Age]]&lt;=59, "45-59", TRUE, "60+")</f>
        <v>45-59</v>
      </c>
      <c r="G85" t="s">
        <v>131</v>
      </c>
      <c r="H85" t="s">
        <v>29</v>
      </c>
      <c r="I85" t="s">
        <v>21</v>
      </c>
      <c r="J85">
        <v>4</v>
      </c>
      <c r="K85" t="s">
        <v>114</v>
      </c>
      <c r="L85" t="str" cm="1">
        <f t="array" ref="L85">_xlfn.IFS(Table1[[#This Row],[Customer Tenure in months]]&lt;=6, "0-6 months", Table1[[#This Row],[Customer Tenure in months]] &lt;=12, "7-12 months", Table1[[#This Row],[Customer Tenure in months]] &lt;=24, "1-2 years", TRUE, "2+ years")</f>
        <v>7-12 months</v>
      </c>
      <c r="M85">
        <v>11</v>
      </c>
      <c r="N85" t="s">
        <v>72</v>
      </c>
      <c r="O85" s="1">
        <v>350</v>
      </c>
      <c r="P85">
        <v>10</v>
      </c>
      <c r="Q85" s="1">
        <v>3500</v>
      </c>
      <c r="R85">
        <v>57.98</v>
      </c>
      <c r="S85" t="s">
        <v>1091</v>
      </c>
      <c r="T85" t="s">
        <v>39</v>
      </c>
    </row>
    <row r="86" spans="1:20" x14ac:dyDescent="0.35">
      <c r="A86" s="22" t="s">
        <v>172</v>
      </c>
      <c r="B86" cm="1">
        <f t="array" ref="B86">IF(MATCH(Table1[[#This Row],[Customer ID]], Table1[Customer ID], 0) = ROW() - ROW(Table1[#Headers]), 1, 0)</f>
        <v>0</v>
      </c>
      <c r="C86" t="s">
        <v>173</v>
      </c>
      <c r="D86" s="2">
        <v>45682</v>
      </c>
      <c r="E86">
        <v>46</v>
      </c>
      <c r="F86" t="str" cm="1">
        <f t="array" ref="F86">_xlfn.IFS( Table1[[#This Row],[Age]]&lt;18, "&lt;18", Table1[[#This Row],[Age]]&lt;= 29, "18-29", Table1[[#This Row],[Age]]&lt;= 44, "30-44",  Table1[[#This Row],[Age]]&lt;=59, "45-59", TRUE, "60+")</f>
        <v>45-59</v>
      </c>
      <c r="G86" t="s">
        <v>131</v>
      </c>
      <c r="H86" t="s">
        <v>20</v>
      </c>
      <c r="I86" t="s">
        <v>21</v>
      </c>
      <c r="J86">
        <v>4</v>
      </c>
      <c r="K86" t="s">
        <v>114</v>
      </c>
      <c r="L86" t="str" cm="1">
        <f t="array" ref="L86">_xlfn.IFS(Table1[[#This Row],[Customer Tenure in months]]&lt;=6, "0-6 months", Table1[[#This Row],[Customer Tenure in months]] &lt;=12, "7-12 months", Table1[[#This Row],[Customer Tenure in months]] &lt;=24, "1-2 years", TRUE, "2+ years")</f>
        <v>7-12 months</v>
      </c>
      <c r="M86">
        <v>11</v>
      </c>
      <c r="N86" t="s">
        <v>23</v>
      </c>
      <c r="O86" s="1">
        <v>35000</v>
      </c>
      <c r="P86">
        <v>8</v>
      </c>
      <c r="Q86" s="1">
        <v>280000</v>
      </c>
      <c r="R86">
        <v>14.7</v>
      </c>
      <c r="S86" t="s">
        <v>1091</v>
      </c>
      <c r="T86" t="s">
        <v>39</v>
      </c>
    </row>
    <row r="87" spans="1:20" x14ac:dyDescent="0.35">
      <c r="A87" s="22" t="s">
        <v>172</v>
      </c>
      <c r="B87" cm="1">
        <f t="array" ref="B87">IF(MATCH(Table1[[#This Row],[Customer ID]], Table1[Customer ID], 0) = ROW() - ROW(Table1[#Headers]), 1, 0)</f>
        <v>0</v>
      </c>
      <c r="C87" t="s">
        <v>173</v>
      </c>
      <c r="D87" s="2">
        <v>45682</v>
      </c>
      <c r="E87">
        <v>46</v>
      </c>
      <c r="F87" t="str" cm="1">
        <f t="array" ref="F87">_xlfn.IFS( Table1[[#This Row],[Age]]&lt;18, "&lt;18", Table1[[#This Row],[Age]]&lt;= 29, "18-29", Table1[[#This Row],[Age]]&lt;= 44, "30-44",  Table1[[#This Row],[Age]]&lt;=59, "45-59", TRUE, "60+")</f>
        <v>45-59</v>
      </c>
      <c r="G87" t="s">
        <v>131</v>
      </c>
      <c r="H87" t="s">
        <v>41</v>
      </c>
      <c r="I87" t="s">
        <v>21</v>
      </c>
      <c r="J87">
        <v>4</v>
      </c>
      <c r="K87" t="s">
        <v>114</v>
      </c>
      <c r="L87" t="str" cm="1">
        <f t="array" ref="L87">_xlfn.IFS(Table1[[#This Row],[Customer Tenure in months]]&lt;=6, "0-6 months", Table1[[#This Row],[Customer Tenure in months]] &lt;=12, "7-12 months", Table1[[#This Row],[Customer Tenure in months]] &lt;=24, "1-2 years", TRUE, "2+ years")</f>
        <v>7-12 months</v>
      </c>
      <c r="M87">
        <v>11</v>
      </c>
      <c r="N87" t="s">
        <v>65</v>
      </c>
      <c r="O87" s="1">
        <v>30000</v>
      </c>
      <c r="P87">
        <v>19</v>
      </c>
      <c r="Q87" s="1">
        <v>570000</v>
      </c>
      <c r="R87">
        <v>157.66999999999999</v>
      </c>
      <c r="S87" t="s">
        <v>1091</v>
      </c>
      <c r="T87" t="s">
        <v>39</v>
      </c>
    </row>
    <row r="88" spans="1:20" x14ac:dyDescent="0.35">
      <c r="A88" s="22" t="s">
        <v>174</v>
      </c>
      <c r="B88" cm="1">
        <f t="array" ref="B88">IF(MATCH(Table1[[#This Row],[Customer ID]], Table1[Customer ID], 0) = ROW() - ROW(Table1[#Headers]), 1, 0)</f>
        <v>1</v>
      </c>
      <c r="C88" t="s">
        <v>175</v>
      </c>
      <c r="D88" s="2">
        <v>45713</v>
      </c>
      <c r="E88">
        <v>70</v>
      </c>
      <c r="F88" t="str" cm="1">
        <f t="array" ref="F88">_xlfn.IFS( Table1[[#This Row],[Age]]&lt;18, "&lt;18", Table1[[#This Row],[Age]]&lt;= 29, "18-29", Table1[[#This Row],[Age]]&lt;= 44, "30-44",  Table1[[#This Row],[Age]]&lt;=59, "45-59", TRUE, "60+")</f>
        <v>60+</v>
      </c>
      <c r="G88" t="s">
        <v>176</v>
      </c>
      <c r="H88" t="s">
        <v>41</v>
      </c>
      <c r="I88" t="s">
        <v>21</v>
      </c>
      <c r="J88">
        <v>3</v>
      </c>
      <c r="K88" t="s">
        <v>50</v>
      </c>
      <c r="L88" t="str" cm="1">
        <f t="array" ref="L88">_xlfn.IFS(Table1[[#This Row],[Customer Tenure in months]]&lt;=6, "0-6 months", Table1[[#This Row],[Customer Tenure in months]] &lt;=12, "7-12 months", Table1[[#This Row],[Customer Tenure in months]] &lt;=24, "1-2 years", TRUE, "2+ years")</f>
        <v>2+ years</v>
      </c>
      <c r="M88">
        <v>42</v>
      </c>
      <c r="N88" t="s">
        <v>38</v>
      </c>
      <c r="O88" s="1">
        <v>20000</v>
      </c>
      <c r="P88">
        <v>20</v>
      </c>
      <c r="Q88" s="1">
        <v>400000</v>
      </c>
      <c r="R88">
        <v>158.63</v>
      </c>
      <c r="S88" t="s">
        <v>1091</v>
      </c>
      <c r="T88" t="s">
        <v>39</v>
      </c>
    </row>
    <row r="89" spans="1:20" x14ac:dyDescent="0.35">
      <c r="A89" s="22" t="s">
        <v>177</v>
      </c>
      <c r="B89" cm="1">
        <f t="array" ref="B89">IF(MATCH(Table1[[#This Row],[Customer ID]], Table1[Customer ID], 0) = ROW() - ROW(Table1[#Headers]), 1, 0)</f>
        <v>1</v>
      </c>
      <c r="C89" t="s">
        <v>178</v>
      </c>
      <c r="D89" s="2">
        <v>45741</v>
      </c>
      <c r="E89">
        <v>72</v>
      </c>
      <c r="F89" t="str" cm="1">
        <f t="array" ref="F89">_xlfn.IFS( Table1[[#This Row],[Age]]&lt;18, "&lt;18", Table1[[#This Row],[Age]]&lt;= 29, "18-29", Table1[[#This Row],[Age]]&lt;= 44, "30-44",  Table1[[#This Row],[Age]]&lt;=59, "45-59", TRUE, "60+")</f>
        <v>60+</v>
      </c>
      <c r="G89" t="s">
        <v>176</v>
      </c>
      <c r="H89" t="s">
        <v>29</v>
      </c>
      <c r="I89" t="s">
        <v>30</v>
      </c>
      <c r="J89">
        <v>4</v>
      </c>
      <c r="K89" t="s">
        <v>114</v>
      </c>
      <c r="L89" t="str" cm="1">
        <f t="array" ref="L89">_xlfn.IFS(Table1[[#This Row],[Customer Tenure in months]]&lt;=6, "0-6 months", Table1[[#This Row],[Customer Tenure in months]] &lt;=12, "7-12 months", Table1[[#This Row],[Customer Tenure in months]] &lt;=24, "1-2 years", TRUE, "2+ years")</f>
        <v>2+ years</v>
      </c>
      <c r="M89">
        <v>45</v>
      </c>
      <c r="N89" t="s">
        <v>102</v>
      </c>
      <c r="O89" s="1">
        <v>900</v>
      </c>
      <c r="P89">
        <v>11</v>
      </c>
      <c r="Q89" s="1">
        <v>9900</v>
      </c>
      <c r="R89">
        <v>177.94</v>
      </c>
      <c r="S89" t="s">
        <v>1091</v>
      </c>
      <c r="T89" t="s">
        <v>39</v>
      </c>
    </row>
    <row r="90" spans="1:20" x14ac:dyDescent="0.35">
      <c r="A90" s="22" t="s">
        <v>177</v>
      </c>
      <c r="B90" cm="1">
        <f t="array" ref="B90">IF(MATCH(Table1[[#This Row],[Customer ID]], Table1[Customer ID], 0) = ROW() - ROW(Table1[#Headers]), 1, 0)</f>
        <v>0</v>
      </c>
      <c r="C90" t="s">
        <v>178</v>
      </c>
      <c r="D90" s="2">
        <v>45741</v>
      </c>
      <c r="E90">
        <v>72</v>
      </c>
      <c r="F90" t="str" cm="1">
        <f t="array" ref="F90">_xlfn.IFS( Table1[[#This Row],[Age]]&lt;18, "&lt;18", Table1[[#This Row],[Age]]&lt;= 29, "18-29", Table1[[#This Row],[Age]]&lt;= 44, "30-44",  Table1[[#This Row],[Age]]&lt;=59, "45-59", TRUE, "60+")</f>
        <v>60+</v>
      </c>
      <c r="G90" t="s">
        <v>176</v>
      </c>
      <c r="H90" t="s">
        <v>20</v>
      </c>
      <c r="I90" t="s">
        <v>30</v>
      </c>
      <c r="J90">
        <v>4</v>
      </c>
      <c r="K90" t="s">
        <v>114</v>
      </c>
      <c r="L90" t="str" cm="1">
        <f t="array" ref="L90">_xlfn.IFS(Table1[[#This Row],[Customer Tenure in months]]&lt;=6, "0-6 months", Table1[[#This Row],[Customer Tenure in months]] &lt;=12, "7-12 months", Table1[[#This Row],[Customer Tenure in months]] &lt;=24, "1-2 years", TRUE, "2+ years")</f>
        <v>2+ years</v>
      </c>
      <c r="M90">
        <v>45</v>
      </c>
      <c r="N90" t="s">
        <v>51</v>
      </c>
      <c r="O90" s="1">
        <v>9000</v>
      </c>
      <c r="P90">
        <v>8</v>
      </c>
      <c r="Q90" s="1">
        <v>72000</v>
      </c>
      <c r="R90">
        <v>5.66</v>
      </c>
      <c r="S90" t="s">
        <v>1091</v>
      </c>
      <c r="T90" t="s">
        <v>39</v>
      </c>
    </row>
    <row r="91" spans="1:20" x14ac:dyDescent="0.35">
      <c r="A91" s="22" t="s">
        <v>177</v>
      </c>
      <c r="B91" cm="1">
        <f t="array" ref="B91">IF(MATCH(Table1[[#This Row],[Customer ID]], Table1[Customer ID], 0) = ROW() - ROW(Table1[#Headers]), 1, 0)</f>
        <v>0</v>
      </c>
      <c r="C91" t="s">
        <v>178</v>
      </c>
      <c r="D91" s="2">
        <v>45741</v>
      </c>
      <c r="E91">
        <v>72</v>
      </c>
      <c r="F91" t="str" cm="1">
        <f t="array" ref="F91">_xlfn.IFS( Table1[[#This Row],[Age]]&lt;18, "&lt;18", Table1[[#This Row],[Age]]&lt;= 29, "18-29", Table1[[#This Row],[Age]]&lt;= 44, "30-44",  Table1[[#This Row],[Age]]&lt;=59, "45-59", TRUE, "60+")</f>
        <v>60+</v>
      </c>
      <c r="G91" t="s">
        <v>176</v>
      </c>
      <c r="H91" t="s">
        <v>41</v>
      </c>
      <c r="I91" t="s">
        <v>30</v>
      </c>
      <c r="J91">
        <v>4</v>
      </c>
      <c r="K91" t="s">
        <v>114</v>
      </c>
      <c r="L91" t="str" cm="1">
        <f t="array" ref="L91">_xlfn.IFS(Table1[[#This Row],[Customer Tenure in months]]&lt;=6, "0-6 months", Table1[[#This Row],[Customer Tenure in months]] &lt;=12, "7-12 months", Table1[[#This Row],[Customer Tenure in months]] &lt;=24, "1-2 years", TRUE, "2+ years")</f>
        <v>2+ years</v>
      </c>
      <c r="M91">
        <v>45</v>
      </c>
      <c r="N91" t="s">
        <v>62</v>
      </c>
      <c r="O91" s="1">
        <v>24000</v>
      </c>
      <c r="P91">
        <v>1</v>
      </c>
      <c r="Q91" s="1">
        <v>24000</v>
      </c>
      <c r="R91">
        <v>117.63</v>
      </c>
      <c r="S91" t="s">
        <v>1091</v>
      </c>
      <c r="T91" t="s">
        <v>39</v>
      </c>
    </row>
    <row r="92" spans="1:20" x14ac:dyDescent="0.35">
      <c r="A92" s="22" t="s">
        <v>179</v>
      </c>
      <c r="B92" cm="1">
        <f t="array" ref="B92">IF(MATCH(Table1[[#This Row],[Customer ID]], Table1[Customer ID], 0) = ROW() - ROW(Table1[#Headers]), 1, 0)</f>
        <v>1</v>
      </c>
      <c r="C92" t="s">
        <v>180</v>
      </c>
      <c r="D92" s="2">
        <v>45713</v>
      </c>
      <c r="E92">
        <v>21</v>
      </c>
      <c r="F92" t="str" cm="1">
        <f t="array" ref="F92">_xlfn.IFS( Table1[[#This Row],[Age]]&lt;18, "&lt;18", Table1[[#This Row],[Age]]&lt;= 29, "18-29", Table1[[#This Row],[Age]]&lt;= 44, "30-44",  Table1[[#This Row],[Age]]&lt;=59, "45-59", TRUE, "60+")</f>
        <v>18-29</v>
      </c>
      <c r="G92" t="s">
        <v>131</v>
      </c>
      <c r="H92" t="s">
        <v>29</v>
      </c>
      <c r="I92" t="s">
        <v>30</v>
      </c>
      <c r="J92">
        <v>3</v>
      </c>
      <c r="K92" t="s">
        <v>50</v>
      </c>
      <c r="L92" t="str" cm="1">
        <f t="array" ref="L92">_xlfn.IFS(Table1[[#This Row],[Customer Tenure in months]]&lt;=6, "0-6 months", Table1[[#This Row],[Customer Tenure in months]] &lt;=12, "7-12 months", Table1[[#This Row],[Customer Tenure in months]] &lt;=24, "1-2 years", TRUE, "2+ years")</f>
        <v>2+ years</v>
      </c>
      <c r="M92">
        <v>34</v>
      </c>
      <c r="N92" t="s">
        <v>31</v>
      </c>
      <c r="O92" s="1">
        <v>5500</v>
      </c>
      <c r="P92">
        <v>11</v>
      </c>
      <c r="Q92" s="1">
        <v>60500</v>
      </c>
      <c r="R92">
        <v>69.92</v>
      </c>
      <c r="S92" t="s">
        <v>25</v>
      </c>
      <c r="T92" t="s">
        <v>24</v>
      </c>
    </row>
    <row r="93" spans="1:20" x14ac:dyDescent="0.35">
      <c r="A93" s="22" t="s">
        <v>179</v>
      </c>
      <c r="B93" cm="1">
        <f t="array" ref="B93">IF(MATCH(Table1[[#This Row],[Customer ID]], Table1[Customer ID], 0) = ROW() - ROW(Table1[#Headers]), 1, 0)</f>
        <v>0</v>
      </c>
      <c r="C93" t="s">
        <v>180</v>
      </c>
      <c r="D93" s="2">
        <v>45713</v>
      </c>
      <c r="E93">
        <v>21</v>
      </c>
      <c r="F93" t="str" cm="1">
        <f t="array" ref="F93">_xlfn.IFS( Table1[[#This Row],[Age]]&lt;18, "&lt;18", Table1[[#This Row],[Age]]&lt;= 29, "18-29", Table1[[#This Row],[Age]]&lt;= 44, "30-44",  Table1[[#This Row],[Age]]&lt;=59, "45-59", TRUE, "60+")</f>
        <v>18-29</v>
      </c>
      <c r="G93" t="s">
        <v>131</v>
      </c>
      <c r="H93" t="s">
        <v>41</v>
      </c>
      <c r="I93" t="s">
        <v>30</v>
      </c>
      <c r="J93">
        <v>3</v>
      </c>
      <c r="K93" t="s">
        <v>50</v>
      </c>
      <c r="L93" t="str" cm="1">
        <f t="array" ref="L93">_xlfn.IFS(Table1[[#This Row],[Customer Tenure in months]]&lt;=6, "0-6 months", Table1[[#This Row],[Customer Tenure in months]] &lt;=12, "7-12 months", Table1[[#This Row],[Customer Tenure in months]] &lt;=24, "1-2 years", TRUE, "2+ years")</f>
        <v>2+ years</v>
      </c>
      <c r="M93">
        <v>34</v>
      </c>
      <c r="N93" t="s">
        <v>65</v>
      </c>
      <c r="O93" s="1">
        <v>30000</v>
      </c>
      <c r="P93">
        <v>6</v>
      </c>
      <c r="Q93" s="1">
        <v>180000</v>
      </c>
      <c r="R93">
        <v>134.19</v>
      </c>
      <c r="S93" t="s">
        <v>25</v>
      </c>
      <c r="T93" t="s">
        <v>24</v>
      </c>
    </row>
    <row r="94" spans="1:20" x14ac:dyDescent="0.35">
      <c r="A94" s="22" t="s">
        <v>181</v>
      </c>
      <c r="B94" cm="1">
        <f t="array" ref="B94">IF(MATCH(Table1[[#This Row],[Customer ID]], Table1[Customer ID], 0) = ROW() - ROW(Table1[#Headers]), 1, 0)</f>
        <v>1</v>
      </c>
      <c r="C94" t="s">
        <v>182</v>
      </c>
      <c r="D94" s="2">
        <v>45713</v>
      </c>
      <c r="E94">
        <v>68</v>
      </c>
      <c r="F94" t="str" cm="1">
        <f t="array" ref="F94">_xlfn.IFS( Table1[[#This Row],[Age]]&lt;18, "&lt;18", Table1[[#This Row],[Age]]&lt;= 29, "18-29", Table1[[#This Row],[Age]]&lt;= 44, "30-44",  Table1[[#This Row],[Age]]&lt;=59, "45-59", TRUE, "60+")</f>
        <v>60+</v>
      </c>
      <c r="G94" t="s">
        <v>90</v>
      </c>
      <c r="H94" t="s">
        <v>36</v>
      </c>
      <c r="I94" t="s">
        <v>30</v>
      </c>
      <c r="J94">
        <v>5</v>
      </c>
      <c r="K94" t="s">
        <v>55</v>
      </c>
      <c r="L94" t="str" cm="1">
        <f t="array" ref="L94">_xlfn.IFS(Table1[[#This Row],[Customer Tenure in months]]&lt;=6, "0-6 months", Table1[[#This Row],[Customer Tenure in months]] &lt;=12, "7-12 months", Table1[[#This Row],[Customer Tenure in months]] &lt;=24, "1-2 years", TRUE, "2+ years")</f>
        <v>2+ years</v>
      </c>
      <c r="M94">
        <v>43</v>
      </c>
      <c r="N94" t="s">
        <v>38</v>
      </c>
      <c r="O94" s="1">
        <v>20000</v>
      </c>
      <c r="P94">
        <v>13</v>
      </c>
      <c r="Q94" s="1">
        <v>260000</v>
      </c>
      <c r="R94">
        <v>194.05</v>
      </c>
      <c r="S94" t="s">
        <v>76</v>
      </c>
      <c r="T94" t="s">
        <v>24</v>
      </c>
    </row>
    <row r="95" spans="1:20" x14ac:dyDescent="0.35">
      <c r="A95" s="22" t="s">
        <v>181</v>
      </c>
      <c r="B95" cm="1">
        <f t="array" ref="B95">IF(MATCH(Table1[[#This Row],[Customer ID]], Table1[Customer ID], 0) = ROW() - ROW(Table1[#Headers]), 1, 0)</f>
        <v>0</v>
      </c>
      <c r="C95" t="s">
        <v>182</v>
      </c>
      <c r="D95" s="2">
        <v>45713</v>
      </c>
      <c r="E95">
        <v>68</v>
      </c>
      <c r="F95" t="str" cm="1">
        <f t="array" ref="F95">_xlfn.IFS( Table1[[#This Row],[Age]]&lt;18, "&lt;18", Table1[[#This Row],[Age]]&lt;= 29, "18-29", Table1[[#This Row],[Age]]&lt;= 44, "30-44",  Table1[[#This Row],[Age]]&lt;=59, "45-59", TRUE, "60+")</f>
        <v>60+</v>
      </c>
      <c r="G95" t="s">
        <v>90</v>
      </c>
      <c r="H95" t="s">
        <v>20</v>
      </c>
      <c r="I95" t="s">
        <v>30</v>
      </c>
      <c r="J95">
        <v>5</v>
      </c>
      <c r="K95" t="s">
        <v>55</v>
      </c>
      <c r="L95" t="str" cm="1">
        <f t="array" ref="L95">_xlfn.IFS(Table1[[#This Row],[Customer Tenure in months]]&lt;=6, "0-6 months", Table1[[#This Row],[Customer Tenure in months]] &lt;=12, "7-12 months", Table1[[#This Row],[Customer Tenure in months]] &lt;=24, "1-2 years", TRUE, "2+ years")</f>
        <v>2+ years</v>
      </c>
      <c r="M95">
        <v>43</v>
      </c>
      <c r="N95" t="s">
        <v>58</v>
      </c>
      <c r="O95" s="1">
        <v>16000</v>
      </c>
      <c r="P95">
        <v>18</v>
      </c>
      <c r="Q95" s="1">
        <v>288000</v>
      </c>
      <c r="R95">
        <v>131.69999999999999</v>
      </c>
      <c r="S95" t="s">
        <v>76</v>
      </c>
      <c r="T95" t="s">
        <v>24</v>
      </c>
    </row>
    <row r="96" spans="1:20" x14ac:dyDescent="0.35">
      <c r="A96" s="22" t="s">
        <v>183</v>
      </c>
      <c r="B96" cm="1">
        <f t="array" ref="B96">IF(MATCH(Table1[[#This Row],[Customer ID]], Table1[Customer ID], 0) = ROW() - ROW(Table1[#Headers]), 1, 0)</f>
        <v>1</v>
      </c>
      <c r="C96" t="s">
        <v>184</v>
      </c>
      <c r="D96" s="2">
        <v>45741</v>
      </c>
      <c r="E96">
        <v>68</v>
      </c>
      <c r="F96" t="str" cm="1">
        <f t="array" ref="F96">_xlfn.IFS( Table1[[#This Row],[Age]]&lt;18, "&lt;18", Table1[[#This Row],[Age]]&lt;= 29, "18-29", Table1[[#This Row],[Age]]&lt;= 44, "30-44",  Table1[[#This Row],[Age]]&lt;=59, "45-59", TRUE, "60+")</f>
        <v>60+</v>
      </c>
      <c r="G96" t="s">
        <v>49</v>
      </c>
      <c r="H96" t="s">
        <v>29</v>
      </c>
      <c r="I96" t="s">
        <v>21</v>
      </c>
      <c r="J96">
        <v>5</v>
      </c>
      <c r="K96" t="s">
        <v>55</v>
      </c>
      <c r="L96" t="str" cm="1">
        <f t="array" ref="L96">_xlfn.IFS(Table1[[#This Row],[Customer Tenure in months]]&lt;=6, "0-6 months", Table1[[#This Row],[Customer Tenure in months]] &lt;=12, "7-12 months", Table1[[#This Row],[Customer Tenure in months]] &lt;=24, "1-2 years", TRUE, "2+ years")</f>
        <v>2+ years</v>
      </c>
      <c r="M96">
        <v>34</v>
      </c>
      <c r="N96" t="s">
        <v>40</v>
      </c>
      <c r="O96" s="1">
        <v>500</v>
      </c>
      <c r="P96">
        <v>10</v>
      </c>
      <c r="Q96" s="1">
        <v>5000</v>
      </c>
      <c r="R96">
        <v>110.07</v>
      </c>
      <c r="S96" t="s">
        <v>1091</v>
      </c>
      <c r="T96" t="s">
        <v>39</v>
      </c>
    </row>
    <row r="97" spans="1:20" x14ac:dyDescent="0.35">
      <c r="A97" s="22" t="s">
        <v>183</v>
      </c>
      <c r="B97" cm="1">
        <f t="array" ref="B97">IF(MATCH(Table1[[#This Row],[Customer ID]], Table1[Customer ID], 0) = ROW() - ROW(Table1[#Headers]), 1, 0)</f>
        <v>0</v>
      </c>
      <c r="C97" t="s">
        <v>184</v>
      </c>
      <c r="D97" s="2">
        <v>45741</v>
      </c>
      <c r="E97">
        <v>68</v>
      </c>
      <c r="F97" t="str" cm="1">
        <f t="array" ref="F97">_xlfn.IFS( Table1[[#This Row],[Age]]&lt;18, "&lt;18", Table1[[#This Row],[Age]]&lt;= 29, "18-29", Table1[[#This Row],[Age]]&lt;= 44, "30-44",  Table1[[#This Row],[Age]]&lt;=59, "45-59", TRUE, "60+")</f>
        <v>60+</v>
      </c>
      <c r="G97" t="s">
        <v>49</v>
      </c>
      <c r="H97" t="s">
        <v>41</v>
      </c>
      <c r="I97" t="s">
        <v>21</v>
      </c>
      <c r="J97">
        <v>5</v>
      </c>
      <c r="K97" t="s">
        <v>55</v>
      </c>
      <c r="L97" t="str" cm="1">
        <f t="array" ref="L97">_xlfn.IFS(Table1[[#This Row],[Customer Tenure in months]]&lt;=6, "0-6 months", Table1[[#This Row],[Customer Tenure in months]] &lt;=12, "7-12 months", Table1[[#This Row],[Customer Tenure in months]] &lt;=24, "1-2 years", TRUE, "2+ years")</f>
        <v>2+ years</v>
      </c>
      <c r="M97">
        <v>34</v>
      </c>
      <c r="N97" t="s">
        <v>71</v>
      </c>
      <c r="O97" s="1">
        <v>14500</v>
      </c>
      <c r="P97">
        <v>16</v>
      </c>
      <c r="Q97" s="1">
        <v>232000</v>
      </c>
      <c r="R97">
        <v>176.23</v>
      </c>
      <c r="S97" t="s">
        <v>1091</v>
      </c>
      <c r="T97" t="s">
        <v>39</v>
      </c>
    </row>
    <row r="98" spans="1:20" x14ac:dyDescent="0.35">
      <c r="A98" s="22" t="s">
        <v>183</v>
      </c>
      <c r="B98" cm="1">
        <f t="array" ref="B98">IF(MATCH(Table1[[#This Row],[Customer ID]], Table1[Customer ID], 0) = ROW() - ROW(Table1[#Headers]), 1, 0)</f>
        <v>0</v>
      </c>
      <c r="C98" t="s">
        <v>184</v>
      </c>
      <c r="D98" s="2">
        <v>45741</v>
      </c>
      <c r="E98">
        <v>68</v>
      </c>
      <c r="F98" t="str" cm="1">
        <f t="array" ref="F98">_xlfn.IFS( Table1[[#This Row],[Age]]&lt;18, "&lt;18", Table1[[#This Row],[Age]]&lt;= 29, "18-29", Table1[[#This Row],[Age]]&lt;= 44, "30-44",  Table1[[#This Row],[Age]]&lt;=59, "45-59", TRUE, "60+")</f>
        <v>60+</v>
      </c>
      <c r="G98" t="s">
        <v>49</v>
      </c>
      <c r="H98" t="s">
        <v>36</v>
      </c>
      <c r="I98" t="s">
        <v>21</v>
      </c>
      <c r="J98">
        <v>5</v>
      </c>
      <c r="K98" t="s">
        <v>55</v>
      </c>
      <c r="L98" t="str" cm="1">
        <f t="array" ref="L98">_xlfn.IFS(Table1[[#This Row],[Customer Tenure in months]]&lt;=6, "0-6 months", Table1[[#This Row],[Customer Tenure in months]] &lt;=12, "7-12 months", Table1[[#This Row],[Customer Tenure in months]] &lt;=24, "1-2 years", TRUE, "2+ years")</f>
        <v>2+ years</v>
      </c>
      <c r="M98">
        <v>34</v>
      </c>
      <c r="N98" t="s">
        <v>38</v>
      </c>
      <c r="O98" s="1">
        <v>20000</v>
      </c>
      <c r="P98">
        <v>20</v>
      </c>
      <c r="Q98" s="1">
        <v>400000</v>
      </c>
      <c r="R98">
        <v>6.26</v>
      </c>
      <c r="S98" t="s">
        <v>1091</v>
      </c>
      <c r="T98" t="s">
        <v>39</v>
      </c>
    </row>
    <row r="99" spans="1:20" x14ac:dyDescent="0.35">
      <c r="A99" s="22" t="s">
        <v>185</v>
      </c>
      <c r="B99" cm="1">
        <f t="array" ref="B99">IF(MATCH(Table1[[#This Row],[Customer ID]], Table1[Customer ID], 0) = ROW() - ROW(Table1[#Headers]), 1, 0)</f>
        <v>1</v>
      </c>
      <c r="C99" t="s">
        <v>186</v>
      </c>
      <c r="D99" s="2">
        <v>45713</v>
      </c>
      <c r="E99">
        <v>36</v>
      </c>
      <c r="F99" t="str" cm="1">
        <f t="array" ref="F99">_xlfn.IFS( Table1[[#This Row],[Age]]&lt;18, "&lt;18", Table1[[#This Row],[Age]]&lt;= 29, "18-29", Table1[[#This Row],[Age]]&lt;= 44, "30-44",  Table1[[#This Row],[Age]]&lt;=59, "45-59", TRUE, "60+")</f>
        <v>30-44</v>
      </c>
      <c r="G99" t="s">
        <v>149</v>
      </c>
      <c r="H99" t="s">
        <v>29</v>
      </c>
      <c r="I99" t="s">
        <v>21</v>
      </c>
      <c r="J99">
        <v>1</v>
      </c>
      <c r="K99" t="s">
        <v>37</v>
      </c>
      <c r="L99" t="str" cm="1">
        <f t="array" ref="L99">_xlfn.IFS(Table1[[#This Row],[Customer Tenure in months]]&lt;=6, "0-6 months", Table1[[#This Row],[Customer Tenure in months]] &lt;=12, "7-12 months", Table1[[#This Row],[Customer Tenure in months]] &lt;=24, "1-2 years", TRUE, "2+ years")</f>
        <v>2+ years</v>
      </c>
      <c r="M99">
        <v>36</v>
      </c>
      <c r="N99" t="s">
        <v>83</v>
      </c>
      <c r="O99" s="1">
        <v>1000</v>
      </c>
      <c r="P99">
        <v>5</v>
      </c>
      <c r="Q99" s="1">
        <v>5000</v>
      </c>
      <c r="R99">
        <v>129.72</v>
      </c>
      <c r="S99" t="s">
        <v>32</v>
      </c>
      <c r="T99" t="s">
        <v>24</v>
      </c>
    </row>
    <row r="100" spans="1:20" x14ac:dyDescent="0.35">
      <c r="A100" s="22" t="s">
        <v>187</v>
      </c>
      <c r="B100" cm="1">
        <f t="array" ref="B100">IF(MATCH(Table1[[#This Row],[Customer ID]], Table1[Customer ID], 0) = ROW() - ROW(Table1[#Headers]), 1, 0)</f>
        <v>1</v>
      </c>
      <c r="C100" t="s">
        <v>188</v>
      </c>
      <c r="D100" s="2">
        <v>45713</v>
      </c>
      <c r="E100">
        <v>53</v>
      </c>
      <c r="F100" t="str" cm="1">
        <f t="array" ref="F100">_xlfn.IFS( Table1[[#This Row],[Age]]&lt;18, "&lt;18", Table1[[#This Row],[Age]]&lt;= 29, "18-29", Table1[[#This Row],[Age]]&lt;= 44, "30-44",  Table1[[#This Row],[Age]]&lt;=59, "45-59", TRUE, "60+")</f>
        <v>45-59</v>
      </c>
      <c r="G100" t="s">
        <v>189</v>
      </c>
      <c r="H100" t="s">
        <v>29</v>
      </c>
      <c r="I100" t="s">
        <v>30</v>
      </c>
      <c r="J100">
        <v>4</v>
      </c>
      <c r="K100" t="s">
        <v>114</v>
      </c>
      <c r="L100" t="str" cm="1">
        <f t="array" ref="L100">_xlfn.IFS(Table1[[#This Row],[Customer Tenure in months]]&lt;=6, "0-6 months", Table1[[#This Row],[Customer Tenure in months]] &lt;=12, "7-12 months", Table1[[#This Row],[Customer Tenure in months]] &lt;=24, "1-2 years", TRUE, "2+ years")</f>
        <v>2+ years</v>
      </c>
      <c r="M100">
        <v>27</v>
      </c>
      <c r="N100" t="s">
        <v>72</v>
      </c>
      <c r="O100" s="1">
        <v>350</v>
      </c>
      <c r="P100">
        <v>17</v>
      </c>
      <c r="Q100" s="1">
        <v>5950</v>
      </c>
      <c r="R100">
        <v>184.41</v>
      </c>
      <c r="S100" t="s">
        <v>25</v>
      </c>
      <c r="T100" t="s">
        <v>24</v>
      </c>
    </row>
    <row r="101" spans="1:20" x14ac:dyDescent="0.35">
      <c r="A101" s="22" t="s">
        <v>190</v>
      </c>
      <c r="B101" cm="1">
        <f t="array" ref="B101">IF(MATCH(Table1[[#This Row],[Customer ID]], Table1[Customer ID], 0) = ROW() - ROW(Table1[#Headers]), 1, 0)</f>
        <v>1</v>
      </c>
      <c r="C101" t="s">
        <v>191</v>
      </c>
      <c r="D101" s="2">
        <v>45741</v>
      </c>
      <c r="E101">
        <v>24</v>
      </c>
      <c r="F101" t="str" cm="1">
        <f t="array" ref="F101">_xlfn.IFS( Table1[[#This Row],[Age]]&lt;18, "&lt;18", Table1[[#This Row],[Age]]&lt;= 29, "18-29", Table1[[#This Row],[Age]]&lt;= 44, "30-44",  Table1[[#This Row],[Age]]&lt;=59, "45-59", TRUE, "60+")</f>
        <v>18-29</v>
      </c>
      <c r="G101" t="s">
        <v>192</v>
      </c>
      <c r="H101" t="s">
        <v>29</v>
      </c>
      <c r="I101" t="s">
        <v>30</v>
      </c>
      <c r="J101">
        <v>1</v>
      </c>
      <c r="K101" t="s">
        <v>37</v>
      </c>
      <c r="L101" t="str" cm="1">
        <f t="array" ref="L101">_xlfn.IFS(Table1[[#This Row],[Customer Tenure in months]]&lt;=6, "0-6 months", Table1[[#This Row],[Customer Tenure in months]] &lt;=12, "7-12 months", Table1[[#This Row],[Customer Tenure in months]] &lt;=24, "1-2 years", TRUE, "2+ years")</f>
        <v>1-2 years</v>
      </c>
      <c r="M101">
        <v>22</v>
      </c>
      <c r="N101" t="s">
        <v>193</v>
      </c>
      <c r="O101" s="1">
        <v>6500</v>
      </c>
      <c r="P101">
        <v>11</v>
      </c>
      <c r="Q101" s="1">
        <v>71500</v>
      </c>
      <c r="R101">
        <v>97.13</v>
      </c>
      <c r="S101" t="s">
        <v>96</v>
      </c>
      <c r="T101" t="s">
        <v>24</v>
      </c>
    </row>
    <row r="102" spans="1:20" x14ac:dyDescent="0.35">
      <c r="A102" s="22" t="s">
        <v>190</v>
      </c>
      <c r="B102" cm="1">
        <f t="array" ref="B102">IF(MATCH(Table1[[#This Row],[Customer ID]], Table1[Customer ID], 0) = ROW() - ROW(Table1[#Headers]), 1, 0)</f>
        <v>0</v>
      </c>
      <c r="C102" t="s">
        <v>191</v>
      </c>
      <c r="D102" s="2">
        <v>45741</v>
      </c>
      <c r="E102">
        <v>24</v>
      </c>
      <c r="F102" t="str" cm="1">
        <f t="array" ref="F102">_xlfn.IFS( Table1[[#This Row],[Age]]&lt;18, "&lt;18", Table1[[#This Row],[Age]]&lt;= 29, "18-29", Table1[[#This Row],[Age]]&lt;= 44, "30-44",  Table1[[#This Row],[Age]]&lt;=59, "45-59", TRUE, "60+")</f>
        <v>18-29</v>
      </c>
      <c r="G102" t="s">
        <v>192</v>
      </c>
      <c r="H102" t="s">
        <v>41</v>
      </c>
      <c r="I102" t="s">
        <v>30</v>
      </c>
      <c r="J102">
        <v>1</v>
      </c>
      <c r="K102" t="s">
        <v>37</v>
      </c>
      <c r="L102" t="str" cm="1">
        <f t="array" ref="L102">_xlfn.IFS(Table1[[#This Row],[Customer Tenure in months]]&lt;=6, "0-6 months", Table1[[#This Row],[Customer Tenure in months]] &lt;=12, "7-12 months", Table1[[#This Row],[Customer Tenure in months]] &lt;=24, "1-2 years", TRUE, "2+ years")</f>
        <v>1-2 years</v>
      </c>
      <c r="M102">
        <v>22</v>
      </c>
      <c r="N102" t="s">
        <v>62</v>
      </c>
      <c r="O102" s="1">
        <v>24000</v>
      </c>
      <c r="P102">
        <v>13</v>
      </c>
      <c r="Q102" s="1">
        <v>312000</v>
      </c>
      <c r="R102">
        <v>152.69</v>
      </c>
      <c r="S102" t="s">
        <v>96</v>
      </c>
      <c r="T102" t="s">
        <v>24</v>
      </c>
    </row>
    <row r="103" spans="1:20" x14ac:dyDescent="0.35">
      <c r="A103" s="22" t="s">
        <v>190</v>
      </c>
      <c r="B103" cm="1">
        <f t="array" ref="B103">IF(MATCH(Table1[[#This Row],[Customer ID]], Table1[Customer ID], 0) = ROW() - ROW(Table1[#Headers]), 1, 0)</f>
        <v>0</v>
      </c>
      <c r="C103" t="s">
        <v>191</v>
      </c>
      <c r="D103" s="2">
        <v>45741</v>
      </c>
      <c r="E103">
        <v>24</v>
      </c>
      <c r="F103" t="str" cm="1">
        <f t="array" ref="F103">_xlfn.IFS( Table1[[#This Row],[Age]]&lt;18, "&lt;18", Table1[[#This Row],[Age]]&lt;= 29, "18-29", Table1[[#This Row],[Age]]&lt;= 44, "30-44",  Table1[[#This Row],[Age]]&lt;=59, "45-59", TRUE, "60+")</f>
        <v>18-29</v>
      </c>
      <c r="G103" t="s">
        <v>192</v>
      </c>
      <c r="H103" t="s">
        <v>29</v>
      </c>
      <c r="I103" t="s">
        <v>30</v>
      </c>
      <c r="J103">
        <v>1</v>
      </c>
      <c r="K103" t="s">
        <v>37</v>
      </c>
      <c r="L103" t="str" cm="1">
        <f t="array" ref="L103">_xlfn.IFS(Table1[[#This Row],[Customer Tenure in months]]&lt;=6, "0-6 months", Table1[[#This Row],[Customer Tenure in months]] &lt;=12, "7-12 months", Table1[[#This Row],[Customer Tenure in months]] &lt;=24, "1-2 years", TRUE, "2+ years")</f>
        <v>1-2 years</v>
      </c>
      <c r="M103">
        <v>22</v>
      </c>
      <c r="N103" t="s">
        <v>23</v>
      </c>
      <c r="O103" s="1">
        <v>35000</v>
      </c>
      <c r="P103">
        <v>7</v>
      </c>
      <c r="Q103" s="1">
        <v>245000</v>
      </c>
      <c r="R103">
        <v>186.6</v>
      </c>
      <c r="S103" t="s">
        <v>96</v>
      </c>
      <c r="T103" t="s">
        <v>24</v>
      </c>
    </row>
    <row r="104" spans="1:20" x14ac:dyDescent="0.35">
      <c r="A104" s="22" t="s">
        <v>194</v>
      </c>
      <c r="B104" cm="1">
        <f t="array" ref="B104">IF(MATCH(Table1[[#This Row],[Customer ID]], Table1[Customer ID], 0) = ROW() - ROW(Table1[#Headers]), 1, 0)</f>
        <v>1</v>
      </c>
      <c r="C104" t="s">
        <v>195</v>
      </c>
      <c r="D104" s="2">
        <v>45741</v>
      </c>
      <c r="E104">
        <v>65</v>
      </c>
      <c r="F104" t="str" cm="1">
        <f t="array" ref="F104">_xlfn.IFS( Table1[[#This Row],[Age]]&lt;18, "&lt;18", Table1[[#This Row],[Age]]&lt;= 29, "18-29", Table1[[#This Row],[Age]]&lt;= 44, "30-44",  Table1[[#This Row],[Age]]&lt;=59, "45-59", TRUE, "60+")</f>
        <v>60+</v>
      </c>
      <c r="G104" t="s">
        <v>113</v>
      </c>
      <c r="H104" t="s">
        <v>29</v>
      </c>
      <c r="I104" t="s">
        <v>30</v>
      </c>
      <c r="J104">
        <v>4</v>
      </c>
      <c r="K104" t="s">
        <v>114</v>
      </c>
      <c r="L104" t="str" cm="1">
        <f t="array" ref="L104">_xlfn.IFS(Table1[[#This Row],[Customer Tenure in months]]&lt;=6, "0-6 months", Table1[[#This Row],[Customer Tenure in months]] &lt;=12, "7-12 months", Table1[[#This Row],[Customer Tenure in months]] &lt;=24, "1-2 years", TRUE, "2+ years")</f>
        <v>0-6 months</v>
      </c>
      <c r="M104">
        <v>3</v>
      </c>
      <c r="N104" t="s">
        <v>164</v>
      </c>
      <c r="O104" s="1">
        <v>600</v>
      </c>
      <c r="P104">
        <v>2</v>
      </c>
      <c r="Q104" s="1">
        <v>1200</v>
      </c>
      <c r="R104">
        <v>99.32</v>
      </c>
      <c r="S104" t="s">
        <v>1091</v>
      </c>
      <c r="T104" t="s">
        <v>39</v>
      </c>
    </row>
    <row r="105" spans="1:20" x14ac:dyDescent="0.35">
      <c r="A105" s="22" t="s">
        <v>194</v>
      </c>
      <c r="B105" cm="1">
        <f t="array" ref="B105">IF(MATCH(Table1[[#This Row],[Customer ID]], Table1[Customer ID], 0) = ROW() - ROW(Table1[#Headers]), 1, 0)</f>
        <v>0</v>
      </c>
      <c r="C105" t="s">
        <v>195</v>
      </c>
      <c r="D105" s="2">
        <v>45741</v>
      </c>
      <c r="E105">
        <v>65</v>
      </c>
      <c r="F105" t="str" cm="1">
        <f t="array" ref="F105">_xlfn.IFS( Table1[[#This Row],[Age]]&lt;18, "&lt;18", Table1[[#This Row],[Age]]&lt;= 29, "18-29", Table1[[#This Row],[Age]]&lt;= 44, "30-44",  Table1[[#This Row],[Age]]&lt;=59, "45-59", TRUE, "60+")</f>
        <v>60+</v>
      </c>
      <c r="G105" t="s">
        <v>113</v>
      </c>
      <c r="H105" t="s">
        <v>36</v>
      </c>
      <c r="I105" t="s">
        <v>30</v>
      </c>
      <c r="J105">
        <v>4</v>
      </c>
      <c r="K105" t="s">
        <v>114</v>
      </c>
      <c r="L105" t="str" cm="1">
        <f t="array" ref="L105">_xlfn.IFS(Table1[[#This Row],[Customer Tenure in months]]&lt;=6, "0-6 months", Table1[[#This Row],[Customer Tenure in months]] &lt;=12, "7-12 months", Table1[[#This Row],[Customer Tenure in months]] &lt;=24, "1-2 years", TRUE, "2+ years")</f>
        <v>0-6 months</v>
      </c>
      <c r="M105">
        <v>3</v>
      </c>
      <c r="N105" t="s">
        <v>65</v>
      </c>
      <c r="O105" s="1">
        <v>30000</v>
      </c>
      <c r="P105">
        <v>19</v>
      </c>
      <c r="Q105" s="1">
        <v>570000</v>
      </c>
      <c r="R105">
        <v>100.71</v>
      </c>
      <c r="S105" t="s">
        <v>1091</v>
      </c>
      <c r="T105" t="s">
        <v>39</v>
      </c>
    </row>
    <row r="106" spans="1:20" x14ac:dyDescent="0.35">
      <c r="A106" s="22" t="s">
        <v>196</v>
      </c>
      <c r="B106" cm="1">
        <f t="array" ref="B106">IF(MATCH(Table1[[#This Row],[Customer ID]], Table1[Customer ID], 0) = ROW() - ROW(Table1[#Headers]), 1, 0)</f>
        <v>1</v>
      </c>
      <c r="C106" t="s">
        <v>197</v>
      </c>
      <c r="D106" s="2">
        <v>45713</v>
      </c>
      <c r="E106">
        <v>28</v>
      </c>
      <c r="F106" t="str" cm="1">
        <f t="array" ref="F106">_xlfn.IFS( Table1[[#This Row],[Age]]&lt;18, "&lt;18", Table1[[#This Row],[Age]]&lt;= 29, "18-29", Table1[[#This Row],[Age]]&lt;= 44, "30-44",  Table1[[#This Row],[Age]]&lt;=59, "45-59", TRUE, "60+")</f>
        <v>18-29</v>
      </c>
      <c r="G106" t="s">
        <v>198</v>
      </c>
      <c r="H106" t="s">
        <v>29</v>
      </c>
      <c r="I106" t="s">
        <v>21</v>
      </c>
      <c r="J106">
        <v>1</v>
      </c>
      <c r="K106" t="s">
        <v>37</v>
      </c>
      <c r="L106" t="str" cm="1">
        <f t="array" ref="L106">_xlfn.IFS(Table1[[#This Row],[Customer Tenure in months]]&lt;=6, "0-6 months", Table1[[#This Row],[Customer Tenure in months]] &lt;=12, "7-12 months", Table1[[#This Row],[Customer Tenure in months]] &lt;=24, "1-2 years", TRUE, "2+ years")</f>
        <v>2+ years</v>
      </c>
      <c r="M106">
        <v>34</v>
      </c>
      <c r="N106" t="s">
        <v>23</v>
      </c>
      <c r="O106" s="1">
        <v>35000</v>
      </c>
      <c r="P106">
        <v>9</v>
      </c>
      <c r="Q106" s="1">
        <v>315000</v>
      </c>
      <c r="R106">
        <v>156.41</v>
      </c>
      <c r="S106" t="s">
        <v>1091</v>
      </c>
      <c r="T106" t="s">
        <v>39</v>
      </c>
    </row>
    <row r="107" spans="1:20" x14ac:dyDescent="0.35">
      <c r="A107" s="22" t="s">
        <v>196</v>
      </c>
      <c r="B107" cm="1">
        <f t="array" ref="B107">IF(MATCH(Table1[[#This Row],[Customer ID]], Table1[Customer ID], 0) = ROW() - ROW(Table1[#Headers]), 1, 0)</f>
        <v>0</v>
      </c>
      <c r="C107" t="s">
        <v>197</v>
      </c>
      <c r="D107" s="2">
        <v>45713</v>
      </c>
      <c r="E107">
        <v>28</v>
      </c>
      <c r="F107" t="str" cm="1">
        <f t="array" ref="F107">_xlfn.IFS( Table1[[#This Row],[Age]]&lt;18, "&lt;18", Table1[[#This Row],[Age]]&lt;= 29, "18-29", Table1[[#This Row],[Age]]&lt;= 44, "30-44",  Table1[[#This Row],[Age]]&lt;=59, "45-59", TRUE, "60+")</f>
        <v>18-29</v>
      </c>
      <c r="G107" t="s">
        <v>198</v>
      </c>
      <c r="H107" t="s">
        <v>41</v>
      </c>
      <c r="I107" t="s">
        <v>21</v>
      </c>
      <c r="J107">
        <v>1</v>
      </c>
      <c r="K107" t="s">
        <v>37</v>
      </c>
      <c r="L107" t="str" cm="1">
        <f t="array" ref="L107">_xlfn.IFS(Table1[[#This Row],[Customer Tenure in months]]&lt;=6, "0-6 months", Table1[[#This Row],[Customer Tenure in months]] &lt;=12, "7-12 months", Table1[[#This Row],[Customer Tenure in months]] &lt;=24, "1-2 years", TRUE, "2+ years")</f>
        <v>2+ years</v>
      </c>
      <c r="M107">
        <v>34</v>
      </c>
      <c r="N107" t="s">
        <v>65</v>
      </c>
      <c r="O107" s="1">
        <v>30000</v>
      </c>
      <c r="P107">
        <v>13</v>
      </c>
      <c r="Q107" s="1">
        <v>390000</v>
      </c>
      <c r="R107">
        <v>124.84</v>
      </c>
      <c r="S107" t="s">
        <v>1091</v>
      </c>
      <c r="T107" t="s">
        <v>39</v>
      </c>
    </row>
    <row r="108" spans="1:20" x14ac:dyDescent="0.35">
      <c r="A108" s="22" t="s">
        <v>199</v>
      </c>
      <c r="B108" cm="1">
        <f t="array" ref="B108">IF(MATCH(Table1[[#This Row],[Customer ID]], Table1[Customer ID], 0) = ROW() - ROW(Table1[#Headers]), 1, 0)</f>
        <v>1</v>
      </c>
      <c r="C108" t="s">
        <v>200</v>
      </c>
      <c r="D108" s="2">
        <v>45713</v>
      </c>
      <c r="E108">
        <v>58</v>
      </c>
      <c r="F108" t="str" cm="1">
        <f t="array" ref="F108">_xlfn.IFS( Table1[[#This Row],[Age]]&lt;18, "&lt;18", Table1[[#This Row],[Age]]&lt;= 29, "18-29", Table1[[#This Row],[Age]]&lt;= 44, "30-44",  Table1[[#This Row],[Age]]&lt;=59, "45-59", TRUE, "60+")</f>
        <v>45-59</v>
      </c>
      <c r="G108" t="s">
        <v>86</v>
      </c>
      <c r="H108" t="s">
        <v>36</v>
      </c>
      <c r="I108" t="s">
        <v>30</v>
      </c>
      <c r="J108">
        <v>5</v>
      </c>
      <c r="K108" t="s">
        <v>55</v>
      </c>
      <c r="L108" t="str" cm="1">
        <f t="array" ref="L108">_xlfn.IFS(Table1[[#This Row],[Customer Tenure in months]]&lt;=6, "0-6 months", Table1[[#This Row],[Customer Tenure in months]] &lt;=12, "7-12 months", Table1[[#This Row],[Customer Tenure in months]] &lt;=24, "1-2 years", TRUE, "2+ years")</f>
        <v>1-2 years</v>
      </c>
      <c r="M108">
        <v>21</v>
      </c>
      <c r="N108" t="s">
        <v>71</v>
      </c>
      <c r="O108" s="1">
        <v>14500</v>
      </c>
      <c r="P108">
        <v>14</v>
      </c>
      <c r="Q108" s="1">
        <v>203000</v>
      </c>
      <c r="R108">
        <v>149.47999999999999</v>
      </c>
      <c r="S108" t="s">
        <v>76</v>
      </c>
      <c r="T108" t="s">
        <v>24</v>
      </c>
    </row>
    <row r="109" spans="1:20" x14ac:dyDescent="0.35">
      <c r="A109" s="22" t="s">
        <v>201</v>
      </c>
      <c r="B109" cm="1">
        <f t="array" ref="B109">IF(MATCH(Table1[[#This Row],[Customer ID]], Table1[Customer ID], 0) = ROW() - ROW(Table1[#Headers]), 1, 0)</f>
        <v>1</v>
      </c>
      <c r="C109" t="s">
        <v>202</v>
      </c>
      <c r="D109" s="2">
        <v>45741</v>
      </c>
      <c r="E109">
        <v>28</v>
      </c>
      <c r="F109" t="str" cm="1">
        <f t="array" ref="F109">_xlfn.IFS( Table1[[#This Row],[Age]]&lt;18, "&lt;18", Table1[[#This Row],[Age]]&lt;= 29, "18-29", Table1[[#This Row],[Age]]&lt;= 44, "30-44",  Table1[[#This Row],[Age]]&lt;=59, "45-59", TRUE, "60+")</f>
        <v>18-29</v>
      </c>
      <c r="G109" t="s">
        <v>198</v>
      </c>
      <c r="H109" t="s">
        <v>36</v>
      </c>
      <c r="I109" t="s">
        <v>21</v>
      </c>
      <c r="J109">
        <v>1</v>
      </c>
      <c r="K109" t="s">
        <v>37</v>
      </c>
      <c r="L109" t="str" cm="1">
        <f t="array" ref="L109">_xlfn.IFS(Table1[[#This Row],[Customer Tenure in months]]&lt;=6, "0-6 months", Table1[[#This Row],[Customer Tenure in months]] &lt;=12, "7-12 months", Table1[[#This Row],[Customer Tenure in months]] &lt;=24, "1-2 years", TRUE, "2+ years")</f>
        <v>2+ years</v>
      </c>
      <c r="M109">
        <v>45</v>
      </c>
      <c r="N109" t="s">
        <v>115</v>
      </c>
      <c r="O109" s="1">
        <v>25000</v>
      </c>
      <c r="P109">
        <v>5</v>
      </c>
      <c r="Q109" s="1">
        <v>125000</v>
      </c>
      <c r="R109">
        <v>75.28</v>
      </c>
      <c r="S109" t="s">
        <v>32</v>
      </c>
      <c r="T109" t="s">
        <v>24</v>
      </c>
    </row>
    <row r="110" spans="1:20" x14ac:dyDescent="0.35">
      <c r="A110" s="22" t="s">
        <v>203</v>
      </c>
      <c r="B110" cm="1">
        <f t="array" ref="B110">IF(MATCH(Table1[[#This Row],[Customer ID]], Table1[Customer ID], 0) = ROW() - ROW(Table1[#Headers]), 1, 0)</f>
        <v>1</v>
      </c>
      <c r="C110" t="s">
        <v>204</v>
      </c>
      <c r="D110" s="2">
        <v>45682</v>
      </c>
      <c r="E110">
        <v>68</v>
      </c>
      <c r="F110" t="str" cm="1">
        <f t="array" ref="F110">_xlfn.IFS( Table1[[#This Row],[Age]]&lt;18, "&lt;18", Table1[[#This Row],[Age]]&lt;= 29, "18-29", Table1[[#This Row],[Age]]&lt;= 44, "30-44",  Table1[[#This Row],[Age]]&lt;=59, "45-59", TRUE, "60+")</f>
        <v>60+</v>
      </c>
      <c r="G110" t="s">
        <v>131</v>
      </c>
      <c r="H110" t="s">
        <v>20</v>
      </c>
      <c r="I110" t="s">
        <v>21</v>
      </c>
      <c r="J110">
        <v>5</v>
      </c>
      <c r="K110" t="s">
        <v>55</v>
      </c>
      <c r="L110" t="str" cm="1">
        <f t="array" ref="L110">_xlfn.IFS(Table1[[#This Row],[Customer Tenure in months]]&lt;=6, "0-6 months", Table1[[#This Row],[Customer Tenure in months]] &lt;=12, "7-12 months", Table1[[#This Row],[Customer Tenure in months]] &lt;=24, "1-2 years", TRUE, "2+ years")</f>
        <v>7-12 months</v>
      </c>
      <c r="M110">
        <v>12</v>
      </c>
      <c r="N110" t="s">
        <v>46</v>
      </c>
      <c r="O110" s="1">
        <v>4500</v>
      </c>
      <c r="P110">
        <v>9</v>
      </c>
      <c r="Q110" s="1">
        <v>40500</v>
      </c>
      <c r="R110">
        <v>92.5</v>
      </c>
      <c r="S110" t="s">
        <v>1091</v>
      </c>
      <c r="T110" t="s">
        <v>39</v>
      </c>
    </row>
    <row r="111" spans="1:20" x14ac:dyDescent="0.35">
      <c r="A111" s="22" t="s">
        <v>203</v>
      </c>
      <c r="B111" cm="1">
        <f t="array" ref="B111">IF(MATCH(Table1[[#This Row],[Customer ID]], Table1[Customer ID], 0) = ROW() - ROW(Table1[#Headers]), 1, 0)</f>
        <v>0</v>
      </c>
      <c r="C111" t="s">
        <v>204</v>
      </c>
      <c r="D111" s="2">
        <v>45682</v>
      </c>
      <c r="E111">
        <v>68</v>
      </c>
      <c r="F111" t="str" cm="1">
        <f t="array" ref="F111">_xlfn.IFS( Table1[[#This Row],[Age]]&lt;18, "&lt;18", Table1[[#This Row],[Age]]&lt;= 29, "18-29", Table1[[#This Row],[Age]]&lt;= 44, "30-44",  Table1[[#This Row],[Age]]&lt;=59, "45-59", TRUE, "60+")</f>
        <v>60+</v>
      </c>
      <c r="G111" t="s">
        <v>131</v>
      </c>
      <c r="H111" t="s">
        <v>29</v>
      </c>
      <c r="I111" t="s">
        <v>21</v>
      </c>
      <c r="J111">
        <v>5</v>
      </c>
      <c r="K111" t="s">
        <v>55</v>
      </c>
      <c r="L111" t="str" cm="1">
        <f t="array" ref="L111">_xlfn.IFS(Table1[[#This Row],[Customer Tenure in months]]&lt;=6, "0-6 months", Table1[[#This Row],[Customer Tenure in months]] &lt;=12, "7-12 months", Table1[[#This Row],[Customer Tenure in months]] &lt;=24, "1-2 years", TRUE, "2+ years")</f>
        <v>7-12 months</v>
      </c>
      <c r="M111">
        <v>12</v>
      </c>
      <c r="N111" t="s">
        <v>31</v>
      </c>
      <c r="O111" s="1">
        <v>5500</v>
      </c>
      <c r="P111">
        <v>1</v>
      </c>
      <c r="Q111" s="1">
        <v>5500</v>
      </c>
      <c r="R111">
        <v>51.44</v>
      </c>
      <c r="S111" t="s">
        <v>1091</v>
      </c>
      <c r="T111" t="s">
        <v>39</v>
      </c>
    </row>
    <row r="112" spans="1:20" x14ac:dyDescent="0.35">
      <c r="A112" s="22" t="s">
        <v>203</v>
      </c>
      <c r="B112" cm="1">
        <f t="array" ref="B112">IF(MATCH(Table1[[#This Row],[Customer ID]], Table1[Customer ID], 0) = ROW() - ROW(Table1[#Headers]), 1, 0)</f>
        <v>0</v>
      </c>
      <c r="C112" t="s">
        <v>204</v>
      </c>
      <c r="D112" s="2">
        <v>45682</v>
      </c>
      <c r="E112">
        <v>68</v>
      </c>
      <c r="F112" t="str" cm="1">
        <f t="array" ref="F112">_xlfn.IFS( Table1[[#This Row],[Age]]&lt;18, "&lt;18", Table1[[#This Row],[Age]]&lt;= 29, "18-29", Table1[[#This Row],[Age]]&lt;= 44, "30-44",  Table1[[#This Row],[Age]]&lt;=59, "45-59", TRUE, "60+")</f>
        <v>60+</v>
      </c>
      <c r="G112" t="s">
        <v>131</v>
      </c>
      <c r="H112" t="s">
        <v>41</v>
      </c>
      <c r="I112" t="s">
        <v>21</v>
      </c>
      <c r="J112">
        <v>5</v>
      </c>
      <c r="K112" t="s">
        <v>55</v>
      </c>
      <c r="L112" t="str" cm="1">
        <f t="array" ref="L112">_xlfn.IFS(Table1[[#This Row],[Customer Tenure in months]]&lt;=6, "0-6 months", Table1[[#This Row],[Customer Tenure in months]] &lt;=12, "7-12 months", Table1[[#This Row],[Customer Tenure in months]] &lt;=24, "1-2 years", TRUE, "2+ years")</f>
        <v>7-12 months</v>
      </c>
      <c r="M112">
        <v>12</v>
      </c>
      <c r="N112" t="s">
        <v>71</v>
      </c>
      <c r="O112" s="1">
        <v>14500</v>
      </c>
      <c r="P112">
        <v>18</v>
      </c>
      <c r="Q112" s="1">
        <v>261000</v>
      </c>
      <c r="R112">
        <v>180.29</v>
      </c>
      <c r="S112" t="s">
        <v>1091</v>
      </c>
      <c r="T112" t="s">
        <v>39</v>
      </c>
    </row>
    <row r="113" spans="1:20" x14ac:dyDescent="0.35">
      <c r="A113" s="22" t="s">
        <v>205</v>
      </c>
      <c r="B113" cm="1">
        <f t="array" ref="B113">IF(MATCH(Table1[[#This Row],[Customer ID]], Table1[Customer ID], 0) = ROW() - ROW(Table1[#Headers]), 1, 0)</f>
        <v>1</v>
      </c>
      <c r="C113" t="s">
        <v>206</v>
      </c>
      <c r="D113" s="2">
        <v>45741</v>
      </c>
      <c r="E113">
        <v>25</v>
      </c>
      <c r="F113" t="str" cm="1">
        <f t="array" ref="F113">_xlfn.IFS( Table1[[#This Row],[Age]]&lt;18, "&lt;18", Table1[[#This Row],[Age]]&lt;= 29, "18-29", Table1[[#This Row],[Age]]&lt;= 44, "30-44",  Table1[[#This Row],[Age]]&lt;=59, "45-59", TRUE, "60+")</f>
        <v>18-29</v>
      </c>
      <c r="G113" t="s">
        <v>198</v>
      </c>
      <c r="H113" t="s">
        <v>36</v>
      </c>
      <c r="I113" t="s">
        <v>30</v>
      </c>
      <c r="J113">
        <v>4</v>
      </c>
      <c r="K113" t="s">
        <v>114</v>
      </c>
      <c r="L113" t="str" cm="1">
        <f t="array" ref="L113">_xlfn.IFS(Table1[[#This Row],[Customer Tenure in months]]&lt;=6, "0-6 months", Table1[[#This Row],[Customer Tenure in months]] &lt;=12, "7-12 months", Table1[[#This Row],[Customer Tenure in months]] &lt;=24, "1-2 years", TRUE, "2+ years")</f>
        <v>2+ years</v>
      </c>
      <c r="M113">
        <v>38</v>
      </c>
      <c r="N113" t="s">
        <v>105</v>
      </c>
      <c r="O113" s="1">
        <v>75000</v>
      </c>
      <c r="P113">
        <v>4</v>
      </c>
      <c r="Q113" s="1">
        <v>300000</v>
      </c>
      <c r="R113">
        <v>170.74</v>
      </c>
      <c r="S113" t="s">
        <v>1091</v>
      </c>
      <c r="T113" t="s">
        <v>39</v>
      </c>
    </row>
    <row r="114" spans="1:20" x14ac:dyDescent="0.35">
      <c r="A114" s="22" t="s">
        <v>205</v>
      </c>
      <c r="B114" cm="1">
        <f t="array" ref="B114">IF(MATCH(Table1[[#This Row],[Customer ID]], Table1[Customer ID], 0) = ROW() - ROW(Table1[#Headers]), 1, 0)</f>
        <v>0</v>
      </c>
      <c r="C114" t="s">
        <v>206</v>
      </c>
      <c r="D114" s="2">
        <v>45741</v>
      </c>
      <c r="E114">
        <v>25</v>
      </c>
      <c r="F114" t="str" cm="1">
        <f t="array" ref="F114">_xlfn.IFS( Table1[[#This Row],[Age]]&lt;18, "&lt;18", Table1[[#This Row],[Age]]&lt;= 29, "18-29", Table1[[#This Row],[Age]]&lt;= 44, "30-44",  Table1[[#This Row],[Age]]&lt;=59, "45-59", TRUE, "60+")</f>
        <v>18-29</v>
      </c>
      <c r="G114" t="s">
        <v>198</v>
      </c>
      <c r="H114" t="s">
        <v>41</v>
      </c>
      <c r="I114" t="s">
        <v>30</v>
      </c>
      <c r="J114">
        <v>4</v>
      </c>
      <c r="K114" t="s">
        <v>114</v>
      </c>
      <c r="L114" t="str" cm="1">
        <f t="array" ref="L114">_xlfn.IFS(Table1[[#This Row],[Customer Tenure in months]]&lt;=6, "0-6 months", Table1[[#This Row],[Customer Tenure in months]] &lt;=12, "7-12 months", Table1[[#This Row],[Customer Tenure in months]] &lt;=24, "1-2 years", TRUE, "2+ years")</f>
        <v>2+ years</v>
      </c>
      <c r="M114">
        <v>38</v>
      </c>
      <c r="N114" t="s">
        <v>38</v>
      </c>
      <c r="O114" s="1">
        <v>20000</v>
      </c>
      <c r="P114">
        <v>12</v>
      </c>
      <c r="Q114" s="1">
        <v>240000</v>
      </c>
      <c r="R114">
        <v>76.58</v>
      </c>
      <c r="S114" t="s">
        <v>1091</v>
      </c>
      <c r="T114" t="s">
        <v>39</v>
      </c>
    </row>
    <row r="115" spans="1:20" x14ac:dyDescent="0.35">
      <c r="A115" s="22" t="s">
        <v>207</v>
      </c>
      <c r="B115" cm="1">
        <f t="array" ref="B115">IF(MATCH(Table1[[#This Row],[Customer ID]], Table1[Customer ID], 0) = ROW() - ROW(Table1[#Headers]), 1, 0)</f>
        <v>1</v>
      </c>
      <c r="C115" t="s">
        <v>208</v>
      </c>
      <c r="D115" s="2">
        <v>45682</v>
      </c>
      <c r="E115">
        <v>53</v>
      </c>
      <c r="F115" t="str" cm="1">
        <f t="array" ref="F115">_xlfn.IFS( Table1[[#This Row],[Age]]&lt;18, "&lt;18", Table1[[#This Row],[Age]]&lt;= 29, "18-29", Table1[[#This Row],[Age]]&lt;= 44, "30-44",  Table1[[#This Row],[Age]]&lt;=59, "45-59", TRUE, "60+")</f>
        <v>45-59</v>
      </c>
      <c r="G115" t="s">
        <v>118</v>
      </c>
      <c r="H115" t="s">
        <v>41</v>
      </c>
      <c r="I115" t="s">
        <v>30</v>
      </c>
      <c r="J115">
        <v>5</v>
      </c>
      <c r="K115" t="s">
        <v>55</v>
      </c>
      <c r="L115" t="str" cm="1">
        <f t="array" ref="L115">_xlfn.IFS(Table1[[#This Row],[Customer Tenure in months]]&lt;=6, "0-6 months", Table1[[#This Row],[Customer Tenure in months]] &lt;=12, "7-12 months", Table1[[#This Row],[Customer Tenure in months]] &lt;=24, "1-2 years", TRUE, "2+ years")</f>
        <v>1-2 years</v>
      </c>
      <c r="M115">
        <v>18</v>
      </c>
      <c r="N115" t="s">
        <v>65</v>
      </c>
      <c r="O115" s="1">
        <v>30000</v>
      </c>
      <c r="P115">
        <v>8</v>
      </c>
      <c r="Q115" s="1">
        <v>240000</v>
      </c>
      <c r="R115">
        <v>155.26</v>
      </c>
      <c r="S115" t="s">
        <v>1091</v>
      </c>
      <c r="T115" t="s">
        <v>39</v>
      </c>
    </row>
    <row r="116" spans="1:20" x14ac:dyDescent="0.35">
      <c r="A116" s="22" t="s">
        <v>207</v>
      </c>
      <c r="B116" cm="1">
        <f t="array" ref="B116">IF(MATCH(Table1[[#This Row],[Customer ID]], Table1[Customer ID], 0) = ROW() - ROW(Table1[#Headers]), 1, 0)</f>
        <v>0</v>
      </c>
      <c r="C116" t="s">
        <v>208</v>
      </c>
      <c r="D116" s="2">
        <v>45682</v>
      </c>
      <c r="E116">
        <v>53</v>
      </c>
      <c r="F116" t="str" cm="1">
        <f t="array" ref="F116">_xlfn.IFS( Table1[[#This Row],[Age]]&lt;18, "&lt;18", Table1[[#This Row],[Age]]&lt;= 29, "18-29", Table1[[#This Row],[Age]]&lt;= 44, "30-44",  Table1[[#This Row],[Age]]&lt;=59, "45-59", TRUE, "60+")</f>
        <v>45-59</v>
      </c>
      <c r="G116" t="s">
        <v>118</v>
      </c>
      <c r="H116" t="s">
        <v>36</v>
      </c>
      <c r="I116" t="s">
        <v>30</v>
      </c>
      <c r="J116">
        <v>5</v>
      </c>
      <c r="K116" t="s">
        <v>55</v>
      </c>
      <c r="L116" t="str" cm="1">
        <f t="array" ref="L116">_xlfn.IFS(Table1[[#This Row],[Customer Tenure in months]]&lt;=6, "0-6 months", Table1[[#This Row],[Customer Tenure in months]] &lt;=12, "7-12 months", Table1[[#This Row],[Customer Tenure in months]] &lt;=24, "1-2 years", TRUE, "2+ years")</f>
        <v>1-2 years</v>
      </c>
      <c r="M116">
        <v>18</v>
      </c>
      <c r="N116" t="s">
        <v>115</v>
      </c>
      <c r="O116" s="1">
        <v>25000</v>
      </c>
      <c r="P116">
        <v>7</v>
      </c>
      <c r="Q116" s="1">
        <v>175000</v>
      </c>
      <c r="R116">
        <v>44.19</v>
      </c>
      <c r="S116" t="s">
        <v>1091</v>
      </c>
      <c r="T116" t="s">
        <v>39</v>
      </c>
    </row>
    <row r="117" spans="1:20" x14ac:dyDescent="0.35">
      <c r="A117" s="22" t="s">
        <v>207</v>
      </c>
      <c r="B117" cm="1">
        <f t="array" ref="B117">IF(MATCH(Table1[[#This Row],[Customer ID]], Table1[Customer ID], 0) = ROW() - ROW(Table1[#Headers]), 1, 0)</f>
        <v>0</v>
      </c>
      <c r="C117" t="s">
        <v>208</v>
      </c>
      <c r="D117" s="2">
        <v>45682</v>
      </c>
      <c r="E117">
        <v>53</v>
      </c>
      <c r="F117" t="str" cm="1">
        <f t="array" ref="F117">_xlfn.IFS( Table1[[#This Row],[Age]]&lt;18, "&lt;18", Table1[[#This Row],[Age]]&lt;= 29, "18-29", Table1[[#This Row],[Age]]&lt;= 44, "30-44",  Table1[[#This Row],[Age]]&lt;=59, "45-59", TRUE, "60+")</f>
        <v>45-59</v>
      </c>
      <c r="G117" t="s">
        <v>118</v>
      </c>
      <c r="H117" t="s">
        <v>20</v>
      </c>
      <c r="I117" t="s">
        <v>30</v>
      </c>
      <c r="J117">
        <v>5</v>
      </c>
      <c r="K117" t="s">
        <v>55</v>
      </c>
      <c r="L117" t="str" cm="1">
        <f t="array" ref="L117">_xlfn.IFS(Table1[[#This Row],[Customer Tenure in months]]&lt;=6, "0-6 months", Table1[[#This Row],[Customer Tenure in months]] &lt;=12, "7-12 months", Table1[[#This Row],[Customer Tenure in months]] &lt;=24, "1-2 years", TRUE, "2+ years")</f>
        <v>1-2 years</v>
      </c>
      <c r="M117">
        <v>18</v>
      </c>
      <c r="N117" t="s">
        <v>51</v>
      </c>
      <c r="O117" s="1">
        <v>9000</v>
      </c>
      <c r="P117">
        <v>5</v>
      </c>
      <c r="Q117" s="1">
        <v>45000</v>
      </c>
      <c r="R117">
        <v>135.71</v>
      </c>
      <c r="S117" t="s">
        <v>1091</v>
      </c>
      <c r="T117" t="s">
        <v>39</v>
      </c>
    </row>
    <row r="118" spans="1:20" x14ac:dyDescent="0.35">
      <c r="A118" s="22" t="s">
        <v>209</v>
      </c>
      <c r="B118" cm="1">
        <f t="array" ref="B118">IF(MATCH(Table1[[#This Row],[Customer ID]], Table1[Customer ID], 0) = ROW() - ROW(Table1[#Headers]), 1, 0)</f>
        <v>1</v>
      </c>
      <c r="C118" t="s">
        <v>210</v>
      </c>
      <c r="D118" s="2">
        <v>45741</v>
      </c>
      <c r="E118">
        <v>21</v>
      </c>
      <c r="F118" t="str" cm="1">
        <f t="array" ref="F118">_xlfn.IFS( Table1[[#This Row],[Age]]&lt;18, "&lt;18", Table1[[#This Row],[Age]]&lt;= 29, "18-29", Table1[[#This Row],[Age]]&lt;= 44, "30-44",  Table1[[#This Row],[Age]]&lt;=59, "45-59", TRUE, "60+")</f>
        <v>18-29</v>
      </c>
      <c r="G118" t="s">
        <v>149</v>
      </c>
      <c r="H118" t="s">
        <v>29</v>
      </c>
      <c r="I118" t="s">
        <v>30</v>
      </c>
      <c r="J118">
        <v>2</v>
      </c>
      <c r="K118" t="s">
        <v>22</v>
      </c>
      <c r="L118" t="str" cm="1">
        <f t="array" ref="L118">_xlfn.IFS(Table1[[#This Row],[Customer Tenure in months]]&lt;=6, "0-6 months", Table1[[#This Row],[Customer Tenure in months]] &lt;=12, "7-12 months", Table1[[#This Row],[Customer Tenure in months]] &lt;=24, "1-2 years", TRUE, "2+ years")</f>
        <v>0-6 months</v>
      </c>
      <c r="M118">
        <v>3</v>
      </c>
      <c r="N118" t="s">
        <v>72</v>
      </c>
      <c r="O118" s="1">
        <v>350</v>
      </c>
      <c r="P118">
        <v>18</v>
      </c>
      <c r="Q118" s="1">
        <v>6300</v>
      </c>
      <c r="R118">
        <v>26.87</v>
      </c>
      <c r="S118" t="s">
        <v>96</v>
      </c>
      <c r="T118" t="s">
        <v>24</v>
      </c>
    </row>
    <row r="119" spans="1:20" x14ac:dyDescent="0.35">
      <c r="A119" s="22" t="s">
        <v>209</v>
      </c>
      <c r="B119" cm="1">
        <f t="array" ref="B119">IF(MATCH(Table1[[#This Row],[Customer ID]], Table1[Customer ID], 0) = ROW() - ROW(Table1[#Headers]), 1, 0)</f>
        <v>0</v>
      </c>
      <c r="C119" t="s">
        <v>210</v>
      </c>
      <c r="D119" s="2">
        <v>45741</v>
      </c>
      <c r="E119">
        <v>21</v>
      </c>
      <c r="F119" t="str" cm="1">
        <f t="array" ref="F119">_xlfn.IFS( Table1[[#This Row],[Age]]&lt;18, "&lt;18", Table1[[#This Row],[Age]]&lt;= 29, "18-29", Table1[[#This Row],[Age]]&lt;= 44, "30-44",  Table1[[#This Row],[Age]]&lt;=59, "45-59", TRUE, "60+")</f>
        <v>18-29</v>
      </c>
      <c r="G119" t="s">
        <v>149</v>
      </c>
      <c r="H119" t="s">
        <v>41</v>
      </c>
      <c r="I119" t="s">
        <v>30</v>
      </c>
      <c r="J119">
        <v>2</v>
      </c>
      <c r="K119" t="s">
        <v>22</v>
      </c>
      <c r="L119" t="str" cm="1">
        <f t="array" ref="L119">_xlfn.IFS(Table1[[#This Row],[Customer Tenure in months]]&lt;=6, "0-6 months", Table1[[#This Row],[Customer Tenure in months]] &lt;=12, "7-12 months", Table1[[#This Row],[Customer Tenure in months]] &lt;=24, "1-2 years", TRUE, "2+ years")</f>
        <v>0-6 months</v>
      </c>
      <c r="M119">
        <v>3</v>
      </c>
      <c r="N119" t="s">
        <v>65</v>
      </c>
      <c r="O119" s="1">
        <v>30000</v>
      </c>
      <c r="P119">
        <v>9</v>
      </c>
      <c r="Q119" s="1">
        <v>270000</v>
      </c>
      <c r="R119">
        <v>106.41</v>
      </c>
      <c r="S119" t="s">
        <v>96</v>
      </c>
      <c r="T119" t="s">
        <v>24</v>
      </c>
    </row>
    <row r="120" spans="1:20" x14ac:dyDescent="0.35">
      <c r="A120" s="22" t="s">
        <v>211</v>
      </c>
      <c r="B120" cm="1">
        <f t="array" ref="B120">IF(MATCH(Table1[[#This Row],[Customer ID]], Table1[Customer ID], 0) = ROW() - ROW(Table1[#Headers]), 1, 0)</f>
        <v>1</v>
      </c>
      <c r="C120" t="s">
        <v>212</v>
      </c>
      <c r="D120" s="2">
        <v>45741</v>
      </c>
      <c r="E120">
        <v>48</v>
      </c>
      <c r="F120" t="str" cm="1">
        <f t="array" ref="F120">_xlfn.IFS( Table1[[#This Row],[Age]]&lt;18, "&lt;18", Table1[[#This Row],[Age]]&lt;= 29, "18-29", Table1[[#This Row],[Age]]&lt;= 44, "30-44",  Table1[[#This Row],[Age]]&lt;=59, "45-59", TRUE, "60+")</f>
        <v>45-59</v>
      </c>
      <c r="G120" t="s">
        <v>213</v>
      </c>
      <c r="H120" t="s">
        <v>20</v>
      </c>
      <c r="I120" t="s">
        <v>30</v>
      </c>
      <c r="J120">
        <v>1</v>
      </c>
      <c r="K120" t="s">
        <v>37</v>
      </c>
      <c r="L120" t="str" cm="1">
        <f t="array" ref="L120">_xlfn.IFS(Table1[[#This Row],[Customer Tenure in months]]&lt;=6, "0-6 months", Table1[[#This Row],[Customer Tenure in months]] &lt;=12, "7-12 months", Table1[[#This Row],[Customer Tenure in months]] &lt;=24, "1-2 years", TRUE, "2+ years")</f>
        <v>2+ years</v>
      </c>
      <c r="M120">
        <v>48</v>
      </c>
      <c r="N120" t="s">
        <v>46</v>
      </c>
      <c r="O120" s="1">
        <v>4500</v>
      </c>
      <c r="P120">
        <v>13</v>
      </c>
      <c r="Q120" s="1">
        <v>58500</v>
      </c>
      <c r="R120">
        <v>172.1</v>
      </c>
      <c r="S120" t="s">
        <v>1091</v>
      </c>
      <c r="T120" t="s">
        <v>39</v>
      </c>
    </row>
    <row r="121" spans="1:20" x14ac:dyDescent="0.35">
      <c r="A121" s="22" t="s">
        <v>214</v>
      </c>
      <c r="B121" cm="1">
        <f t="array" ref="B121">IF(MATCH(Table1[[#This Row],[Customer ID]], Table1[Customer ID], 0) = ROW() - ROW(Table1[#Headers]), 1, 0)</f>
        <v>1</v>
      </c>
      <c r="C121" t="s">
        <v>215</v>
      </c>
      <c r="D121" s="2">
        <v>45682</v>
      </c>
      <c r="E121">
        <v>27</v>
      </c>
      <c r="F121" t="str" cm="1">
        <f t="array" ref="F121">_xlfn.IFS( Table1[[#This Row],[Age]]&lt;18, "&lt;18", Table1[[#This Row],[Age]]&lt;= 29, "18-29", Table1[[#This Row],[Age]]&lt;= 44, "30-44",  Table1[[#This Row],[Age]]&lt;=59, "45-59", TRUE, "60+")</f>
        <v>18-29</v>
      </c>
      <c r="G121" t="s">
        <v>82</v>
      </c>
      <c r="H121" t="s">
        <v>36</v>
      </c>
      <c r="I121" t="s">
        <v>21</v>
      </c>
      <c r="J121">
        <v>4</v>
      </c>
      <c r="K121" t="s">
        <v>114</v>
      </c>
      <c r="L121" t="str" cm="1">
        <f t="array" ref="L121">_xlfn.IFS(Table1[[#This Row],[Customer Tenure in months]]&lt;=6, "0-6 months", Table1[[#This Row],[Customer Tenure in months]] &lt;=12, "7-12 months", Table1[[#This Row],[Customer Tenure in months]] &lt;=24, "1-2 years", TRUE, "2+ years")</f>
        <v>1-2 years</v>
      </c>
      <c r="M121">
        <v>17</v>
      </c>
      <c r="N121" t="s">
        <v>115</v>
      </c>
      <c r="O121" s="1">
        <v>25000</v>
      </c>
      <c r="P121">
        <v>8</v>
      </c>
      <c r="Q121" s="1">
        <v>200000</v>
      </c>
      <c r="R121">
        <v>22.12</v>
      </c>
      <c r="S121" t="s">
        <v>1091</v>
      </c>
      <c r="T121" t="s">
        <v>39</v>
      </c>
    </row>
    <row r="122" spans="1:20" x14ac:dyDescent="0.35">
      <c r="A122" s="22" t="s">
        <v>214</v>
      </c>
      <c r="B122" cm="1">
        <f t="array" ref="B122">IF(MATCH(Table1[[#This Row],[Customer ID]], Table1[Customer ID], 0) = ROW() - ROW(Table1[#Headers]), 1, 0)</f>
        <v>0</v>
      </c>
      <c r="C122" t="s">
        <v>215</v>
      </c>
      <c r="D122" s="2">
        <v>45682</v>
      </c>
      <c r="E122">
        <v>27</v>
      </c>
      <c r="F122" t="str" cm="1">
        <f t="array" ref="F122">_xlfn.IFS( Table1[[#This Row],[Age]]&lt;18, "&lt;18", Table1[[#This Row],[Age]]&lt;= 29, "18-29", Table1[[#This Row],[Age]]&lt;= 44, "30-44",  Table1[[#This Row],[Age]]&lt;=59, "45-59", TRUE, "60+")</f>
        <v>18-29</v>
      </c>
      <c r="G122" t="s">
        <v>82</v>
      </c>
      <c r="H122" t="s">
        <v>29</v>
      </c>
      <c r="I122" t="s">
        <v>21</v>
      </c>
      <c r="J122">
        <v>4</v>
      </c>
      <c r="K122" t="s">
        <v>114</v>
      </c>
      <c r="L122" t="str" cm="1">
        <f t="array" ref="L122">_xlfn.IFS(Table1[[#This Row],[Customer Tenure in months]]&lt;=6, "0-6 months", Table1[[#This Row],[Customer Tenure in months]] &lt;=12, "7-12 months", Table1[[#This Row],[Customer Tenure in months]] &lt;=24, "1-2 years", TRUE, "2+ years")</f>
        <v>1-2 years</v>
      </c>
      <c r="M122">
        <v>17</v>
      </c>
      <c r="N122" t="s">
        <v>31</v>
      </c>
      <c r="O122" s="1">
        <v>5500</v>
      </c>
      <c r="P122">
        <v>18</v>
      </c>
      <c r="Q122" s="1">
        <v>99000</v>
      </c>
      <c r="R122">
        <v>5.49</v>
      </c>
      <c r="S122" t="s">
        <v>1091</v>
      </c>
      <c r="T122" t="s">
        <v>39</v>
      </c>
    </row>
    <row r="123" spans="1:20" x14ac:dyDescent="0.35">
      <c r="A123" s="22" t="s">
        <v>214</v>
      </c>
      <c r="B123" cm="1">
        <f t="array" ref="B123">IF(MATCH(Table1[[#This Row],[Customer ID]], Table1[Customer ID], 0) = ROW() - ROW(Table1[#Headers]), 1, 0)</f>
        <v>0</v>
      </c>
      <c r="C123" t="s">
        <v>215</v>
      </c>
      <c r="D123" s="2">
        <v>45682</v>
      </c>
      <c r="E123">
        <v>27</v>
      </c>
      <c r="F123" t="str" cm="1">
        <f t="array" ref="F123">_xlfn.IFS( Table1[[#This Row],[Age]]&lt;18, "&lt;18", Table1[[#This Row],[Age]]&lt;= 29, "18-29", Table1[[#This Row],[Age]]&lt;= 44, "30-44",  Table1[[#This Row],[Age]]&lt;=59, "45-59", TRUE, "60+")</f>
        <v>18-29</v>
      </c>
      <c r="G123" t="s">
        <v>82</v>
      </c>
      <c r="H123" t="s">
        <v>20</v>
      </c>
      <c r="I123" t="s">
        <v>21</v>
      </c>
      <c r="J123">
        <v>4</v>
      </c>
      <c r="K123" t="s">
        <v>114</v>
      </c>
      <c r="L123" t="str" cm="1">
        <f t="array" ref="L123">_xlfn.IFS(Table1[[#This Row],[Customer Tenure in months]]&lt;=6, "0-6 months", Table1[[#This Row],[Customer Tenure in months]] &lt;=12, "7-12 months", Table1[[#This Row],[Customer Tenure in months]] &lt;=24, "1-2 years", TRUE, "2+ years")</f>
        <v>1-2 years</v>
      </c>
      <c r="M123">
        <v>17</v>
      </c>
      <c r="N123" t="s">
        <v>51</v>
      </c>
      <c r="O123" s="1">
        <v>9000</v>
      </c>
      <c r="P123">
        <v>8</v>
      </c>
      <c r="Q123" s="1">
        <v>72000</v>
      </c>
      <c r="R123">
        <v>183.09</v>
      </c>
      <c r="S123" t="s">
        <v>1091</v>
      </c>
      <c r="T123" t="s">
        <v>39</v>
      </c>
    </row>
    <row r="124" spans="1:20" x14ac:dyDescent="0.35">
      <c r="A124" s="22" t="s">
        <v>216</v>
      </c>
      <c r="B124" cm="1">
        <f t="array" ref="B124">IF(MATCH(Table1[[#This Row],[Customer ID]], Table1[Customer ID], 0) = ROW() - ROW(Table1[#Headers]), 1, 0)</f>
        <v>1</v>
      </c>
      <c r="C124" t="s">
        <v>217</v>
      </c>
      <c r="D124" s="2">
        <v>45713</v>
      </c>
      <c r="E124">
        <v>75</v>
      </c>
      <c r="F124" t="str" cm="1">
        <f t="array" ref="F124">_xlfn.IFS( Table1[[#This Row],[Age]]&lt;18, "&lt;18", Table1[[#This Row],[Age]]&lt;= 29, "18-29", Table1[[#This Row],[Age]]&lt;= 44, "30-44",  Table1[[#This Row],[Age]]&lt;=59, "45-59", TRUE, "60+")</f>
        <v>60+</v>
      </c>
      <c r="G124" t="s">
        <v>149</v>
      </c>
      <c r="H124" t="s">
        <v>29</v>
      </c>
      <c r="I124" t="s">
        <v>30</v>
      </c>
      <c r="J124">
        <v>1</v>
      </c>
      <c r="K124" t="s">
        <v>37</v>
      </c>
      <c r="L124" t="str" cm="1">
        <f t="array" ref="L124">_xlfn.IFS(Table1[[#This Row],[Customer Tenure in months]]&lt;=6, "0-6 months", Table1[[#This Row],[Customer Tenure in months]] &lt;=12, "7-12 months", Table1[[#This Row],[Customer Tenure in months]] &lt;=24, "1-2 years", TRUE, "2+ years")</f>
        <v>7-12 months</v>
      </c>
      <c r="M124">
        <v>8</v>
      </c>
      <c r="N124" t="s">
        <v>83</v>
      </c>
      <c r="O124" s="1">
        <v>1000</v>
      </c>
      <c r="P124">
        <v>18</v>
      </c>
      <c r="Q124" s="1">
        <v>18000</v>
      </c>
      <c r="R124">
        <v>47.34</v>
      </c>
      <c r="S124" t="s">
        <v>1091</v>
      </c>
      <c r="T124" t="s">
        <v>39</v>
      </c>
    </row>
    <row r="125" spans="1:20" x14ac:dyDescent="0.35">
      <c r="A125" s="22" t="s">
        <v>216</v>
      </c>
      <c r="B125" cm="1">
        <f t="array" ref="B125">IF(MATCH(Table1[[#This Row],[Customer ID]], Table1[Customer ID], 0) = ROW() - ROW(Table1[#Headers]), 1, 0)</f>
        <v>0</v>
      </c>
      <c r="C125" t="s">
        <v>217</v>
      </c>
      <c r="D125" s="2">
        <v>45713</v>
      </c>
      <c r="E125">
        <v>75</v>
      </c>
      <c r="F125" t="str" cm="1">
        <f t="array" ref="F125">_xlfn.IFS( Table1[[#This Row],[Age]]&lt;18, "&lt;18", Table1[[#This Row],[Age]]&lt;= 29, "18-29", Table1[[#This Row],[Age]]&lt;= 44, "30-44",  Table1[[#This Row],[Age]]&lt;=59, "45-59", TRUE, "60+")</f>
        <v>60+</v>
      </c>
      <c r="G125" t="s">
        <v>149</v>
      </c>
      <c r="H125" t="s">
        <v>41</v>
      </c>
      <c r="I125" t="s">
        <v>30</v>
      </c>
      <c r="J125">
        <v>1</v>
      </c>
      <c r="K125" t="s">
        <v>37</v>
      </c>
      <c r="L125" t="str" cm="1">
        <f t="array" ref="L125">_xlfn.IFS(Table1[[#This Row],[Customer Tenure in months]]&lt;=6, "0-6 months", Table1[[#This Row],[Customer Tenure in months]] &lt;=12, "7-12 months", Table1[[#This Row],[Customer Tenure in months]] &lt;=24, "1-2 years", TRUE, "2+ years")</f>
        <v>7-12 months</v>
      </c>
      <c r="M125">
        <v>8</v>
      </c>
      <c r="N125" t="s">
        <v>38</v>
      </c>
      <c r="O125" s="1">
        <v>20000</v>
      </c>
      <c r="P125">
        <v>12</v>
      </c>
      <c r="Q125" s="1">
        <v>240000</v>
      </c>
      <c r="R125">
        <v>78.03</v>
      </c>
      <c r="S125" t="s">
        <v>1091</v>
      </c>
      <c r="T125" t="s">
        <v>39</v>
      </c>
    </row>
    <row r="126" spans="1:20" x14ac:dyDescent="0.35">
      <c r="A126" s="22" t="s">
        <v>218</v>
      </c>
      <c r="B126" cm="1">
        <f t="array" ref="B126">IF(MATCH(Table1[[#This Row],[Customer ID]], Table1[Customer ID], 0) = ROW() - ROW(Table1[#Headers]), 1, 0)</f>
        <v>1</v>
      </c>
      <c r="C126" t="s">
        <v>219</v>
      </c>
      <c r="D126" s="2">
        <v>45682</v>
      </c>
      <c r="E126">
        <v>69</v>
      </c>
      <c r="F126" t="str" cm="1">
        <f t="array" ref="F126">_xlfn.IFS( Table1[[#This Row],[Age]]&lt;18, "&lt;18", Table1[[#This Row],[Age]]&lt;= 29, "18-29", Table1[[#This Row],[Age]]&lt;= 44, "30-44",  Table1[[#This Row],[Age]]&lt;=59, "45-59", TRUE, "60+")</f>
        <v>60+</v>
      </c>
      <c r="G126" t="s">
        <v>54</v>
      </c>
      <c r="H126" t="s">
        <v>41</v>
      </c>
      <c r="I126" t="s">
        <v>30</v>
      </c>
      <c r="J126">
        <v>4</v>
      </c>
      <c r="K126" t="s">
        <v>114</v>
      </c>
      <c r="L126" t="str" cm="1">
        <f t="array" ref="L126">_xlfn.IFS(Table1[[#This Row],[Customer Tenure in months]]&lt;=6, "0-6 months", Table1[[#This Row],[Customer Tenure in months]] &lt;=12, "7-12 months", Table1[[#This Row],[Customer Tenure in months]] &lt;=24, "1-2 years", TRUE, "2+ years")</f>
        <v>2+ years</v>
      </c>
      <c r="M126">
        <v>42</v>
      </c>
      <c r="N126" t="s">
        <v>65</v>
      </c>
      <c r="O126" s="1">
        <v>30000</v>
      </c>
      <c r="P126">
        <v>15</v>
      </c>
      <c r="Q126" s="1">
        <v>450000</v>
      </c>
      <c r="R126">
        <v>43.85</v>
      </c>
      <c r="S126" t="s">
        <v>1091</v>
      </c>
      <c r="T126" t="s">
        <v>39</v>
      </c>
    </row>
    <row r="127" spans="1:20" x14ac:dyDescent="0.35">
      <c r="A127" s="22" t="s">
        <v>218</v>
      </c>
      <c r="B127" cm="1">
        <f t="array" ref="B127">IF(MATCH(Table1[[#This Row],[Customer ID]], Table1[Customer ID], 0) = ROW() - ROW(Table1[#Headers]), 1, 0)</f>
        <v>0</v>
      </c>
      <c r="C127" t="s">
        <v>219</v>
      </c>
      <c r="D127" s="2">
        <v>45682</v>
      </c>
      <c r="E127">
        <v>69</v>
      </c>
      <c r="F127" t="str" cm="1">
        <f t="array" ref="F127">_xlfn.IFS( Table1[[#This Row],[Age]]&lt;18, "&lt;18", Table1[[#This Row],[Age]]&lt;= 29, "18-29", Table1[[#This Row],[Age]]&lt;= 44, "30-44",  Table1[[#This Row],[Age]]&lt;=59, "45-59", TRUE, "60+")</f>
        <v>60+</v>
      </c>
      <c r="G127" t="s">
        <v>54</v>
      </c>
      <c r="H127" t="s">
        <v>36</v>
      </c>
      <c r="I127" t="s">
        <v>30</v>
      </c>
      <c r="J127">
        <v>4</v>
      </c>
      <c r="K127" t="s">
        <v>114</v>
      </c>
      <c r="L127" t="str" cm="1">
        <f t="array" ref="L127">_xlfn.IFS(Table1[[#This Row],[Customer Tenure in months]]&lt;=6, "0-6 months", Table1[[#This Row],[Customer Tenure in months]] &lt;=12, "7-12 months", Table1[[#This Row],[Customer Tenure in months]] &lt;=24, "1-2 years", TRUE, "2+ years")</f>
        <v>2+ years</v>
      </c>
      <c r="M127">
        <v>42</v>
      </c>
      <c r="N127" t="s">
        <v>71</v>
      </c>
      <c r="O127" s="1">
        <v>14500</v>
      </c>
      <c r="P127">
        <v>4</v>
      </c>
      <c r="Q127" s="1">
        <v>58000</v>
      </c>
      <c r="R127">
        <v>171.16</v>
      </c>
      <c r="S127" t="s">
        <v>1091</v>
      </c>
      <c r="T127" t="s">
        <v>39</v>
      </c>
    </row>
    <row r="128" spans="1:20" x14ac:dyDescent="0.35">
      <c r="A128" s="22" t="s">
        <v>220</v>
      </c>
      <c r="B128" cm="1">
        <f t="array" ref="B128">IF(MATCH(Table1[[#This Row],[Customer ID]], Table1[Customer ID], 0) = ROW() - ROW(Table1[#Headers]), 1, 0)</f>
        <v>1</v>
      </c>
      <c r="C128" t="s">
        <v>221</v>
      </c>
      <c r="D128" s="2">
        <v>45713</v>
      </c>
      <c r="E128">
        <v>61</v>
      </c>
      <c r="F128" t="str" cm="1">
        <f t="array" ref="F128">_xlfn.IFS( Table1[[#This Row],[Age]]&lt;18, "&lt;18", Table1[[#This Row],[Age]]&lt;= 29, "18-29", Table1[[#This Row],[Age]]&lt;= 44, "30-44",  Table1[[#This Row],[Age]]&lt;=59, "45-59", TRUE, "60+")</f>
        <v>60+</v>
      </c>
      <c r="G128" t="s">
        <v>49</v>
      </c>
      <c r="H128" t="s">
        <v>41</v>
      </c>
      <c r="I128" t="s">
        <v>30</v>
      </c>
      <c r="J128">
        <v>1</v>
      </c>
      <c r="K128" t="s">
        <v>37</v>
      </c>
      <c r="L128" t="str" cm="1">
        <f t="array" ref="L128">_xlfn.IFS(Table1[[#This Row],[Customer Tenure in months]]&lt;=6, "0-6 months", Table1[[#This Row],[Customer Tenure in months]] &lt;=12, "7-12 months", Table1[[#This Row],[Customer Tenure in months]] &lt;=24, "1-2 years", TRUE, "2+ years")</f>
        <v>1-2 years</v>
      </c>
      <c r="M128">
        <v>18</v>
      </c>
      <c r="N128" t="s">
        <v>38</v>
      </c>
      <c r="O128" s="1">
        <v>20000</v>
      </c>
      <c r="P128">
        <v>20</v>
      </c>
      <c r="Q128" s="1">
        <v>400000</v>
      </c>
      <c r="R128">
        <v>128.52000000000001</v>
      </c>
      <c r="S128" t="s">
        <v>1091</v>
      </c>
      <c r="T128" t="s">
        <v>39</v>
      </c>
    </row>
    <row r="129" spans="1:20" x14ac:dyDescent="0.35">
      <c r="A129" s="22" t="s">
        <v>220</v>
      </c>
      <c r="B129" cm="1">
        <f t="array" ref="B129">IF(MATCH(Table1[[#This Row],[Customer ID]], Table1[Customer ID], 0) = ROW() - ROW(Table1[#Headers]), 1, 0)</f>
        <v>0</v>
      </c>
      <c r="C129" t="s">
        <v>221</v>
      </c>
      <c r="D129" s="2">
        <v>45713</v>
      </c>
      <c r="E129">
        <v>61</v>
      </c>
      <c r="F129" t="str" cm="1">
        <f t="array" ref="F129">_xlfn.IFS( Table1[[#This Row],[Age]]&lt;18, "&lt;18", Table1[[#This Row],[Age]]&lt;= 29, "18-29", Table1[[#This Row],[Age]]&lt;= 44, "30-44",  Table1[[#This Row],[Age]]&lt;=59, "45-59", TRUE, "60+")</f>
        <v>60+</v>
      </c>
      <c r="G129" t="s">
        <v>49</v>
      </c>
      <c r="H129" t="s">
        <v>36</v>
      </c>
      <c r="I129" t="s">
        <v>30</v>
      </c>
      <c r="J129">
        <v>1</v>
      </c>
      <c r="K129" t="s">
        <v>37</v>
      </c>
      <c r="L129" t="str" cm="1">
        <f t="array" ref="L129">_xlfn.IFS(Table1[[#This Row],[Customer Tenure in months]]&lt;=6, "0-6 months", Table1[[#This Row],[Customer Tenure in months]] &lt;=12, "7-12 months", Table1[[#This Row],[Customer Tenure in months]] &lt;=24, "1-2 years", TRUE, "2+ years")</f>
        <v>1-2 years</v>
      </c>
      <c r="M129">
        <v>18</v>
      </c>
      <c r="N129" t="s">
        <v>42</v>
      </c>
      <c r="O129" s="1">
        <v>9000</v>
      </c>
      <c r="P129">
        <v>11</v>
      </c>
      <c r="Q129" s="1">
        <v>99000</v>
      </c>
      <c r="R129">
        <v>10.59</v>
      </c>
      <c r="S129" t="s">
        <v>1091</v>
      </c>
      <c r="T129" t="s">
        <v>39</v>
      </c>
    </row>
    <row r="130" spans="1:20" x14ac:dyDescent="0.35">
      <c r="A130" s="22" t="s">
        <v>222</v>
      </c>
      <c r="B130" cm="1">
        <f t="array" ref="B130">IF(MATCH(Table1[[#This Row],[Customer ID]], Table1[Customer ID], 0) = ROW() - ROW(Table1[#Headers]), 1, 0)</f>
        <v>1</v>
      </c>
      <c r="C130" t="s">
        <v>223</v>
      </c>
      <c r="D130" s="2">
        <v>45713</v>
      </c>
      <c r="E130">
        <v>32</v>
      </c>
      <c r="F130" t="str" cm="1">
        <f t="array" ref="F130">_xlfn.IFS( Table1[[#This Row],[Age]]&lt;18, "&lt;18", Table1[[#This Row],[Age]]&lt;= 29, "18-29", Table1[[#This Row],[Age]]&lt;= 44, "30-44",  Table1[[#This Row],[Age]]&lt;=59, "45-59", TRUE, "60+")</f>
        <v>30-44</v>
      </c>
      <c r="G130" t="s">
        <v>79</v>
      </c>
      <c r="H130" t="s">
        <v>36</v>
      </c>
      <c r="I130" t="s">
        <v>21</v>
      </c>
      <c r="J130">
        <v>5</v>
      </c>
      <c r="K130" t="s">
        <v>55</v>
      </c>
      <c r="L130" t="str" cm="1">
        <f t="array" ref="L130">_xlfn.IFS(Table1[[#This Row],[Customer Tenure in months]]&lt;=6, "0-6 months", Table1[[#This Row],[Customer Tenure in months]] &lt;=12, "7-12 months", Table1[[#This Row],[Customer Tenure in months]] &lt;=24, "1-2 years", TRUE, "2+ years")</f>
        <v>2+ years</v>
      </c>
      <c r="M130">
        <v>54</v>
      </c>
      <c r="N130" t="s">
        <v>65</v>
      </c>
      <c r="O130" s="1">
        <v>30000</v>
      </c>
      <c r="P130">
        <v>20</v>
      </c>
      <c r="Q130" s="1">
        <v>600000</v>
      </c>
      <c r="R130">
        <v>157.83000000000001</v>
      </c>
      <c r="S130" t="s">
        <v>32</v>
      </c>
      <c r="T130" t="s">
        <v>24</v>
      </c>
    </row>
    <row r="131" spans="1:20" x14ac:dyDescent="0.35">
      <c r="A131" s="22" t="s">
        <v>224</v>
      </c>
      <c r="B131" cm="1">
        <f t="array" ref="B131">IF(MATCH(Table1[[#This Row],[Customer ID]], Table1[Customer ID], 0) = ROW() - ROW(Table1[#Headers]), 1, 0)</f>
        <v>1</v>
      </c>
      <c r="C131" t="s">
        <v>225</v>
      </c>
      <c r="D131" s="2">
        <v>45741</v>
      </c>
      <c r="E131">
        <v>51</v>
      </c>
      <c r="F131" t="str" cm="1">
        <f t="array" ref="F131">_xlfn.IFS( Table1[[#This Row],[Age]]&lt;18, "&lt;18", Table1[[#This Row],[Age]]&lt;= 29, "18-29", Table1[[#This Row],[Age]]&lt;= 44, "30-44",  Table1[[#This Row],[Age]]&lt;=59, "45-59", TRUE, "60+")</f>
        <v>45-59</v>
      </c>
      <c r="G131" t="s">
        <v>54</v>
      </c>
      <c r="H131" t="s">
        <v>20</v>
      </c>
      <c r="I131" t="s">
        <v>21</v>
      </c>
      <c r="J131">
        <v>2</v>
      </c>
      <c r="K131" t="s">
        <v>22</v>
      </c>
      <c r="L131" t="str" cm="1">
        <f t="array" ref="L131">_xlfn.IFS(Table1[[#This Row],[Customer Tenure in months]]&lt;=6, "0-6 months", Table1[[#This Row],[Customer Tenure in months]] &lt;=12, "7-12 months", Table1[[#This Row],[Customer Tenure in months]] &lt;=24, "1-2 years", TRUE, "2+ years")</f>
        <v>2+ years</v>
      </c>
      <c r="M131">
        <v>35</v>
      </c>
      <c r="N131" t="s">
        <v>58</v>
      </c>
      <c r="O131" s="1">
        <v>16000</v>
      </c>
      <c r="P131">
        <v>8</v>
      </c>
      <c r="Q131" s="1">
        <v>128000</v>
      </c>
      <c r="R131">
        <v>71.97</v>
      </c>
      <c r="S131" t="s">
        <v>32</v>
      </c>
      <c r="T131" t="s">
        <v>24</v>
      </c>
    </row>
    <row r="132" spans="1:20" x14ac:dyDescent="0.35">
      <c r="A132" s="22" t="s">
        <v>226</v>
      </c>
      <c r="B132" cm="1">
        <f t="array" ref="B132">IF(MATCH(Table1[[#This Row],[Customer ID]], Table1[Customer ID], 0) = ROW() - ROW(Table1[#Headers]), 1, 0)</f>
        <v>1</v>
      </c>
      <c r="C132" t="s">
        <v>227</v>
      </c>
      <c r="D132" s="2">
        <v>45713</v>
      </c>
      <c r="E132">
        <v>18</v>
      </c>
      <c r="F132" t="str" cm="1">
        <f t="array" ref="F132">_xlfn.IFS( Table1[[#This Row],[Age]]&lt;18, "&lt;18", Table1[[#This Row],[Age]]&lt;= 29, "18-29", Table1[[#This Row],[Age]]&lt;= 44, "30-44",  Table1[[#This Row],[Age]]&lt;=59, "45-59", TRUE, "60+")</f>
        <v>18-29</v>
      </c>
      <c r="G132" t="s">
        <v>131</v>
      </c>
      <c r="H132" t="s">
        <v>20</v>
      </c>
      <c r="I132" t="s">
        <v>30</v>
      </c>
      <c r="J132">
        <v>4</v>
      </c>
      <c r="K132" t="s">
        <v>114</v>
      </c>
      <c r="L132" t="str" cm="1">
        <f t="array" ref="L132">_xlfn.IFS(Table1[[#This Row],[Customer Tenure in months]]&lt;=6, "0-6 months", Table1[[#This Row],[Customer Tenure in months]] &lt;=12, "7-12 months", Table1[[#This Row],[Customer Tenure in months]] &lt;=24, "1-2 years", TRUE, "2+ years")</f>
        <v>0-6 months</v>
      </c>
      <c r="M132">
        <v>4</v>
      </c>
      <c r="N132" t="s">
        <v>46</v>
      </c>
      <c r="O132" s="1">
        <v>4500</v>
      </c>
      <c r="P132">
        <v>4</v>
      </c>
      <c r="Q132" s="1">
        <v>18000</v>
      </c>
      <c r="R132">
        <v>102.89</v>
      </c>
      <c r="S132" t="s">
        <v>1091</v>
      </c>
      <c r="T132" t="s">
        <v>39</v>
      </c>
    </row>
    <row r="133" spans="1:20" x14ac:dyDescent="0.35">
      <c r="A133" s="22" t="s">
        <v>228</v>
      </c>
      <c r="B133" cm="1">
        <f t="array" ref="B133">IF(MATCH(Table1[[#This Row],[Customer ID]], Table1[Customer ID], 0) = ROW() - ROW(Table1[#Headers]), 1, 0)</f>
        <v>1</v>
      </c>
      <c r="C133" t="s">
        <v>229</v>
      </c>
      <c r="D133" s="2">
        <v>45741</v>
      </c>
      <c r="E133">
        <v>80</v>
      </c>
      <c r="F133" t="str" cm="1">
        <f t="array" ref="F133">_xlfn.IFS( Table1[[#This Row],[Age]]&lt;18, "&lt;18", Table1[[#This Row],[Age]]&lt;= 29, "18-29", Table1[[#This Row],[Age]]&lt;= 44, "30-44",  Table1[[#This Row],[Age]]&lt;=59, "45-59", TRUE, "60+")</f>
        <v>60+</v>
      </c>
      <c r="G133" t="s">
        <v>113</v>
      </c>
      <c r="H133" t="s">
        <v>41</v>
      </c>
      <c r="I133" t="s">
        <v>21</v>
      </c>
      <c r="J133">
        <v>4</v>
      </c>
      <c r="K133" t="s">
        <v>114</v>
      </c>
      <c r="L133" t="str" cm="1">
        <f t="array" ref="L133">_xlfn.IFS(Table1[[#This Row],[Customer Tenure in months]]&lt;=6, "0-6 months", Table1[[#This Row],[Customer Tenure in months]] &lt;=12, "7-12 months", Table1[[#This Row],[Customer Tenure in months]] &lt;=24, "1-2 years", TRUE, "2+ years")</f>
        <v>2+ years</v>
      </c>
      <c r="M133">
        <v>47</v>
      </c>
      <c r="N133" t="s">
        <v>71</v>
      </c>
      <c r="O133" s="1">
        <v>14500</v>
      </c>
      <c r="P133">
        <v>14</v>
      </c>
      <c r="Q133" s="1">
        <v>203000</v>
      </c>
      <c r="R133">
        <v>169.54</v>
      </c>
      <c r="S133" t="s">
        <v>1091</v>
      </c>
      <c r="T133" t="s">
        <v>39</v>
      </c>
    </row>
    <row r="134" spans="1:20" x14ac:dyDescent="0.35">
      <c r="A134" s="22" t="s">
        <v>230</v>
      </c>
      <c r="B134" cm="1">
        <f t="array" ref="B134">IF(MATCH(Table1[[#This Row],[Customer ID]], Table1[Customer ID], 0) = ROW() - ROW(Table1[#Headers]), 1, 0)</f>
        <v>1</v>
      </c>
      <c r="C134" t="s">
        <v>231</v>
      </c>
      <c r="D134" s="2">
        <v>45682</v>
      </c>
      <c r="E134">
        <v>78</v>
      </c>
      <c r="F134" t="str" cm="1">
        <f t="array" ref="F134">_xlfn.IFS( Table1[[#This Row],[Age]]&lt;18, "&lt;18", Table1[[#This Row],[Age]]&lt;= 29, "18-29", Table1[[#This Row],[Age]]&lt;= 44, "30-44",  Table1[[#This Row],[Age]]&lt;=59, "45-59", TRUE, "60+")</f>
        <v>60+</v>
      </c>
      <c r="G134" t="s">
        <v>198</v>
      </c>
      <c r="H134" t="s">
        <v>20</v>
      </c>
      <c r="I134" t="s">
        <v>21</v>
      </c>
      <c r="J134">
        <v>3</v>
      </c>
      <c r="K134" t="s">
        <v>50</v>
      </c>
      <c r="L134" t="str" cm="1">
        <f t="array" ref="L134">_xlfn.IFS(Table1[[#This Row],[Customer Tenure in months]]&lt;=6, "0-6 months", Table1[[#This Row],[Customer Tenure in months]] &lt;=12, "7-12 months", Table1[[#This Row],[Customer Tenure in months]] &lt;=24, "1-2 years", TRUE, "2+ years")</f>
        <v>2+ years</v>
      </c>
      <c r="M134">
        <v>58</v>
      </c>
      <c r="N134" t="s">
        <v>51</v>
      </c>
      <c r="O134" s="1">
        <v>9000</v>
      </c>
      <c r="P134">
        <v>19</v>
      </c>
      <c r="Q134" s="1">
        <v>171000</v>
      </c>
      <c r="R134">
        <v>125.05</v>
      </c>
      <c r="S134" t="s">
        <v>1091</v>
      </c>
      <c r="T134" t="s">
        <v>39</v>
      </c>
    </row>
    <row r="135" spans="1:20" x14ac:dyDescent="0.35">
      <c r="A135" s="22" t="s">
        <v>232</v>
      </c>
      <c r="B135" cm="1">
        <f t="array" ref="B135">IF(MATCH(Table1[[#This Row],[Customer ID]], Table1[Customer ID], 0) = ROW() - ROW(Table1[#Headers]), 1, 0)</f>
        <v>1</v>
      </c>
      <c r="C135" t="s">
        <v>233</v>
      </c>
      <c r="D135" s="2">
        <v>45713</v>
      </c>
      <c r="E135">
        <v>64</v>
      </c>
      <c r="F135" t="str" cm="1">
        <f t="array" ref="F135">_xlfn.IFS( Table1[[#This Row],[Age]]&lt;18, "&lt;18", Table1[[#This Row],[Age]]&lt;= 29, "18-29", Table1[[#This Row],[Age]]&lt;= 44, "30-44",  Table1[[#This Row],[Age]]&lt;=59, "45-59", TRUE, "60+")</f>
        <v>60+</v>
      </c>
      <c r="G135" t="s">
        <v>75</v>
      </c>
      <c r="H135" t="s">
        <v>29</v>
      </c>
      <c r="I135" t="s">
        <v>30</v>
      </c>
      <c r="J135">
        <v>1</v>
      </c>
      <c r="K135" t="s">
        <v>37</v>
      </c>
      <c r="L135" t="str" cm="1">
        <f t="array" ref="L135">_xlfn.IFS(Table1[[#This Row],[Customer Tenure in months]]&lt;=6, "0-6 months", Table1[[#This Row],[Customer Tenure in months]] &lt;=12, "7-12 months", Table1[[#This Row],[Customer Tenure in months]] &lt;=24, "1-2 years", TRUE, "2+ years")</f>
        <v>2+ years</v>
      </c>
      <c r="M135">
        <v>30</v>
      </c>
      <c r="N135" t="s">
        <v>23</v>
      </c>
      <c r="O135" s="1">
        <v>35000</v>
      </c>
      <c r="P135">
        <v>8</v>
      </c>
      <c r="Q135" s="1">
        <v>280000</v>
      </c>
      <c r="R135">
        <v>90.59</v>
      </c>
      <c r="S135" t="s">
        <v>1091</v>
      </c>
      <c r="T135" t="s">
        <v>39</v>
      </c>
    </row>
    <row r="136" spans="1:20" x14ac:dyDescent="0.35">
      <c r="A136" s="22" t="s">
        <v>234</v>
      </c>
      <c r="B136" cm="1">
        <f t="array" ref="B136">IF(MATCH(Table1[[#This Row],[Customer ID]], Table1[Customer ID], 0) = ROW() - ROW(Table1[#Headers]), 1, 0)</f>
        <v>1</v>
      </c>
      <c r="C136" t="s">
        <v>235</v>
      </c>
      <c r="D136" s="2">
        <v>45682</v>
      </c>
      <c r="E136">
        <v>59</v>
      </c>
      <c r="F136" t="str" cm="1">
        <f t="array" ref="F136">_xlfn.IFS( Table1[[#This Row],[Age]]&lt;18, "&lt;18", Table1[[#This Row],[Age]]&lt;= 29, "18-29", Table1[[#This Row],[Age]]&lt;= 44, "30-44",  Table1[[#This Row],[Age]]&lt;=59, "45-59", TRUE, "60+")</f>
        <v>45-59</v>
      </c>
      <c r="G136" t="s">
        <v>35</v>
      </c>
      <c r="H136" t="s">
        <v>36</v>
      </c>
      <c r="I136" t="s">
        <v>30</v>
      </c>
      <c r="J136">
        <v>3</v>
      </c>
      <c r="K136" t="s">
        <v>50</v>
      </c>
      <c r="L136" t="str" cm="1">
        <f t="array" ref="L136">_xlfn.IFS(Table1[[#This Row],[Customer Tenure in months]]&lt;=6, "0-6 months", Table1[[#This Row],[Customer Tenure in months]] &lt;=12, "7-12 months", Table1[[#This Row],[Customer Tenure in months]] &lt;=24, "1-2 years", TRUE, "2+ years")</f>
        <v>2+ years</v>
      </c>
      <c r="M136">
        <v>27</v>
      </c>
      <c r="N136" t="s">
        <v>57</v>
      </c>
      <c r="O136" s="1">
        <v>150000</v>
      </c>
      <c r="P136">
        <v>3</v>
      </c>
      <c r="Q136" s="1">
        <v>450000</v>
      </c>
      <c r="R136">
        <v>13.89</v>
      </c>
      <c r="S136" t="s">
        <v>1091</v>
      </c>
      <c r="T136" t="s">
        <v>39</v>
      </c>
    </row>
    <row r="137" spans="1:20" x14ac:dyDescent="0.35">
      <c r="A137" s="22" t="s">
        <v>234</v>
      </c>
      <c r="B137" cm="1">
        <f t="array" ref="B137">IF(MATCH(Table1[[#This Row],[Customer ID]], Table1[Customer ID], 0) = ROW() - ROW(Table1[#Headers]), 1, 0)</f>
        <v>0</v>
      </c>
      <c r="C137" t="s">
        <v>235</v>
      </c>
      <c r="D137" s="2">
        <v>45682</v>
      </c>
      <c r="E137">
        <v>59</v>
      </c>
      <c r="F137" t="str" cm="1">
        <f t="array" ref="F137">_xlfn.IFS( Table1[[#This Row],[Age]]&lt;18, "&lt;18", Table1[[#This Row],[Age]]&lt;= 29, "18-29", Table1[[#This Row],[Age]]&lt;= 44, "30-44",  Table1[[#This Row],[Age]]&lt;=59, "45-59", TRUE, "60+")</f>
        <v>45-59</v>
      </c>
      <c r="G137" t="s">
        <v>35</v>
      </c>
      <c r="H137" t="s">
        <v>20</v>
      </c>
      <c r="I137" t="s">
        <v>30</v>
      </c>
      <c r="J137">
        <v>3</v>
      </c>
      <c r="K137" t="s">
        <v>50</v>
      </c>
      <c r="L137" t="str" cm="1">
        <f t="array" ref="L137">_xlfn.IFS(Table1[[#This Row],[Customer Tenure in months]]&lt;=6, "0-6 months", Table1[[#This Row],[Customer Tenure in months]] &lt;=12, "7-12 months", Table1[[#This Row],[Customer Tenure in months]] &lt;=24, "1-2 years", TRUE, "2+ years")</f>
        <v>2+ years</v>
      </c>
      <c r="M137">
        <v>27</v>
      </c>
      <c r="N137" t="s">
        <v>58</v>
      </c>
      <c r="O137" s="1">
        <v>16000</v>
      </c>
      <c r="P137">
        <v>12</v>
      </c>
      <c r="Q137" s="1">
        <v>192000</v>
      </c>
      <c r="R137">
        <v>86.66</v>
      </c>
      <c r="S137" t="s">
        <v>1091</v>
      </c>
      <c r="T137" t="s">
        <v>39</v>
      </c>
    </row>
    <row r="138" spans="1:20" x14ac:dyDescent="0.35">
      <c r="A138" s="22" t="s">
        <v>234</v>
      </c>
      <c r="B138" cm="1">
        <f t="array" ref="B138">IF(MATCH(Table1[[#This Row],[Customer ID]], Table1[Customer ID], 0) = ROW() - ROW(Table1[#Headers]), 1, 0)</f>
        <v>0</v>
      </c>
      <c r="C138" t="s">
        <v>235</v>
      </c>
      <c r="D138" s="2">
        <v>45682</v>
      </c>
      <c r="E138">
        <v>59</v>
      </c>
      <c r="F138" t="str" cm="1">
        <f t="array" ref="F138">_xlfn.IFS( Table1[[#This Row],[Age]]&lt;18, "&lt;18", Table1[[#This Row],[Age]]&lt;= 29, "18-29", Table1[[#This Row],[Age]]&lt;= 44, "30-44",  Table1[[#This Row],[Age]]&lt;=59, "45-59", TRUE, "60+")</f>
        <v>45-59</v>
      </c>
      <c r="G138" t="s">
        <v>35</v>
      </c>
      <c r="H138" t="s">
        <v>41</v>
      </c>
      <c r="I138" t="s">
        <v>30</v>
      </c>
      <c r="J138">
        <v>3</v>
      </c>
      <c r="K138" t="s">
        <v>50</v>
      </c>
      <c r="L138" t="str" cm="1">
        <f t="array" ref="L138">_xlfn.IFS(Table1[[#This Row],[Customer Tenure in months]]&lt;=6, "0-6 months", Table1[[#This Row],[Customer Tenure in months]] &lt;=12, "7-12 months", Table1[[#This Row],[Customer Tenure in months]] &lt;=24, "1-2 years", TRUE, "2+ years")</f>
        <v>2+ years</v>
      </c>
      <c r="M138">
        <v>27</v>
      </c>
      <c r="N138" t="s">
        <v>38</v>
      </c>
      <c r="O138" s="1">
        <v>20000</v>
      </c>
      <c r="P138">
        <v>19</v>
      </c>
      <c r="Q138" s="1">
        <v>380000</v>
      </c>
      <c r="R138">
        <v>111.5</v>
      </c>
      <c r="S138" t="s">
        <v>1091</v>
      </c>
      <c r="T138" t="s">
        <v>39</v>
      </c>
    </row>
    <row r="139" spans="1:20" x14ac:dyDescent="0.35">
      <c r="A139" s="22" t="s">
        <v>236</v>
      </c>
      <c r="B139" cm="1">
        <f t="array" ref="B139">IF(MATCH(Table1[[#This Row],[Customer ID]], Table1[Customer ID], 0) = ROW() - ROW(Table1[#Headers]), 1, 0)</f>
        <v>1</v>
      </c>
      <c r="C139" t="s">
        <v>237</v>
      </c>
      <c r="D139" s="2">
        <v>45713</v>
      </c>
      <c r="E139">
        <v>31</v>
      </c>
      <c r="F139" t="str" cm="1">
        <f t="array" ref="F139">_xlfn.IFS( Table1[[#This Row],[Age]]&lt;18, "&lt;18", Table1[[#This Row],[Age]]&lt;= 29, "18-29", Table1[[#This Row],[Age]]&lt;= 44, "30-44",  Table1[[#This Row],[Age]]&lt;=59, "45-59", TRUE, "60+")</f>
        <v>30-44</v>
      </c>
      <c r="G139" t="s">
        <v>110</v>
      </c>
      <c r="H139" t="s">
        <v>36</v>
      </c>
      <c r="I139" t="s">
        <v>30</v>
      </c>
      <c r="J139">
        <v>1</v>
      </c>
      <c r="K139" t="s">
        <v>37</v>
      </c>
      <c r="L139" t="str" cm="1">
        <f t="array" ref="L139">_xlfn.IFS(Table1[[#This Row],[Customer Tenure in months]]&lt;=6, "0-6 months", Table1[[#This Row],[Customer Tenure in months]] &lt;=12, "7-12 months", Table1[[#This Row],[Customer Tenure in months]] &lt;=24, "1-2 years", TRUE, "2+ years")</f>
        <v>2+ years</v>
      </c>
      <c r="M139">
        <v>56</v>
      </c>
      <c r="N139" t="s">
        <v>71</v>
      </c>
      <c r="O139" s="1">
        <v>14500</v>
      </c>
      <c r="P139">
        <v>16</v>
      </c>
      <c r="Q139" s="1">
        <v>232000</v>
      </c>
      <c r="R139">
        <v>31.37</v>
      </c>
      <c r="S139" t="s">
        <v>1091</v>
      </c>
      <c r="T139" t="s">
        <v>39</v>
      </c>
    </row>
    <row r="140" spans="1:20" x14ac:dyDescent="0.35">
      <c r="A140" s="22" t="s">
        <v>236</v>
      </c>
      <c r="B140" cm="1">
        <f t="array" ref="B140">IF(MATCH(Table1[[#This Row],[Customer ID]], Table1[Customer ID], 0) = ROW() - ROW(Table1[#Headers]), 1, 0)</f>
        <v>0</v>
      </c>
      <c r="C140" t="s">
        <v>237</v>
      </c>
      <c r="D140" s="2">
        <v>45713</v>
      </c>
      <c r="E140">
        <v>31</v>
      </c>
      <c r="F140" t="str" cm="1">
        <f t="array" ref="F140">_xlfn.IFS( Table1[[#This Row],[Age]]&lt;18, "&lt;18", Table1[[#This Row],[Age]]&lt;= 29, "18-29", Table1[[#This Row],[Age]]&lt;= 44, "30-44",  Table1[[#This Row],[Age]]&lt;=59, "45-59", TRUE, "60+")</f>
        <v>30-44</v>
      </c>
      <c r="G140" t="s">
        <v>110</v>
      </c>
      <c r="H140" t="s">
        <v>20</v>
      </c>
      <c r="I140" t="s">
        <v>30</v>
      </c>
      <c r="J140">
        <v>1</v>
      </c>
      <c r="K140" t="s">
        <v>37</v>
      </c>
      <c r="L140" t="str" cm="1">
        <f t="array" ref="L140">_xlfn.IFS(Table1[[#This Row],[Customer Tenure in months]]&lt;=6, "0-6 months", Table1[[#This Row],[Customer Tenure in months]] &lt;=12, "7-12 months", Table1[[#This Row],[Customer Tenure in months]] &lt;=24, "1-2 years", TRUE, "2+ years")</f>
        <v>2+ years</v>
      </c>
      <c r="M140">
        <v>56</v>
      </c>
      <c r="N140" t="s">
        <v>46</v>
      </c>
      <c r="O140" s="1">
        <v>4500</v>
      </c>
      <c r="P140">
        <v>12</v>
      </c>
      <c r="Q140" s="1">
        <v>54000</v>
      </c>
      <c r="R140">
        <v>169.53</v>
      </c>
      <c r="S140" t="s">
        <v>1091</v>
      </c>
      <c r="T140" t="s">
        <v>39</v>
      </c>
    </row>
    <row r="141" spans="1:20" x14ac:dyDescent="0.35">
      <c r="A141" s="22" t="s">
        <v>236</v>
      </c>
      <c r="B141" cm="1">
        <f t="array" ref="B141">IF(MATCH(Table1[[#This Row],[Customer ID]], Table1[Customer ID], 0) = ROW() - ROW(Table1[#Headers]), 1, 0)</f>
        <v>0</v>
      </c>
      <c r="C141" t="s">
        <v>237</v>
      </c>
      <c r="D141" s="2">
        <v>45713</v>
      </c>
      <c r="E141">
        <v>31</v>
      </c>
      <c r="F141" t="str" cm="1">
        <f t="array" ref="F141">_xlfn.IFS( Table1[[#This Row],[Age]]&lt;18, "&lt;18", Table1[[#This Row],[Age]]&lt;= 29, "18-29", Table1[[#This Row],[Age]]&lt;= 44, "30-44",  Table1[[#This Row],[Age]]&lt;=59, "45-59", TRUE, "60+")</f>
        <v>30-44</v>
      </c>
      <c r="G141" t="s">
        <v>110</v>
      </c>
      <c r="H141" t="s">
        <v>41</v>
      </c>
      <c r="I141" t="s">
        <v>30</v>
      </c>
      <c r="J141">
        <v>1</v>
      </c>
      <c r="K141" t="s">
        <v>37</v>
      </c>
      <c r="L141" t="str" cm="1">
        <f t="array" ref="L141">_xlfn.IFS(Table1[[#This Row],[Customer Tenure in months]]&lt;=6, "0-6 months", Table1[[#This Row],[Customer Tenure in months]] &lt;=12, "7-12 months", Table1[[#This Row],[Customer Tenure in months]] &lt;=24, "1-2 years", TRUE, "2+ years")</f>
        <v>2+ years</v>
      </c>
      <c r="M141">
        <v>56</v>
      </c>
      <c r="N141" t="s">
        <v>62</v>
      </c>
      <c r="O141" s="1">
        <v>24000</v>
      </c>
      <c r="P141">
        <v>9</v>
      </c>
      <c r="Q141" s="1">
        <v>216000</v>
      </c>
      <c r="R141">
        <v>73.83</v>
      </c>
      <c r="S141" t="s">
        <v>1091</v>
      </c>
      <c r="T141" t="s">
        <v>39</v>
      </c>
    </row>
    <row r="142" spans="1:20" x14ac:dyDescent="0.35">
      <c r="A142" s="22" t="s">
        <v>238</v>
      </c>
      <c r="B142" cm="1">
        <f t="array" ref="B142">IF(MATCH(Table1[[#This Row],[Customer ID]], Table1[Customer ID], 0) = ROW() - ROW(Table1[#Headers]), 1, 0)</f>
        <v>1</v>
      </c>
      <c r="C142" t="s">
        <v>239</v>
      </c>
      <c r="D142" s="2">
        <v>45713</v>
      </c>
      <c r="E142">
        <v>70</v>
      </c>
      <c r="F142" t="str" cm="1">
        <f t="array" ref="F142">_xlfn.IFS( Table1[[#This Row],[Age]]&lt;18, "&lt;18", Table1[[#This Row],[Age]]&lt;= 29, "18-29", Table1[[#This Row],[Age]]&lt;= 44, "30-44",  Table1[[#This Row],[Age]]&lt;=59, "45-59", TRUE, "60+")</f>
        <v>60+</v>
      </c>
      <c r="G142" t="s">
        <v>118</v>
      </c>
      <c r="H142" t="s">
        <v>36</v>
      </c>
      <c r="I142" t="s">
        <v>30</v>
      </c>
      <c r="J142">
        <v>3</v>
      </c>
      <c r="K142" t="s">
        <v>50</v>
      </c>
      <c r="L142" t="str" cm="1">
        <f t="array" ref="L142">_xlfn.IFS(Table1[[#This Row],[Customer Tenure in months]]&lt;=6, "0-6 months", Table1[[#This Row],[Customer Tenure in months]] &lt;=12, "7-12 months", Table1[[#This Row],[Customer Tenure in months]] &lt;=24, "1-2 years", TRUE, "2+ years")</f>
        <v>0-6 months</v>
      </c>
      <c r="M142">
        <v>2</v>
      </c>
      <c r="N142" t="s">
        <v>42</v>
      </c>
      <c r="O142" s="1">
        <v>9000</v>
      </c>
      <c r="P142">
        <v>5</v>
      </c>
      <c r="Q142" s="1">
        <v>45000</v>
      </c>
      <c r="R142">
        <v>36.69</v>
      </c>
      <c r="S142" t="s">
        <v>1091</v>
      </c>
      <c r="T142" t="s">
        <v>39</v>
      </c>
    </row>
    <row r="143" spans="1:20" x14ac:dyDescent="0.35">
      <c r="A143" s="22" t="s">
        <v>238</v>
      </c>
      <c r="B143" cm="1">
        <f t="array" ref="B143">IF(MATCH(Table1[[#This Row],[Customer ID]], Table1[Customer ID], 0) = ROW() - ROW(Table1[#Headers]), 1, 0)</f>
        <v>0</v>
      </c>
      <c r="C143" t="s">
        <v>239</v>
      </c>
      <c r="D143" s="2">
        <v>45713</v>
      </c>
      <c r="E143">
        <v>70</v>
      </c>
      <c r="F143" t="str" cm="1">
        <f t="array" ref="F143">_xlfn.IFS( Table1[[#This Row],[Age]]&lt;18, "&lt;18", Table1[[#This Row],[Age]]&lt;= 29, "18-29", Table1[[#This Row],[Age]]&lt;= 44, "30-44",  Table1[[#This Row],[Age]]&lt;=59, "45-59", TRUE, "60+")</f>
        <v>60+</v>
      </c>
      <c r="G143" t="s">
        <v>118</v>
      </c>
      <c r="H143" t="s">
        <v>20</v>
      </c>
      <c r="I143" t="s">
        <v>30</v>
      </c>
      <c r="J143">
        <v>3</v>
      </c>
      <c r="K143" t="s">
        <v>50</v>
      </c>
      <c r="L143" t="str" cm="1">
        <f t="array" ref="L143">_xlfn.IFS(Table1[[#This Row],[Customer Tenure in months]]&lt;=6, "0-6 months", Table1[[#This Row],[Customer Tenure in months]] &lt;=12, "7-12 months", Table1[[#This Row],[Customer Tenure in months]] &lt;=24, "1-2 years", TRUE, "2+ years")</f>
        <v>0-6 months</v>
      </c>
      <c r="M143">
        <v>2</v>
      </c>
      <c r="N143" t="s">
        <v>23</v>
      </c>
      <c r="O143" s="1">
        <v>35000</v>
      </c>
      <c r="P143">
        <v>1</v>
      </c>
      <c r="Q143" s="1">
        <v>35000</v>
      </c>
      <c r="R143">
        <v>14.38</v>
      </c>
      <c r="S143" t="s">
        <v>1091</v>
      </c>
      <c r="T143" t="s">
        <v>39</v>
      </c>
    </row>
    <row r="144" spans="1:20" x14ac:dyDescent="0.35">
      <c r="A144" s="22" t="s">
        <v>240</v>
      </c>
      <c r="B144" cm="1">
        <f t="array" ref="B144">IF(MATCH(Table1[[#This Row],[Customer ID]], Table1[Customer ID], 0) = ROW() - ROW(Table1[#Headers]), 1, 0)</f>
        <v>1</v>
      </c>
      <c r="C144" t="s">
        <v>241</v>
      </c>
      <c r="D144" s="2">
        <v>45741</v>
      </c>
      <c r="E144">
        <v>43</v>
      </c>
      <c r="F144" t="str" cm="1">
        <f t="array" ref="F144">_xlfn.IFS( Table1[[#This Row],[Age]]&lt;18, "&lt;18", Table1[[#This Row],[Age]]&lt;= 29, "18-29", Table1[[#This Row],[Age]]&lt;= 44, "30-44",  Table1[[#This Row],[Age]]&lt;=59, "45-59", TRUE, "60+")</f>
        <v>30-44</v>
      </c>
      <c r="G144" t="s">
        <v>61</v>
      </c>
      <c r="H144" t="s">
        <v>36</v>
      </c>
      <c r="I144" t="s">
        <v>30</v>
      </c>
      <c r="J144">
        <v>2</v>
      </c>
      <c r="K144" t="s">
        <v>22</v>
      </c>
      <c r="L144" t="str" cm="1">
        <f t="array" ref="L144">_xlfn.IFS(Table1[[#This Row],[Customer Tenure in months]]&lt;=6, "0-6 months", Table1[[#This Row],[Customer Tenure in months]] &lt;=12, "7-12 months", Table1[[#This Row],[Customer Tenure in months]] &lt;=24, "1-2 years", TRUE, "2+ years")</f>
        <v>2+ years</v>
      </c>
      <c r="M144">
        <v>30</v>
      </c>
      <c r="N144" t="s">
        <v>42</v>
      </c>
      <c r="O144" s="1">
        <v>9000</v>
      </c>
      <c r="P144">
        <v>20</v>
      </c>
      <c r="Q144" s="1">
        <v>180000</v>
      </c>
      <c r="R144">
        <v>31.54</v>
      </c>
      <c r="S144" t="s">
        <v>1091</v>
      </c>
      <c r="T144" t="s">
        <v>39</v>
      </c>
    </row>
    <row r="145" spans="1:20" x14ac:dyDescent="0.35">
      <c r="A145" s="22" t="s">
        <v>240</v>
      </c>
      <c r="B145" cm="1">
        <f t="array" ref="B145">IF(MATCH(Table1[[#This Row],[Customer ID]], Table1[Customer ID], 0) = ROW() - ROW(Table1[#Headers]), 1, 0)</f>
        <v>0</v>
      </c>
      <c r="C145" t="s">
        <v>241</v>
      </c>
      <c r="D145" s="2">
        <v>45741</v>
      </c>
      <c r="E145">
        <v>43</v>
      </c>
      <c r="F145" t="str" cm="1">
        <f t="array" ref="F145">_xlfn.IFS( Table1[[#This Row],[Age]]&lt;18, "&lt;18", Table1[[#This Row],[Age]]&lt;= 29, "18-29", Table1[[#This Row],[Age]]&lt;= 44, "30-44",  Table1[[#This Row],[Age]]&lt;=59, "45-59", TRUE, "60+")</f>
        <v>30-44</v>
      </c>
      <c r="G145" t="s">
        <v>61</v>
      </c>
      <c r="H145" t="s">
        <v>29</v>
      </c>
      <c r="I145" t="s">
        <v>30</v>
      </c>
      <c r="J145">
        <v>2</v>
      </c>
      <c r="K145" t="s">
        <v>22</v>
      </c>
      <c r="L145" t="str" cm="1">
        <f t="array" ref="L145">_xlfn.IFS(Table1[[#This Row],[Customer Tenure in months]]&lt;=6, "0-6 months", Table1[[#This Row],[Customer Tenure in months]] &lt;=12, "7-12 months", Table1[[#This Row],[Customer Tenure in months]] &lt;=24, "1-2 years", TRUE, "2+ years")</f>
        <v>2+ years</v>
      </c>
      <c r="M145">
        <v>30</v>
      </c>
      <c r="N145" t="s">
        <v>102</v>
      </c>
      <c r="O145" s="1">
        <v>900</v>
      </c>
      <c r="P145">
        <v>9</v>
      </c>
      <c r="Q145" s="1">
        <v>8100</v>
      </c>
      <c r="R145">
        <v>134.96</v>
      </c>
      <c r="S145" t="s">
        <v>1091</v>
      </c>
      <c r="T145" t="s">
        <v>39</v>
      </c>
    </row>
    <row r="146" spans="1:20" x14ac:dyDescent="0.35">
      <c r="A146" s="22" t="s">
        <v>240</v>
      </c>
      <c r="B146" cm="1">
        <f t="array" ref="B146">IF(MATCH(Table1[[#This Row],[Customer ID]], Table1[Customer ID], 0) = ROW() - ROW(Table1[#Headers]), 1, 0)</f>
        <v>0</v>
      </c>
      <c r="C146" t="s">
        <v>241</v>
      </c>
      <c r="D146" s="2">
        <v>45741</v>
      </c>
      <c r="E146">
        <v>43</v>
      </c>
      <c r="F146" t="str" cm="1">
        <f t="array" ref="F146">_xlfn.IFS( Table1[[#This Row],[Age]]&lt;18, "&lt;18", Table1[[#This Row],[Age]]&lt;= 29, "18-29", Table1[[#This Row],[Age]]&lt;= 44, "30-44",  Table1[[#This Row],[Age]]&lt;=59, "45-59", TRUE, "60+")</f>
        <v>30-44</v>
      </c>
      <c r="G146" t="s">
        <v>61</v>
      </c>
      <c r="H146" t="s">
        <v>41</v>
      </c>
      <c r="I146" t="s">
        <v>30</v>
      </c>
      <c r="J146">
        <v>2</v>
      </c>
      <c r="K146" t="s">
        <v>22</v>
      </c>
      <c r="L146" t="str" cm="1">
        <f t="array" ref="L146">_xlfn.IFS(Table1[[#This Row],[Customer Tenure in months]]&lt;=6, "0-6 months", Table1[[#This Row],[Customer Tenure in months]] &lt;=12, "7-12 months", Table1[[#This Row],[Customer Tenure in months]] &lt;=24, "1-2 years", TRUE, "2+ years")</f>
        <v>2+ years</v>
      </c>
      <c r="M146">
        <v>30</v>
      </c>
      <c r="N146" t="s">
        <v>71</v>
      </c>
      <c r="O146" s="1">
        <v>14500</v>
      </c>
      <c r="P146">
        <v>16</v>
      </c>
      <c r="Q146" s="1">
        <v>232000</v>
      </c>
      <c r="R146">
        <v>132.56</v>
      </c>
      <c r="S146" t="s">
        <v>1091</v>
      </c>
      <c r="T146" t="s">
        <v>39</v>
      </c>
    </row>
    <row r="147" spans="1:20" x14ac:dyDescent="0.35">
      <c r="A147" s="22" t="s">
        <v>242</v>
      </c>
      <c r="B147" cm="1">
        <f t="array" ref="B147">IF(MATCH(Table1[[#This Row],[Customer ID]], Table1[Customer ID], 0) = ROW() - ROW(Table1[#Headers]), 1, 0)</f>
        <v>1</v>
      </c>
      <c r="C147" t="s">
        <v>243</v>
      </c>
      <c r="D147" s="2">
        <v>45682</v>
      </c>
      <c r="E147">
        <v>69</v>
      </c>
      <c r="F147" t="str" cm="1">
        <f t="array" ref="F147">_xlfn.IFS( Table1[[#This Row],[Age]]&lt;18, "&lt;18", Table1[[#This Row],[Age]]&lt;= 29, "18-29", Table1[[#This Row],[Age]]&lt;= 44, "30-44",  Table1[[#This Row],[Age]]&lt;=59, "45-59", TRUE, "60+")</f>
        <v>60+</v>
      </c>
      <c r="G147" t="s">
        <v>192</v>
      </c>
      <c r="H147" t="s">
        <v>29</v>
      </c>
      <c r="I147" t="s">
        <v>21</v>
      </c>
      <c r="J147">
        <v>3</v>
      </c>
      <c r="K147" t="s">
        <v>50</v>
      </c>
      <c r="L147" t="str" cm="1">
        <f t="array" ref="L147">_xlfn.IFS(Table1[[#This Row],[Customer Tenure in months]]&lt;=6, "0-6 months", Table1[[#This Row],[Customer Tenure in months]] &lt;=12, "7-12 months", Table1[[#This Row],[Customer Tenure in months]] &lt;=24, "1-2 years", TRUE, "2+ years")</f>
        <v>2+ years</v>
      </c>
      <c r="M147">
        <v>49</v>
      </c>
      <c r="N147" t="s">
        <v>40</v>
      </c>
      <c r="O147" s="1">
        <v>500</v>
      </c>
      <c r="P147">
        <v>13</v>
      </c>
      <c r="Q147" s="1">
        <v>6500</v>
      </c>
      <c r="R147">
        <v>9.56</v>
      </c>
      <c r="S147" t="s">
        <v>1091</v>
      </c>
      <c r="T147" t="s">
        <v>39</v>
      </c>
    </row>
    <row r="148" spans="1:20" x14ac:dyDescent="0.35">
      <c r="A148" s="22" t="s">
        <v>242</v>
      </c>
      <c r="B148" cm="1">
        <f t="array" ref="B148">IF(MATCH(Table1[[#This Row],[Customer ID]], Table1[Customer ID], 0) = ROW() - ROW(Table1[#Headers]), 1, 0)</f>
        <v>0</v>
      </c>
      <c r="C148" t="s">
        <v>243</v>
      </c>
      <c r="D148" s="2">
        <v>45682</v>
      </c>
      <c r="E148">
        <v>69</v>
      </c>
      <c r="F148" t="str" cm="1">
        <f t="array" ref="F148">_xlfn.IFS( Table1[[#This Row],[Age]]&lt;18, "&lt;18", Table1[[#This Row],[Age]]&lt;= 29, "18-29", Table1[[#This Row],[Age]]&lt;= 44, "30-44",  Table1[[#This Row],[Age]]&lt;=59, "45-59", TRUE, "60+")</f>
        <v>60+</v>
      </c>
      <c r="G148" t="s">
        <v>192</v>
      </c>
      <c r="H148" t="s">
        <v>36</v>
      </c>
      <c r="I148" t="s">
        <v>21</v>
      </c>
      <c r="J148">
        <v>3</v>
      </c>
      <c r="K148" t="s">
        <v>50</v>
      </c>
      <c r="L148" t="str" cm="1">
        <f t="array" ref="L148">_xlfn.IFS(Table1[[#This Row],[Customer Tenure in months]]&lt;=6, "0-6 months", Table1[[#This Row],[Customer Tenure in months]] &lt;=12, "7-12 months", Table1[[#This Row],[Customer Tenure in months]] &lt;=24, "1-2 years", TRUE, "2+ years")</f>
        <v>2+ years</v>
      </c>
      <c r="M148">
        <v>49</v>
      </c>
      <c r="N148" t="s">
        <v>42</v>
      </c>
      <c r="O148" s="1">
        <v>9000</v>
      </c>
      <c r="P148">
        <v>10</v>
      </c>
      <c r="Q148" s="1">
        <v>90000</v>
      </c>
      <c r="R148">
        <v>2.0299999999999998</v>
      </c>
      <c r="S148" t="s">
        <v>1091</v>
      </c>
      <c r="T148" t="s">
        <v>39</v>
      </c>
    </row>
    <row r="149" spans="1:20" x14ac:dyDescent="0.35">
      <c r="A149" s="22" t="s">
        <v>244</v>
      </c>
      <c r="B149" cm="1">
        <f t="array" ref="B149">IF(MATCH(Table1[[#This Row],[Customer ID]], Table1[Customer ID], 0) = ROW() - ROW(Table1[#Headers]), 1, 0)</f>
        <v>1</v>
      </c>
      <c r="C149" t="s">
        <v>245</v>
      </c>
      <c r="D149" s="2">
        <v>45682</v>
      </c>
      <c r="E149">
        <v>33</v>
      </c>
      <c r="F149" t="str" cm="1">
        <f t="array" ref="F149">_xlfn.IFS( Table1[[#This Row],[Age]]&lt;18, "&lt;18", Table1[[#This Row],[Age]]&lt;= 29, "18-29", Table1[[#This Row],[Age]]&lt;= 44, "30-44",  Table1[[#This Row],[Age]]&lt;=59, "45-59", TRUE, "60+")</f>
        <v>30-44</v>
      </c>
      <c r="G149" t="s">
        <v>143</v>
      </c>
      <c r="H149" t="s">
        <v>29</v>
      </c>
      <c r="I149" t="s">
        <v>30</v>
      </c>
      <c r="J149">
        <v>1</v>
      </c>
      <c r="K149" t="s">
        <v>37</v>
      </c>
      <c r="L149" t="str" cm="1">
        <f t="array" ref="L149">_xlfn.IFS(Table1[[#This Row],[Customer Tenure in months]]&lt;=6, "0-6 months", Table1[[#This Row],[Customer Tenure in months]] &lt;=12, "7-12 months", Table1[[#This Row],[Customer Tenure in months]] &lt;=24, "1-2 years", TRUE, "2+ years")</f>
        <v>1-2 years</v>
      </c>
      <c r="M149">
        <v>21</v>
      </c>
      <c r="N149" t="s">
        <v>23</v>
      </c>
      <c r="O149" s="1">
        <v>35000</v>
      </c>
      <c r="P149">
        <v>8</v>
      </c>
      <c r="Q149" s="1">
        <v>280000</v>
      </c>
      <c r="R149">
        <v>106.75</v>
      </c>
      <c r="S149" t="s">
        <v>1091</v>
      </c>
      <c r="T149" t="s">
        <v>39</v>
      </c>
    </row>
    <row r="150" spans="1:20" x14ac:dyDescent="0.35">
      <c r="A150" s="22" t="s">
        <v>244</v>
      </c>
      <c r="B150" cm="1">
        <f t="array" ref="B150">IF(MATCH(Table1[[#This Row],[Customer ID]], Table1[Customer ID], 0) = ROW() - ROW(Table1[#Headers]), 1, 0)</f>
        <v>0</v>
      </c>
      <c r="C150" t="s">
        <v>245</v>
      </c>
      <c r="D150" s="2">
        <v>45682</v>
      </c>
      <c r="E150">
        <v>33</v>
      </c>
      <c r="F150" t="str" cm="1">
        <f t="array" ref="F150">_xlfn.IFS( Table1[[#This Row],[Age]]&lt;18, "&lt;18", Table1[[#This Row],[Age]]&lt;= 29, "18-29", Table1[[#This Row],[Age]]&lt;= 44, "30-44",  Table1[[#This Row],[Age]]&lt;=59, "45-59", TRUE, "60+")</f>
        <v>30-44</v>
      </c>
      <c r="G150" t="s">
        <v>143</v>
      </c>
      <c r="H150" t="s">
        <v>41</v>
      </c>
      <c r="I150" t="s">
        <v>30</v>
      </c>
      <c r="J150">
        <v>1</v>
      </c>
      <c r="K150" t="s">
        <v>37</v>
      </c>
      <c r="L150" t="str" cm="1">
        <f t="array" ref="L150">_xlfn.IFS(Table1[[#This Row],[Customer Tenure in months]]&lt;=6, "0-6 months", Table1[[#This Row],[Customer Tenure in months]] &lt;=12, "7-12 months", Table1[[#This Row],[Customer Tenure in months]] &lt;=24, "1-2 years", TRUE, "2+ years")</f>
        <v>1-2 years</v>
      </c>
      <c r="M150">
        <v>21</v>
      </c>
      <c r="N150" t="s">
        <v>62</v>
      </c>
      <c r="O150" s="1">
        <v>24000</v>
      </c>
      <c r="P150">
        <v>12</v>
      </c>
      <c r="Q150" s="1">
        <v>288000</v>
      </c>
      <c r="R150">
        <v>111.97</v>
      </c>
      <c r="S150" t="s">
        <v>1091</v>
      </c>
      <c r="T150" t="s">
        <v>39</v>
      </c>
    </row>
    <row r="151" spans="1:20" x14ac:dyDescent="0.35">
      <c r="A151" s="22" t="s">
        <v>246</v>
      </c>
      <c r="B151" cm="1">
        <f t="array" ref="B151">IF(MATCH(Table1[[#This Row],[Customer ID]], Table1[Customer ID], 0) = ROW() - ROW(Table1[#Headers]), 1, 0)</f>
        <v>1</v>
      </c>
      <c r="C151" t="s">
        <v>247</v>
      </c>
      <c r="D151" s="2">
        <v>45713</v>
      </c>
      <c r="E151">
        <v>66</v>
      </c>
      <c r="F151" t="str" cm="1">
        <f t="array" ref="F151">_xlfn.IFS( Table1[[#This Row],[Age]]&lt;18, "&lt;18", Table1[[#This Row],[Age]]&lt;= 29, "18-29", Table1[[#This Row],[Age]]&lt;= 44, "30-44",  Table1[[#This Row],[Age]]&lt;=59, "45-59", TRUE, "60+")</f>
        <v>60+</v>
      </c>
      <c r="G151" t="s">
        <v>128</v>
      </c>
      <c r="H151" t="s">
        <v>29</v>
      </c>
      <c r="I151" t="s">
        <v>30</v>
      </c>
      <c r="J151">
        <v>1</v>
      </c>
      <c r="K151" t="s">
        <v>37</v>
      </c>
      <c r="L151" t="str" cm="1">
        <f t="array" ref="L151">_xlfn.IFS(Table1[[#This Row],[Customer Tenure in months]]&lt;=6, "0-6 months", Table1[[#This Row],[Customer Tenure in months]] &lt;=12, "7-12 months", Table1[[#This Row],[Customer Tenure in months]] &lt;=24, "1-2 years", TRUE, "2+ years")</f>
        <v>0-6 months</v>
      </c>
      <c r="M151">
        <v>2</v>
      </c>
      <c r="N151" t="s">
        <v>87</v>
      </c>
      <c r="O151" s="1">
        <v>7500</v>
      </c>
      <c r="P151">
        <v>13</v>
      </c>
      <c r="Q151" s="1">
        <v>97500</v>
      </c>
      <c r="R151">
        <v>58.26</v>
      </c>
      <c r="S151" t="s">
        <v>1091</v>
      </c>
      <c r="T151" t="s">
        <v>39</v>
      </c>
    </row>
    <row r="152" spans="1:20" x14ac:dyDescent="0.35">
      <c r="A152" s="22" t="s">
        <v>246</v>
      </c>
      <c r="B152" cm="1">
        <f t="array" ref="B152">IF(MATCH(Table1[[#This Row],[Customer ID]], Table1[Customer ID], 0) = ROW() - ROW(Table1[#Headers]), 1, 0)</f>
        <v>0</v>
      </c>
      <c r="C152" t="s">
        <v>247</v>
      </c>
      <c r="D152" s="2">
        <v>45713</v>
      </c>
      <c r="E152">
        <v>66</v>
      </c>
      <c r="F152" t="str" cm="1">
        <f t="array" ref="F152">_xlfn.IFS( Table1[[#This Row],[Age]]&lt;18, "&lt;18", Table1[[#This Row],[Age]]&lt;= 29, "18-29", Table1[[#This Row],[Age]]&lt;= 44, "30-44",  Table1[[#This Row],[Age]]&lt;=59, "45-59", TRUE, "60+")</f>
        <v>60+</v>
      </c>
      <c r="G152" t="s">
        <v>128</v>
      </c>
      <c r="H152" t="s">
        <v>36</v>
      </c>
      <c r="I152" t="s">
        <v>30</v>
      </c>
      <c r="J152">
        <v>1</v>
      </c>
      <c r="K152" t="s">
        <v>37</v>
      </c>
      <c r="L152" t="str" cm="1">
        <f t="array" ref="L152">_xlfn.IFS(Table1[[#This Row],[Customer Tenure in months]]&lt;=6, "0-6 months", Table1[[#This Row],[Customer Tenure in months]] &lt;=12, "7-12 months", Table1[[#This Row],[Customer Tenure in months]] &lt;=24, "1-2 years", TRUE, "2+ years")</f>
        <v>0-6 months</v>
      </c>
      <c r="M152">
        <v>2</v>
      </c>
      <c r="N152" t="s">
        <v>42</v>
      </c>
      <c r="O152" s="1">
        <v>9000</v>
      </c>
      <c r="P152">
        <v>6</v>
      </c>
      <c r="Q152" s="1">
        <v>54000</v>
      </c>
      <c r="R152">
        <v>193.26</v>
      </c>
      <c r="S152" t="s">
        <v>1091</v>
      </c>
      <c r="T152" t="s">
        <v>39</v>
      </c>
    </row>
    <row r="153" spans="1:20" x14ac:dyDescent="0.35">
      <c r="A153" s="22" t="s">
        <v>246</v>
      </c>
      <c r="B153" cm="1">
        <f t="array" ref="B153">IF(MATCH(Table1[[#This Row],[Customer ID]], Table1[Customer ID], 0) = ROW() - ROW(Table1[#Headers]), 1, 0)</f>
        <v>0</v>
      </c>
      <c r="C153" t="s">
        <v>247</v>
      </c>
      <c r="D153" s="2">
        <v>45713</v>
      </c>
      <c r="E153">
        <v>66</v>
      </c>
      <c r="F153" t="str" cm="1">
        <f t="array" ref="F153">_xlfn.IFS( Table1[[#This Row],[Age]]&lt;18, "&lt;18", Table1[[#This Row],[Age]]&lt;= 29, "18-29", Table1[[#This Row],[Age]]&lt;= 44, "30-44",  Table1[[#This Row],[Age]]&lt;=59, "45-59", TRUE, "60+")</f>
        <v>60+</v>
      </c>
      <c r="G153" t="s">
        <v>128</v>
      </c>
      <c r="H153" t="s">
        <v>20</v>
      </c>
      <c r="I153" t="s">
        <v>30</v>
      </c>
      <c r="J153">
        <v>1</v>
      </c>
      <c r="K153" t="s">
        <v>37</v>
      </c>
      <c r="L153" t="str" cm="1">
        <f t="array" ref="L153">_xlfn.IFS(Table1[[#This Row],[Customer Tenure in months]]&lt;=6, "0-6 months", Table1[[#This Row],[Customer Tenure in months]] &lt;=12, "7-12 months", Table1[[#This Row],[Customer Tenure in months]] &lt;=24, "1-2 years", TRUE, "2+ years")</f>
        <v>0-6 months</v>
      </c>
      <c r="M153">
        <v>2</v>
      </c>
      <c r="N153" t="s">
        <v>23</v>
      </c>
      <c r="O153" s="1">
        <v>35000</v>
      </c>
      <c r="P153">
        <v>12</v>
      </c>
      <c r="Q153" s="1">
        <v>420000</v>
      </c>
      <c r="R153">
        <v>166.49</v>
      </c>
      <c r="S153" t="s">
        <v>1091</v>
      </c>
      <c r="T153" t="s">
        <v>39</v>
      </c>
    </row>
    <row r="154" spans="1:20" x14ac:dyDescent="0.35">
      <c r="A154" s="22" t="s">
        <v>248</v>
      </c>
      <c r="B154" cm="1">
        <f t="array" ref="B154">IF(MATCH(Table1[[#This Row],[Customer ID]], Table1[Customer ID], 0) = ROW() - ROW(Table1[#Headers]), 1, 0)</f>
        <v>1</v>
      </c>
      <c r="C154" t="s">
        <v>249</v>
      </c>
      <c r="D154" s="2">
        <v>45713</v>
      </c>
      <c r="E154">
        <v>71</v>
      </c>
      <c r="F154" t="str" cm="1">
        <f t="array" ref="F154">_xlfn.IFS( Table1[[#This Row],[Age]]&lt;18, "&lt;18", Table1[[#This Row],[Age]]&lt;= 29, "18-29", Table1[[#This Row],[Age]]&lt;= 44, "30-44",  Table1[[#This Row],[Age]]&lt;=59, "45-59", TRUE, "60+")</f>
        <v>60+</v>
      </c>
      <c r="G154" t="s">
        <v>95</v>
      </c>
      <c r="H154" t="s">
        <v>36</v>
      </c>
      <c r="I154" t="s">
        <v>21</v>
      </c>
      <c r="J154">
        <v>5</v>
      </c>
      <c r="K154" t="s">
        <v>55</v>
      </c>
      <c r="L154" t="str" cm="1">
        <f t="array" ref="L154">_xlfn.IFS(Table1[[#This Row],[Customer Tenure in months]]&lt;=6, "0-6 months", Table1[[#This Row],[Customer Tenure in months]] &lt;=12, "7-12 months", Table1[[#This Row],[Customer Tenure in months]] &lt;=24, "1-2 years", TRUE, "2+ years")</f>
        <v>2+ years</v>
      </c>
      <c r="M154">
        <v>28</v>
      </c>
      <c r="N154" t="s">
        <v>115</v>
      </c>
      <c r="O154" s="1">
        <v>25000</v>
      </c>
      <c r="P154">
        <v>3</v>
      </c>
      <c r="Q154" s="1">
        <v>75000</v>
      </c>
      <c r="R154">
        <v>155.93</v>
      </c>
      <c r="S154" t="s">
        <v>32</v>
      </c>
      <c r="T154" t="s">
        <v>24</v>
      </c>
    </row>
    <row r="155" spans="1:20" x14ac:dyDescent="0.35">
      <c r="A155" s="22" t="s">
        <v>248</v>
      </c>
      <c r="B155" cm="1">
        <f t="array" ref="B155">IF(MATCH(Table1[[#This Row],[Customer ID]], Table1[Customer ID], 0) = ROW() - ROW(Table1[#Headers]), 1, 0)</f>
        <v>0</v>
      </c>
      <c r="C155" t="s">
        <v>249</v>
      </c>
      <c r="D155" s="2">
        <v>45713</v>
      </c>
      <c r="E155">
        <v>71</v>
      </c>
      <c r="F155" t="str" cm="1">
        <f t="array" ref="F155">_xlfn.IFS( Table1[[#This Row],[Age]]&lt;18, "&lt;18", Table1[[#This Row],[Age]]&lt;= 29, "18-29", Table1[[#This Row],[Age]]&lt;= 44, "30-44",  Table1[[#This Row],[Age]]&lt;=59, "45-59", TRUE, "60+")</f>
        <v>60+</v>
      </c>
      <c r="G155" t="s">
        <v>95</v>
      </c>
      <c r="H155" t="s">
        <v>41</v>
      </c>
      <c r="I155" t="s">
        <v>21</v>
      </c>
      <c r="J155">
        <v>5</v>
      </c>
      <c r="K155" t="s">
        <v>55</v>
      </c>
      <c r="L155" t="str" cm="1">
        <f t="array" ref="L155">_xlfn.IFS(Table1[[#This Row],[Customer Tenure in months]]&lt;=6, "0-6 months", Table1[[#This Row],[Customer Tenure in months]] &lt;=12, "7-12 months", Table1[[#This Row],[Customer Tenure in months]] &lt;=24, "1-2 years", TRUE, "2+ years")</f>
        <v>2+ years</v>
      </c>
      <c r="M155">
        <v>28</v>
      </c>
      <c r="N155" t="s">
        <v>62</v>
      </c>
      <c r="O155" s="1">
        <v>24000</v>
      </c>
      <c r="P155">
        <v>17</v>
      </c>
      <c r="Q155" s="1">
        <v>408000</v>
      </c>
      <c r="R155">
        <v>126.83</v>
      </c>
      <c r="S155" t="s">
        <v>32</v>
      </c>
      <c r="T155" t="s">
        <v>24</v>
      </c>
    </row>
    <row r="156" spans="1:20" x14ac:dyDescent="0.35">
      <c r="A156" s="22" t="s">
        <v>250</v>
      </c>
      <c r="B156" cm="1">
        <f t="array" ref="B156">IF(MATCH(Table1[[#This Row],[Customer ID]], Table1[Customer ID], 0) = ROW() - ROW(Table1[#Headers]), 1, 0)</f>
        <v>1</v>
      </c>
      <c r="C156" t="s">
        <v>251</v>
      </c>
      <c r="D156" s="2">
        <v>45713</v>
      </c>
      <c r="E156">
        <v>40</v>
      </c>
      <c r="F156" t="str" cm="1">
        <f t="array" ref="F156">_xlfn.IFS( Table1[[#This Row],[Age]]&lt;18, "&lt;18", Table1[[#This Row],[Age]]&lt;= 29, "18-29", Table1[[#This Row],[Age]]&lt;= 44, "30-44",  Table1[[#This Row],[Age]]&lt;=59, "45-59", TRUE, "60+")</f>
        <v>30-44</v>
      </c>
      <c r="G156" t="s">
        <v>152</v>
      </c>
      <c r="H156" t="s">
        <v>20</v>
      </c>
      <c r="I156" t="s">
        <v>30</v>
      </c>
      <c r="J156">
        <v>2</v>
      </c>
      <c r="K156" t="s">
        <v>22</v>
      </c>
      <c r="L156" t="str" cm="1">
        <f t="array" ref="L156">_xlfn.IFS(Table1[[#This Row],[Customer Tenure in months]]&lt;=6, "0-6 months", Table1[[#This Row],[Customer Tenure in months]] &lt;=12, "7-12 months", Table1[[#This Row],[Customer Tenure in months]] &lt;=24, "1-2 years", TRUE, "2+ years")</f>
        <v>2+ years</v>
      </c>
      <c r="M156">
        <v>47</v>
      </c>
      <c r="N156" t="s">
        <v>46</v>
      </c>
      <c r="O156" s="1">
        <v>4500</v>
      </c>
      <c r="P156">
        <v>3</v>
      </c>
      <c r="Q156" s="1">
        <v>13500</v>
      </c>
      <c r="R156">
        <v>152.16</v>
      </c>
      <c r="S156" t="s">
        <v>96</v>
      </c>
      <c r="T156" t="s">
        <v>24</v>
      </c>
    </row>
    <row r="157" spans="1:20" x14ac:dyDescent="0.35">
      <c r="A157" s="22" t="s">
        <v>252</v>
      </c>
      <c r="B157" cm="1">
        <f t="array" ref="B157">IF(MATCH(Table1[[#This Row],[Customer ID]], Table1[Customer ID], 0) = ROW() - ROW(Table1[#Headers]), 1, 0)</f>
        <v>1</v>
      </c>
      <c r="C157" t="s">
        <v>253</v>
      </c>
      <c r="D157" s="2">
        <v>45741</v>
      </c>
      <c r="E157">
        <v>79</v>
      </c>
      <c r="F157" t="str" cm="1">
        <f t="array" ref="F157">_xlfn.IFS( Table1[[#This Row],[Age]]&lt;18, "&lt;18", Table1[[#This Row],[Age]]&lt;= 29, "18-29", Table1[[#This Row],[Age]]&lt;= 44, "30-44",  Table1[[#This Row],[Age]]&lt;=59, "45-59", TRUE, "60+")</f>
        <v>60+</v>
      </c>
      <c r="G157" t="s">
        <v>35</v>
      </c>
      <c r="H157" t="s">
        <v>29</v>
      </c>
      <c r="I157" t="s">
        <v>30</v>
      </c>
      <c r="J157">
        <v>3</v>
      </c>
      <c r="K157" t="s">
        <v>50</v>
      </c>
      <c r="L157" t="str" cm="1">
        <f t="array" ref="L157">_xlfn.IFS(Table1[[#This Row],[Customer Tenure in months]]&lt;=6, "0-6 months", Table1[[#This Row],[Customer Tenure in months]] &lt;=12, "7-12 months", Table1[[#This Row],[Customer Tenure in months]] &lt;=24, "1-2 years", TRUE, "2+ years")</f>
        <v>2+ years</v>
      </c>
      <c r="M157">
        <v>44</v>
      </c>
      <c r="N157" t="s">
        <v>40</v>
      </c>
      <c r="O157" s="1">
        <v>500</v>
      </c>
      <c r="P157">
        <v>19</v>
      </c>
      <c r="Q157" s="1">
        <v>9500</v>
      </c>
      <c r="R157">
        <v>159.37</v>
      </c>
      <c r="S157" t="s">
        <v>76</v>
      </c>
      <c r="T157" t="s">
        <v>24</v>
      </c>
    </row>
    <row r="158" spans="1:20" x14ac:dyDescent="0.35">
      <c r="A158" s="22" t="s">
        <v>252</v>
      </c>
      <c r="B158" cm="1">
        <f t="array" ref="B158">IF(MATCH(Table1[[#This Row],[Customer ID]], Table1[Customer ID], 0) = ROW() - ROW(Table1[#Headers]), 1, 0)</f>
        <v>0</v>
      </c>
      <c r="C158" t="s">
        <v>253</v>
      </c>
      <c r="D158" s="2">
        <v>45741</v>
      </c>
      <c r="E158">
        <v>79</v>
      </c>
      <c r="F158" t="str" cm="1">
        <f t="array" ref="F158">_xlfn.IFS( Table1[[#This Row],[Age]]&lt;18, "&lt;18", Table1[[#This Row],[Age]]&lt;= 29, "18-29", Table1[[#This Row],[Age]]&lt;= 44, "30-44",  Table1[[#This Row],[Age]]&lt;=59, "45-59", TRUE, "60+")</f>
        <v>60+</v>
      </c>
      <c r="G158" t="s">
        <v>35</v>
      </c>
      <c r="H158" t="s">
        <v>36</v>
      </c>
      <c r="I158" t="s">
        <v>30</v>
      </c>
      <c r="J158">
        <v>3</v>
      </c>
      <c r="K158" t="s">
        <v>50</v>
      </c>
      <c r="L158" t="str" cm="1">
        <f t="array" ref="L158">_xlfn.IFS(Table1[[#This Row],[Customer Tenure in months]]&lt;=6, "0-6 months", Table1[[#This Row],[Customer Tenure in months]] &lt;=12, "7-12 months", Table1[[#This Row],[Customer Tenure in months]] &lt;=24, "1-2 years", TRUE, "2+ years")</f>
        <v>2+ years</v>
      </c>
      <c r="M158">
        <v>44</v>
      </c>
      <c r="N158" t="s">
        <v>42</v>
      </c>
      <c r="O158" s="1">
        <v>9000</v>
      </c>
      <c r="P158">
        <v>3</v>
      </c>
      <c r="Q158" s="1">
        <v>27000</v>
      </c>
      <c r="R158">
        <v>70.709999999999994</v>
      </c>
      <c r="S158" t="s">
        <v>76</v>
      </c>
      <c r="T158" t="s">
        <v>24</v>
      </c>
    </row>
    <row r="159" spans="1:20" x14ac:dyDescent="0.35">
      <c r="A159" s="22" t="s">
        <v>254</v>
      </c>
      <c r="B159" cm="1">
        <f t="array" ref="B159">IF(MATCH(Table1[[#This Row],[Customer ID]], Table1[Customer ID], 0) = ROW() - ROW(Table1[#Headers]), 1, 0)</f>
        <v>1</v>
      </c>
      <c r="C159" t="s">
        <v>255</v>
      </c>
      <c r="D159" s="2">
        <v>45741</v>
      </c>
      <c r="E159">
        <v>75</v>
      </c>
      <c r="F159" t="str" cm="1">
        <f t="array" ref="F159">_xlfn.IFS( Table1[[#This Row],[Age]]&lt;18, "&lt;18", Table1[[#This Row],[Age]]&lt;= 29, "18-29", Table1[[#This Row],[Age]]&lt;= 44, "30-44",  Table1[[#This Row],[Age]]&lt;=59, "45-59", TRUE, "60+")</f>
        <v>60+</v>
      </c>
      <c r="G159" t="s">
        <v>198</v>
      </c>
      <c r="H159" t="s">
        <v>29</v>
      </c>
      <c r="I159" t="s">
        <v>21</v>
      </c>
      <c r="J159">
        <v>3</v>
      </c>
      <c r="K159" t="s">
        <v>50</v>
      </c>
      <c r="L159" t="str" cm="1">
        <f t="array" ref="L159">_xlfn.IFS(Table1[[#This Row],[Customer Tenure in months]]&lt;=6, "0-6 months", Table1[[#This Row],[Customer Tenure in months]] &lt;=12, "7-12 months", Table1[[#This Row],[Customer Tenure in months]] &lt;=24, "1-2 years", TRUE, "2+ years")</f>
        <v>0-6 months</v>
      </c>
      <c r="M159">
        <v>4</v>
      </c>
      <c r="N159" t="s">
        <v>31</v>
      </c>
      <c r="O159" s="1">
        <v>5500</v>
      </c>
      <c r="P159">
        <v>2</v>
      </c>
      <c r="Q159" s="1">
        <v>11000</v>
      </c>
      <c r="R159">
        <v>116.28</v>
      </c>
      <c r="S159" t="s">
        <v>32</v>
      </c>
      <c r="T159" t="s">
        <v>24</v>
      </c>
    </row>
    <row r="160" spans="1:20" x14ac:dyDescent="0.35">
      <c r="A160" s="22" t="s">
        <v>256</v>
      </c>
      <c r="B160" cm="1">
        <f t="array" ref="B160">IF(MATCH(Table1[[#This Row],[Customer ID]], Table1[Customer ID], 0) = ROW() - ROW(Table1[#Headers]), 1, 0)</f>
        <v>1</v>
      </c>
      <c r="C160" t="s">
        <v>257</v>
      </c>
      <c r="D160" s="2">
        <v>45713</v>
      </c>
      <c r="E160">
        <v>40</v>
      </c>
      <c r="F160" t="str" cm="1">
        <f t="array" ref="F160">_xlfn.IFS( Table1[[#This Row],[Age]]&lt;18, "&lt;18", Table1[[#This Row],[Age]]&lt;= 29, "18-29", Table1[[#This Row],[Age]]&lt;= 44, "30-44",  Table1[[#This Row],[Age]]&lt;=59, "45-59", TRUE, "60+")</f>
        <v>30-44</v>
      </c>
      <c r="G160" t="s">
        <v>258</v>
      </c>
      <c r="H160" t="s">
        <v>41</v>
      </c>
      <c r="I160" t="s">
        <v>30</v>
      </c>
      <c r="J160">
        <v>1</v>
      </c>
      <c r="K160" t="s">
        <v>37</v>
      </c>
      <c r="L160" t="str" cm="1">
        <f t="array" ref="L160">_xlfn.IFS(Table1[[#This Row],[Customer Tenure in months]]&lt;=6, "0-6 months", Table1[[#This Row],[Customer Tenure in months]] &lt;=12, "7-12 months", Table1[[#This Row],[Customer Tenure in months]] &lt;=24, "1-2 years", TRUE, "2+ years")</f>
        <v>2+ years</v>
      </c>
      <c r="M160">
        <v>33</v>
      </c>
      <c r="N160" t="s">
        <v>38</v>
      </c>
      <c r="O160" s="1">
        <v>20000</v>
      </c>
      <c r="P160">
        <v>15</v>
      </c>
      <c r="Q160" s="1">
        <v>300000</v>
      </c>
      <c r="R160">
        <v>8.31</v>
      </c>
      <c r="S160" t="s">
        <v>1091</v>
      </c>
      <c r="T160" t="s">
        <v>39</v>
      </c>
    </row>
    <row r="161" spans="1:20" x14ac:dyDescent="0.35">
      <c r="A161" s="22" t="s">
        <v>256</v>
      </c>
      <c r="B161" cm="1">
        <f t="array" ref="B161">IF(MATCH(Table1[[#This Row],[Customer ID]], Table1[Customer ID], 0) = ROW() - ROW(Table1[#Headers]), 1, 0)</f>
        <v>0</v>
      </c>
      <c r="C161" t="s">
        <v>257</v>
      </c>
      <c r="D161" s="2">
        <v>45713</v>
      </c>
      <c r="E161">
        <v>40</v>
      </c>
      <c r="F161" t="str" cm="1">
        <f t="array" ref="F161">_xlfn.IFS( Table1[[#This Row],[Age]]&lt;18, "&lt;18", Table1[[#This Row],[Age]]&lt;= 29, "18-29", Table1[[#This Row],[Age]]&lt;= 44, "30-44",  Table1[[#This Row],[Age]]&lt;=59, "45-59", TRUE, "60+")</f>
        <v>30-44</v>
      </c>
      <c r="G161" t="s">
        <v>258</v>
      </c>
      <c r="H161" t="s">
        <v>36</v>
      </c>
      <c r="I161" t="s">
        <v>30</v>
      </c>
      <c r="J161">
        <v>1</v>
      </c>
      <c r="K161" t="s">
        <v>37</v>
      </c>
      <c r="L161" t="str" cm="1">
        <f t="array" ref="L161">_xlfn.IFS(Table1[[#This Row],[Customer Tenure in months]]&lt;=6, "0-6 months", Table1[[#This Row],[Customer Tenure in months]] &lt;=12, "7-12 months", Table1[[#This Row],[Customer Tenure in months]] &lt;=24, "1-2 years", TRUE, "2+ years")</f>
        <v>2+ years</v>
      </c>
      <c r="M161">
        <v>33</v>
      </c>
      <c r="N161" t="s">
        <v>57</v>
      </c>
      <c r="O161" s="1">
        <v>150000</v>
      </c>
      <c r="P161">
        <v>20</v>
      </c>
      <c r="Q161" s="1">
        <v>3000000</v>
      </c>
      <c r="R161">
        <v>105.05</v>
      </c>
      <c r="S161" t="s">
        <v>1091</v>
      </c>
      <c r="T161" t="s">
        <v>39</v>
      </c>
    </row>
    <row r="162" spans="1:20" x14ac:dyDescent="0.35">
      <c r="A162" s="22" t="s">
        <v>259</v>
      </c>
      <c r="B162" cm="1">
        <f t="array" ref="B162">IF(MATCH(Table1[[#This Row],[Customer ID]], Table1[Customer ID], 0) = ROW() - ROW(Table1[#Headers]), 1, 0)</f>
        <v>1</v>
      </c>
      <c r="C162" t="s">
        <v>260</v>
      </c>
      <c r="D162" s="2">
        <v>45713</v>
      </c>
      <c r="E162">
        <v>62</v>
      </c>
      <c r="F162" t="str" cm="1">
        <f t="array" ref="F162">_xlfn.IFS( Table1[[#This Row],[Age]]&lt;18, "&lt;18", Table1[[#This Row],[Age]]&lt;= 29, "18-29", Table1[[#This Row],[Age]]&lt;= 44, "30-44",  Table1[[#This Row],[Age]]&lt;=59, "45-59", TRUE, "60+")</f>
        <v>60+</v>
      </c>
      <c r="G162" t="s">
        <v>45</v>
      </c>
      <c r="H162" t="s">
        <v>36</v>
      </c>
      <c r="I162" t="s">
        <v>30</v>
      </c>
      <c r="J162">
        <v>3</v>
      </c>
      <c r="K162" t="s">
        <v>50</v>
      </c>
      <c r="L162" t="str" cm="1">
        <f t="array" ref="L162">_xlfn.IFS(Table1[[#This Row],[Customer Tenure in months]]&lt;=6, "0-6 months", Table1[[#This Row],[Customer Tenure in months]] &lt;=12, "7-12 months", Table1[[#This Row],[Customer Tenure in months]] &lt;=24, "1-2 years", TRUE, "2+ years")</f>
        <v>2+ years</v>
      </c>
      <c r="M162">
        <v>25</v>
      </c>
      <c r="N162" t="s">
        <v>38</v>
      </c>
      <c r="O162" s="1">
        <v>20000</v>
      </c>
      <c r="P162">
        <v>18</v>
      </c>
      <c r="Q162" s="1">
        <v>360000</v>
      </c>
      <c r="R162">
        <v>66.27</v>
      </c>
      <c r="S162" t="s">
        <v>1091</v>
      </c>
      <c r="T162" t="s">
        <v>39</v>
      </c>
    </row>
    <row r="163" spans="1:20" x14ac:dyDescent="0.35">
      <c r="A163" s="22" t="s">
        <v>261</v>
      </c>
      <c r="B163" cm="1">
        <f t="array" ref="B163">IF(MATCH(Table1[[#This Row],[Customer ID]], Table1[Customer ID], 0) = ROW() - ROW(Table1[#Headers]), 1, 0)</f>
        <v>1</v>
      </c>
      <c r="C163" t="s">
        <v>262</v>
      </c>
      <c r="D163" s="2">
        <v>45682</v>
      </c>
      <c r="E163">
        <v>52</v>
      </c>
      <c r="F163" t="str" cm="1">
        <f t="array" ref="F163">_xlfn.IFS( Table1[[#This Row],[Age]]&lt;18, "&lt;18", Table1[[#This Row],[Age]]&lt;= 29, "18-29", Table1[[#This Row],[Age]]&lt;= 44, "30-44",  Table1[[#This Row],[Age]]&lt;=59, "45-59", TRUE, "60+")</f>
        <v>45-59</v>
      </c>
      <c r="G163" t="s">
        <v>143</v>
      </c>
      <c r="H163" t="s">
        <v>36</v>
      </c>
      <c r="I163" t="s">
        <v>21</v>
      </c>
      <c r="J163">
        <v>5</v>
      </c>
      <c r="K163" t="s">
        <v>55</v>
      </c>
      <c r="L163" t="str" cm="1">
        <f t="array" ref="L163">_xlfn.IFS(Table1[[#This Row],[Customer Tenure in months]]&lt;=6, "0-6 months", Table1[[#This Row],[Customer Tenure in months]] &lt;=12, "7-12 months", Table1[[#This Row],[Customer Tenure in months]] &lt;=24, "1-2 years", TRUE, "2+ years")</f>
        <v>1-2 years</v>
      </c>
      <c r="M163">
        <v>22</v>
      </c>
      <c r="N163" t="s">
        <v>105</v>
      </c>
      <c r="O163" s="1">
        <v>75000</v>
      </c>
      <c r="P163">
        <v>3</v>
      </c>
      <c r="Q163" s="1">
        <v>225000</v>
      </c>
      <c r="R163">
        <v>26.23</v>
      </c>
      <c r="S163" t="s">
        <v>1091</v>
      </c>
      <c r="T163" t="s">
        <v>39</v>
      </c>
    </row>
    <row r="164" spans="1:20" x14ac:dyDescent="0.35">
      <c r="A164" s="22" t="s">
        <v>261</v>
      </c>
      <c r="B164" cm="1">
        <f t="array" ref="B164">IF(MATCH(Table1[[#This Row],[Customer ID]], Table1[Customer ID], 0) = ROW() - ROW(Table1[#Headers]), 1, 0)</f>
        <v>0</v>
      </c>
      <c r="C164" t="s">
        <v>262</v>
      </c>
      <c r="D164" s="2">
        <v>45682</v>
      </c>
      <c r="E164">
        <v>52</v>
      </c>
      <c r="F164" t="str" cm="1">
        <f t="array" ref="F164">_xlfn.IFS( Table1[[#This Row],[Age]]&lt;18, "&lt;18", Table1[[#This Row],[Age]]&lt;= 29, "18-29", Table1[[#This Row],[Age]]&lt;= 44, "30-44",  Table1[[#This Row],[Age]]&lt;=59, "45-59", TRUE, "60+")</f>
        <v>45-59</v>
      </c>
      <c r="G164" t="s">
        <v>143</v>
      </c>
      <c r="H164" t="s">
        <v>29</v>
      </c>
      <c r="I164" t="s">
        <v>21</v>
      </c>
      <c r="J164">
        <v>5</v>
      </c>
      <c r="K164" t="s">
        <v>55</v>
      </c>
      <c r="L164" t="str" cm="1">
        <f t="array" ref="L164">_xlfn.IFS(Table1[[#This Row],[Customer Tenure in months]]&lt;=6, "0-6 months", Table1[[#This Row],[Customer Tenure in months]] &lt;=12, "7-12 months", Table1[[#This Row],[Customer Tenure in months]] &lt;=24, "1-2 years", TRUE, "2+ years")</f>
        <v>1-2 years</v>
      </c>
      <c r="M164">
        <v>22</v>
      </c>
      <c r="N164" t="s">
        <v>40</v>
      </c>
      <c r="O164" s="1">
        <v>500</v>
      </c>
      <c r="P164">
        <v>11</v>
      </c>
      <c r="Q164" s="1">
        <v>5500</v>
      </c>
      <c r="R164">
        <v>112</v>
      </c>
      <c r="S164" t="s">
        <v>1091</v>
      </c>
      <c r="T164" t="s">
        <v>39</v>
      </c>
    </row>
    <row r="165" spans="1:20" x14ac:dyDescent="0.35">
      <c r="A165" s="22" t="s">
        <v>263</v>
      </c>
      <c r="B165" cm="1">
        <f t="array" ref="B165">IF(MATCH(Table1[[#This Row],[Customer ID]], Table1[Customer ID], 0) = ROW() - ROW(Table1[#Headers]), 1, 0)</f>
        <v>1</v>
      </c>
      <c r="C165" t="s">
        <v>264</v>
      </c>
      <c r="D165" s="2">
        <v>45741</v>
      </c>
      <c r="E165">
        <v>27</v>
      </c>
      <c r="F165" t="str" cm="1">
        <f t="array" ref="F165">_xlfn.IFS( Table1[[#This Row],[Age]]&lt;18, "&lt;18", Table1[[#This Row],[Age]]&lt;= 29, "18-29", Table1[[#This Row],[Age]]&lt;= 44, "30-44",  Table1[[#This Row],[Age]]&lt;=59, "45-59", TRUE, "60+")</f>
        <v>18-29</v>
      </c>
      <c r="G165" t="s">
        <v>19</v>
      </c>
      <c r="H165" t="s">
        <v>29</v>
      </c>
      <c r="I165" t="s">
        <v>30</v>
      </c>
      <c r="J165">
        <v>3</v>
      </c>
      <c r="K165" t="s">
        <v>50</v>
      </c>
      <c r="L165" t="str" cm="1">
        <f t="array" ref="L165">_xlfn.IFS(Table1[[#This Row],[Customer Tenure in months]]&lt;=6, "0-6 months", Table1[[#This Row],[Customer Tenure in months]] &lt;=12, "7-12 months", Table1[[#This Row],[Customer Tenure in months]] &lt;=24, "1-2 years", TRUE, "2+ years")</f>
        <v>0-6 months</v>
      </c>
      <c r="M165">
        <v>2</v>
      </c>
      <c r="N165" t="s">
        <v>72</v>
      </c>
      <c r="O165" s="1">
        <v>350</v>
      </c>
      <c r="P165">
        <v>5</v>
      </c>
      <c r="Q165" s="1">
        <v>1750</v>
      </c>
      <c r="R165">
        <v>200</v>
      </c>
      <c r="S165" t="s">
        <v>265</v>
      </c>
      <c r="T165" t="s">
        <v>24</v>
      </c>
    </row>
    <row r="166" spans="1:20" x14ac:dyDescent="0.35">
      <c r="A166" s="22" t="s">
        <v>263</v>
      </c>
      <c r="B166" cm="1">
        <f t="array" ref="B166">IF(MATCH(Table1[[#This Row],[Customer ID]], Table1[Customer ID], 0) = ROW() - ROW(Table1[#Headers]), 1, 0)</f>
        <v>0</v>
      </c>
      <c r="C166" t="s">
        <v>264</v>
      </c>
      <c r="D166" s="2">
        <v>45741</v>
      </c>
      <c r="E166">
        <v>27</v>
      </c>
      <c r="F166" t="str" cm="1">
        <f t="array" ref="F166">_xlfn.IFS( Table1[[#This Row],[Age]]&lt;18, "&lt;18", Table1[[#This Row],[Age]]&lt;= 29, "18-29", Table1[[#This Row],[Age]]&lt;= 44, "30-44",  Table1[[#This Row],[Age]]&lt;=59, "45-59", TRUE, "60+")</f>
        <v>18-29</v>
      </c>
      <c r="G166" t="s">
        <v>19</v>
      </c>
      <c r="H166" t="s">
        <v>41</v>
      </c>
      <c r="I166" t="s">
        <v>30</v>
      </c>
      <c r="J166">
        <v>3</v>
      </c>
      <c r="K166" t="s">
        <v>50</v>
      </c>
      <c r="L166" t="str" cm="1">
        <f t="array" ref="L166">_xlfn.IFS(Table1[[#This Row],[Customer Tenure in months]]&lt;=6, "0-6 months", Table1[[#This Row],[Customer Tenure in months]] &lt;=12, "7-12 months", Table1[[#This Row],[Customer Tenure in months]] &lt;=24, "1-2 years", TRUE, "2+ years")</f>
        <v>0-6 months</v>
      </c>
      <c r="M166">
        <v>2</v>
      </c>
      <c r="N166" t="s">
        <v>42</v>
      </c>
      <c r="O166" s="1">
        <v>9000</v>
      </c>
      <c r="P166">
        <v>4</v>
      </c>
      <c r="Q166" s="1">
        <v>36000</v>
      </c>
      <c r="R166">
        <v>59.51</v>
      </c>
      <c r="S166" t="s">
        <v>265</v>
      </c>
      <c r="T166" t="s">
        <v>24</v>
      </c>
    </row>
    <row r="167" spans="1:20" x14ac:dyDescent="0.35">
      <c r="A167" s="22" t="s">
        <v>266</v>
      </c>
      <c r="B167" cm="1">
        <f t="array" ref="B167">IF(MATCH(Table1[[#This Row],[Customer ID]], Table1[Customer ID], 0) = ROW() - ROW(Table1[#Headers]), 1, 0)</f>
        <v>1</v>
      </c>
      <c r="C167" t="s">
        <v>267</v>
      </c>
      <c r="D167" s="2">
        <v>45713</v>
      </c>
      <c r="E167">
        <v>20</v>
      </c>
      <c r="F167" t="str" cm="1">
        <f t="array" ref="F167">_xlfn.IFS( Table1[[#This Row],[Age]]&lt;18, "&lt;18", Table1[[#This Row],[Age]]&lt;= 29, "18-29", Table1[[#This Row],[Age]]&lt;= 44, "30-44",  Table1[[#This Row],[Age]]&lt;=59, "45-59", TRUE, "60+")</f>
        <v>18-29</v>
      </c>
      <c r="G167" t="s">
        <v>157</v>
      </c>
      <c r="H167" t="s">
        <v>20</v>
      </c>
      <c r="I167" t="s">
        <v>21</v>
      </c>
      <c r="J167">
        <v>2</v>
      </c>
      <c r="K167" t="s">
        <v>22</v>
      </c>
      <c r="L167" t="str" cm="1">
        <f t="array" ref="L167">_xlfn.IFS(Table1[[#This Row],[Customer Tenure in months]]&lt;=6, "0-6 months", Table1[[#This Row],[Customer Tenure in months]] &lt;=12, "7-12 months", Table1[[#This Row],[Customer Tenure in months]] &lt;=24, "1-2 years", TRUE, "2+ years")</f>
        <v>2+ years</v>
      </c>
      <c r="M167">
        <v>39</v>
      </c>
      <c r="N167" t="s">
        <v>58</v>
      </c>
      <c r="O167" s="1">
        <v>16000</v>
      </c>
      <c r="P167">
        <v>8</v>
      </c>
      <c r="Q167" s="1">
        <v>128000</v>
      </c>
      <c r="R167">
        <v>82.47</v>
      </c>
      <c r="S167" t="s">
        <v>32</v>
      </c>
      <c r="T167" t="s">
        <v>24</v>
      </c>
    </row>
    <row r="168" spans="1:20" x14ac:dyDescent="0.35">
      <c r="A168" s="22" t="s">
        <v>266</v>
      </c>
      <c r="B168" cm="1">
        <f t="array" ref="B168">IF(MATCH(Table1[[#This Row],[Customer ID]], Table1[Customer ID], 0) = ROW() - ROW(Table1[#Headers]), 1, 0)</f>
        <v>0</v>
      </c>
      <c r="C168" t="s">
        <v>267</v>
      </c>
      <c r="D168" s="2">
        <v>45713</v>
      </c>
      <c r="E168">
        <v>20</v>
      </c>
      <c r="F168" t="str" cm="1">
        <f t="array" ref="F168">_xlfn.IFS( Table1[[#This Row],[Age]]&lt;18, "&lt;18", Table1[[#This Row],[Age]]&lt;= 29, "18-29", Table1[[#This Row],[Age]]&lt;= 44, "30-44",  Table1[[#This Row],[Age]]&lt;=59, "45-59", TRUE, "60+")</f>
        <v>18-29</v>
      </c>
      <c r="G168" t="s">
        <v>157</v>
      </c>
      <c r="H168" t="s">
        <v>36</v>
      </c>
      <c r="I168" t="s">
        <v>21</v>
      </c>
      <c r="J168">
        <v>2</v>
      </c>
      <c r="K168" t="s">
        <v>22</v>
      </c>
      <c r="L168" t="str" cm="1">
        <f t="array" ref="L168">_xlfn.IFS(Table1[[#This Row],[Customer Tenure in months]]&lt;=6, "0-6 months", Table1[[#This Row],[Customer Tenure in months]] &lt;=12, "7-12 months", Table1[[#This Row],[Customer Tenure in months]] &lt;=24, "1-2 years", TRUE, "2+ years")</f>
        <v>2+ years</v>
      </c>
      <c r="M168">
        <v>39</v>
      </c>
      <c r="N168" t="s">
        <v>57</v>
      </c>
      <c r="O168" s="1">
        <v>150000</v>
      </c>
      <c r="P168">
        <v>15</v>
      </c>
      <c r="Q168" s="1">
        <v>2250000</v>
      </c>
      <c r="R168">
        <v>122.31</v>
      </c>
      <c r="S168" t="s">
        <v>32</v>
      </c>
      <c r="T168" t="s">
        <v>24</v>
      </c>
    </row>
    <row r="169" spans="1:20" x14ac:dyDescent="0.35">
      <c r="A169" s="22" t="s">
        <v>266</v>
      </c>
      <c r="B169" cm="1">
        <f t="array" ref="B169">IF(MATCH(Table1[[#This Row],[Customer ID]], Table1[Customer ID], 0) = ROW() - ROW(Table1[#Headers]), 1, 0)</f>
        <v>0</v>
      </c>
      <c r="C169" t="s">
        <v>267</v>
      </c>
      <c r="D169" s="2">
        <v>45713</v>
      </c>
      <c r="E169">
        <v>20</v>
      </c>
      <c r="F169" t="str" cm="1">
        <f t="array" ref="F169">_xlfn.IFS( Table1[[#This Row],[Age]]&lt;18, "&lt;18", Table1[[#This Row],[Age]]&lt;= 29, "18-29", Table1[[#This Row],[Age]]&lt;= 44, "30-44",  Table1[[#This Row],[Age]]&lt;=59, "45-59", TRUE, "60+")</f>
        <v>18-29</v>
      </c>
      <c r="G169" t="s">
        <v>157</v>
      </c>
      <c r="H169" t="s">
        <v>29</v>
      </c>
      <c r="I169" t="s">
        <v>21</v>
      </c>
      <c r="J169">
        <v>2</v>
      </c>
      <c r="K169" t="s">
        <v>22</v>
      </c>
      <c r="L169" t="str" cm="1">
        <f t="array" ref="L169">_xlfn.IFS(Table1[[#This Row],[Customer Tenure in months]]&lt;=6, "0-6 months", Table1[[#This Row],[Customer Tenure in months]] &lt;=12, "7-12 months", Table1[[#This Row],[Customer Tenure in months]] &lt;=24, "1-2 years", TRUE, "2+ years")</f>
        <v>2+ years</v>
      </c>
      <c r="M169">
        <v>39</v>
      </c>
      <c r="N169" t="s">
        <v>72</v>
      </c>
      <c r="O169" s="1">
        <v>350</v>
      </c>
      <c r="P169">
        <v>10</v>
      </c>
      <c r="Q169" s="1">
        <v>3500</v>
      </c>
      <c r="R169">
        <v>107.04</v>
      </c>
      <c r="S169" t="s">
        <v>32</v>
      </c>
      <c r="T169" t="s">
        <v>24</v>
      </c>
    </row>
    <row r="170" spans="1:20" x14ac:dyDescent="0.35">
      <c r="A170" s="22" t="s">
        <v>268</v>
      </c>
      <c r="B170" cm="1">
        <f t="array" ref="B170">IF(MATCH(Table1[[#This Row],[Customer ID]], Table1[Customer ID], 0) = ROW() - ROW(Table1[#Headers]), 1, 0)</f>
        <v>1</v>
      </c>
      <c r="C170" t="s">
        <v>269</v>
      </c>
      <c r="D170" s="2">
        <v>45741</v>
      </c>
      <c r="E170">
        <v>40</v>
      </c>
      <c r="F170" t="str" cm="1">
        <f t="array" ref="F170">_xlfn.IFS( Table1[[#This Row],[Age]]&lt;18, "&lt;18", Table1[[#This Row],[Age]]&lt;= 29, "18-29", Table1[[#This Row],[Age]]&lt;= 44, "30-44",  Table1[[#This Row],[Age]]&lt;=59, "45-59", TRUE, "60+")</f>
        <v>30-44</v>
      </c>
      <c r="G170" t="s">
        <v>45</v>
      </c>
      <c r="H170" t="s">
        <v>29</v>
      </c>
      <c r="I170" t="s">
        <v>30</v>
      </c>
      <c r="J170">
        <v>4</v>
      </c>
      <c r="K170" t="s">
        <v>114</v>
      </c>
      <c r="L170" t="str" cm="1">
        <f t="array" ref="L170">_xlfn.IFS(Table1[[#This Row],[Customer Tenure in months]]&lt;=6, "0-6 months", Table1[[#This Row],[Customer Tenure in months]] &lt;=12, "7-12 months", Table1[[#This Row],[Customer Tenure in months]] &lt;=24, "1-2 years", TRUE, "2+ years")</f>
        <v>2+ years</v>
      </c>
      <c r="M170">
        <v>30</v>
      </c>
      <c r="N170" t="s">
        <v>46</v>
      </c>
      <c r="O170" s="1">
        <v>4500</v>
      </c>
      <c r="P170">
        <v>2</v>
      </c>
      <c r="Q170" s="1">
        <v>9000</v>
      </c>
      <c r="R170">
        <v>174.66</v>
      </c>
      <c r="S170" t="s">
        <v>1091</v>
      </c>
      <c r="T170" t="s">
        <v>39</v>
      </c>
    </row>
    <row r="171" spans="1:20" x14ac:dyDescent="0.35">
      <c r="A171" s="22" t="s">
        <v>268</v>
      </c>
      <c r="B171" cm="1">
        <f t="array" ref="B171">IF(MATCH(Table1[[#This Row],[Customer ID]], Table1[Customer ID], 0) = ROW() - ROW(Table1[#Headers]), 1, 0)</f>
        <v>0</v>
      </c>
      <c r="C171" t="s">
        <v>269</v>
      </c>
      <c r="D171" s="2">
        <v>45741</v>
      </c>
      <c r="E171">
        <v>40</v>
      </c>
      <c r="F171" t="str" cm="1">
        <f t="array" ref="F171">_xlfn.IFS( Table1[[#This Row],[Age]]&lt;18, "&lt;18", Table1[[#This Row],[Age]]&lt;= 29, "18-29", Table1[[#This Row],[Age]]&lt;= 44, "30-44",  Table1[[#This Row],[Age]]&lt;=59, "45-59", TRUE, "60+")</f>
        <v>30-44</v>
      </c>
      <c r="G171" t="s">
        <v>45</v>
      </c>
      <c r="H171" t="s">
        <v>41</v>
      </c>
      <c r="I171" t="s">
        <v>30</v>
      </c>
      <c r="J171">
        <v>4</v>
      </c>
      <c r="K171" t="s">
        <v>114</v>
      </c>
      <c r="L171" t="str" cm="1">
        <f t="array" ref="L171">_xlfn.IFS(Table1[[#This Row],[Customer Tenure in months]]&lt;=6, "0-6 months", Table1[[#This Row],[Customer Tenure in months]] &lt;=12, "7-12 months", Table1[[#This Row],[Customer Tenure in months]] &lt;=24, "1-2 years", TRUE, "2+ years")</f>
        <v>2+ years</v>
      </c>
      <c r="M171">
        <v>30</v>
      </c>
      <c r="N171" t="s">
        <v>71</v>
      </c>
      <c r="O171" s="1">
        <v>14500</v>
      </c>
      <c r="P171">
        <v>18</v>
      </c>
      <c r="Q171" s="1">
        <v>261000</v>
      </c>
      <c r="R171">
        <v>174.89</v>
      </c>
      <c r="S171" t="s">
        <v>1091</v>
      </c>
      <c r="T171" t="s">
        <v>39</v>
      </c>
    </row>
    <row r="172" spans="1:20" x14ac:dyDescent="0.35">
      <c r="A172" s="22" t="s">
        <v>270</v>
      </c>
      <c r="B172" cm="1">
        <f t="array" ref="B172">IF(MATCH(Table1[[#This Row],[Customer ID]], Table1[Customer ID], 0) = ROW() - ROW(Table1[#Headers]), 1, 0)</f>
        <v>1</v>
      </c>
      <c r="C172" t="s">
        <v>271</v>
      </c>
      <c r="D172" s="2">
        <v>45713</v>
      </c>
      <c r="E172">
        <v>31</v>
      </c>
      <c r="F172" t="str" cm="1">
        <f t="array" ref="F172">_xlfn.IFS( Table1[[#This Row],[Age]]&lt;18, "&lt;18", Table1[[#This Row],[Age]]&lt;= 29, "18-29", Table1[[#This Row],[Age]]&lt;= 44, "30-44",  Table1[[#This Row],[Age]]&lt;=59, "45-59", TRUE, "60+")</f>
        <v>30-44</v>
      </c>
      <c r="G172" t="s">
        <v>101</v>
      </c>
      <c r="H172" t="s">
        <v>20</v>
      </c>
      <c r="I172" t="s">
        <v>21</v>
      </c>
      <c r="J172">
        <v>3</v>
      </c>
      <c r="K172" t="s">
        <v>50</v>
      </c>
      <c r="L172" t="str" cm="1">
        <f t="array" ref="L172">_xlfn.IFS(Table1[[#This Row],[Customer Tenure in months]]&lt;=6, "0-6 months", Table1[[#This Row],[Customer Tenure in months]] &lt;=12, "7-12 months", Table1[[#This Row],[Customer Tenure in months]] &lt;=24, "1-2 years", TRUE, "2+ years")</f>
        <v>2+ years</v>
      </c>
      <c r="M172">
        <v>49</v>
      </c>
      <c r="N172" t="s">
        <v>46</v>
      </c>
      <c r="O172" s="1">
        <v>4500</v>
      </c>
      <c r="P172">
        <v>12</v>
      </c>
      <c r="Q172" s="1">
        <v>54000</v>
      </c>
      <c r="R172">
        <v>163.43</v>
      </c>
      <c r="S172" t="s">
        <v>1091</v>
      </c>
      <c r="T172" t="s">
        <v>39</v>
      </c>
    </row>
    <row r="173" spans="1:20" x14ac:dyDescent="0.35">
      <c r="A173" s="22" t="s">
        <v>270</v>
      </c>
      <c r="B173" cm="1">
        <f t="array" ref="B173">IF(MATCH(Table1[[#This Row],[Customer ID]], Table1[Customer ID], 0) = ROW() - ROW(Table1[#Headers]), 1, 0)</f>
        <v>0</v>
      </c>
      <c r="C173" t="s">
        <v>271</v>
      </c>
      <c r="D173" s="2">
        <v>45713</v>
      </c>
      <c r="E173">
        <v>31</v>
      </c>
      <c r="F173" t="str" cm="1">
        <f t="array" ref="F173">_xlfn.IFS( Table1[[#This Row],[Age]]&lt;18, "&lt;18", Table1[[#This Row],[Age]]&lt;= 29, "18-29", Table1[[#This Row],[Age]]&lt;= 44, "30-44",  Table1[[#This Row],[Age]]&lt;=59, "45-59", TRUE, "60+")</f>
        <v>30-44</v>
      </c>
      <c r="G173" t="s">
        <v>101</v>
      </c>
      <c r="H173" t="s">
        <v>29</v>
      </c>
      <c r="I173" t="s">
        <v>21</v>
      </c>
      <c r="J173">
        <v>3</v>
      </c>
      <c r="K173" t="s">
        <v>50</v>
      </c>
      <c r="L173" t="str" cm="1">
        <f t="array" ref="L173">_xlfn.IFS(Table1[[#This Row],[Customer Tenure in months]]&lt;=6, "0-6 months", Table1[[#This Row],[Customer Tenure in months]] &lt;=12, "7-12 months", Table1[[#This Row],[Customer Tenure in months]] &lt;=24, "1-2 years", TRUE, "2+ years")</f>
        <v>2+ years</v>
      </c>
      <c r="M173">
        <v>49</v>
      </c>
      <c r="N173" t="s">
        <v>102</v>
      </c>
      <c r="O173" s="1">
        <v>900</v>
      </c>
      <c r="P173">
        <v>13</v>
      </c>
      <c r="Q173" s="1">
        <v>11700</v>
      </c>
      <c r="R173">
        <v>83.27</v>
      </c>
      <c r="S173" t="s">
        <v>1091</v>
      </c>
      <c r="T173" t="s">
        <v>39</v>
      </c>
    </row>
    <row r="174" spans="1:20" x14ac:dyDescent="0.35">
      <c r="A174" s="22" t="s">
        <v>270</v>
      </c>
      <c r="B174" cm="1">
        <f t="array" ref="B174">IF(MATCH(Table1[[#This Row],[Customer ID]], Table1[Customer ID], 0) = ROW() - ROW(Table1[#Headers]), 1, 0)</f>
        <v>0</v>
      </c>
      <c r="C174" t="s">
        <v>271</v>
      </c>
      <c r="D174" s="2">
        <v>45713</v>
      </c>
      <c r="E174">
        <v>31</v>
      </c>
      <c r="F174" t="str" cm="1">
        <f t="array" ref="F174">_xlfn.IFS( Table1[[#This Row],[Age]]&lt;18, "&lt;18", Table1[[#This Row],[Age]]&lt;= 29, "18-29", Table1[[#This Row],[Age]]&lt;= 44, "30-44",  Table1[[#This Row],[Age]]&lt;=59, "45-59", TRUE, "60+")</f>
        <v>30-44</v>
      </c>
      <c r="G174" t="s">
        <v>101</v>
      </c>
      <c r="H174" t="s">
        <v>41</v>
      </c>
      <c r="I174" t="s">
        <v>21</v>
      </c>
      <c r="J174">
        <v>3</v>
      </c>
      <c r="K174" t="s">
        <v>50</v>
      </c>
      <c r="L174" t="str" cm="1">
        <f t="array" ref="L174">_xlfn.IFS(Table1[[#This Row],[Customer Tenure in months]]&lt;=6, "0-6 months", Table1[[#This Row],[Customer Tenure in months]] &lt;=12, "7-12 months", Table1[[#This Row],[Customer Tenure in months]] &lt;=24, "1-2 years", TRUE, "2+ years")</f>
        <v>2+ years</v>
      </c>
      <c r="M174">
        <v>49</v>
      </c>
      <c r="N174" t="s">
        <v>62</v>
      </c>
      <c r="O174" s="1">
        <v>24000</v>
      </c>
      <c r="P174">
        <v>13</v>
      </c>
      <c r="Q174" s="1">
        <v>312000</v>
      </c>
      <c r="R174">
        <v>75.11</v>
      </c>
      <c r="S174" t="s">
        <v>1091</v>
      </c>
      <c r="T174" t="s">
        <v>39</v>
      </c>
    </row>
    <row r="175" spans="1:20" x14ac:dyDescent="0.35">
      <c r="A175" s="22" t="s">
        <v>272</v>
      </c>
      <c r="B175" cm="1">
        <f t="array" ref="B175">IF(MATCH(Table1[[#This Row],[Customer ID]], Table1[Customer ID], 0) = ROW() - ROW(Table1[#Headers]), 1, 0)</f>
        <v>1</v>
      </c>
      <c r="C175" t="s">
        <v>273</v>
      </c>
      <c r="D175" s="2">
        <v>45682</v>
      </c>
      <c r="E175">
        <v>63</v>
      </c>
      <c r="F175" t="str" cm="1">
        <f t="array" ref="F175">_xlfn.IFS( Table1[[#This Row],[Age]]&lt;18, "&lt;18", Table1[[#This Row],[Age]]&lt;= 29, "18-29", Table1[[#This Row],[Age]]&lt;= 44, "30-44",  Table1[[#This Row],[Age]]&lt;=59, "45-59", TRUE, "60+")</f>
        <v>60+</v>
      </c>
      <c r="G175" t="s">
        <v>113</v>
      </c>
      <c r="H175" t="s">
        <v>41</v>
      </c>
      <c r="I175" t="s">
        <v>21</v>
      </c>
      <c r="J175">
        <v>3</v>
      </c>
      <c r="K175" t="s">
        <v>50</v>
      </c>
      <c r="L175" t="str" cm="1">
        <f t="array" ref="L175">_xlfn.IFS(Table1[[#This Row],[Customer Tenure in months]]&lt;=6, "0-6 months", Table1[[#This Row],[Customer Tenure in months]] &lt;=12, "7-12 months", Table1[[#This Row],[Customer Tenure in months]] &lt;=24, "1-2 years", TRUE, "2+ years")</f>
        <v>1-2 years</v>
      </c>
      <c r="M175">
        <v>21</v>
      </c>
      <c r="N175" t="s">
        <v>65</v>
      </c>
      <c r="O175" s="1">
        <v>30000</v>
      </c>
      <c r="P175">
        <v>16</v>
      </c>
      <c r="Q175" s="1">
        <v>480000</v>
      </c>
      <c r="R175">
        <v>183.52</v>
      </c>
      <c r="S175" t="s">
        <v>1091</v>
      </c>
      <c r="T175" t="s">
        <v>39</v>
      </c>
    </row>
    <row r="176" spans="1:20" x14ac:dyDescent="0.35">
      <c r="A176" s="22" t="s">
        <v>274</v>
      </c>
      <c r="B176" cm="1">
        <f t="array" ref="B176">IF(MATCH(Table1[[#This Row],[Customer ID]], Table1[Customer ID], 0) = ROW() - ROW(Table1[#Headers]), 1, 0)</f>
        <v>1</v>
      </c>
      <c r="C176" t="s">
        <v>275</v>
      </c>
      <c r="D176" s="2">
        <v>45682</v>
      </c>
      <c r="E176">
        <v>76</v>
      </c>
      <c r="F176" t="str" cm="1">
        <f t="array" ref="F176">_xlfn.IFS( Table1[[#This Row],[Age]]&lt;18, "&lt;18", Table1[[#This Row],[Age]]&lt;= 29, "18-29", Table1[[#This Row],[Age]]&lt;= 44, "30-44",  Table1[[#This Row],[Age]]&lt;=59, "45-59", TRUE, "60+")</f>
        <v>60+</v>
      </c>
      <c r="G176" t="s">
        <v>198</v>
      </c>
      <c r="H176" t="s">
        <v>29</v>
      </c>
      <c r="I176" t="s">
        <v>21</v>
      </c>
      <c r="J176">
        <v>1</v>
      </c>
      <c r="K176" t="s">
        <v>37</v>
      </c>
      <c r="L176" t="str" cm="1">
        <f t="array" ref="L176">_xlfn.IFS(Table1[[#This Row],[Customer Tenure in months]]&lt;=6, "0-6 months", Table1[[#This Row],[Customer Tenure in months]] &lt;=12, "7-12 months", Table1[[#This Row],[Customer Tenure in months]] &lt;=24, "1-2 years", TRUE, "2+ years")</f>
        <v>2+ years</v>
      </c>
      <c r="M176">
        <v>58</v>
      </c>
      <c r="N176" t="s">
        <v>83</v>
      </c>
      <c r="O176" s="1">
        <v>1000</v>
      </c>
      <c r="P176">
        <v>8</v>
      </c>
      <c r="Q176" s="1">
        <v>8000</v>
      </c>
      <c r="R176">
        <v>155.35</v>
      </c>
      <c r="S176" t="s">
        <v>32</v>
      </c>
      <c r="T176" t="s">
        <v>24</v>
      </c>
    </row>
    <row r="177" spans="1:20" x14ac:dyDescent="0.35">
      <c r="A177" s="22" t="s">
        <v>276</v>
      </c>
      <c r="B177" cm="1">
        <f t="array" ref="B177">IF(MATCH(Table1[[#This Row],[Customer ID]], Table1[Customer ID], 0) = ROW() - ROW(Table1[#Headers]), 1, 0)</f>
        <v>1</v>
      </c>
      <c r="C177" t="s">
        <v>277</v>
      </c>
      <c r="D177" s="2">
        <v>45713</v>
      </c>
      <c r="E177">
        <v>31</v>
      </c>
      <c r="F177" t="str" cm="1">
        <f t="array" ref="F177">_xlfn.IFS( Table1[[#This Row],[Age]]&lt;18, "&lt;18", Table1[[#This Row],[Age]]&lt;= 29, "18-29", Table1[[#This Row],[Age]]&lt;= 44, "30-44",  Table1[[#This Row],[Age]]&lt;=59, "45-59", TRUE, "60+")</f>
        <v>30-44</v>
      </c>
      <c r="G177" t="s">
        <v>49</v>
      </c>
      <c r="H177" t="s">
        <v>41</v>
      </c>
      <c r="I177" t="s">
        <v>21</v>
      </c>
      <c r="J177">
        <v>1</v>
      </c>
      <c r="K177" t="s">
        <v>37</v>
      </c>
      <c r="L177" t="str" cm="1">
        <f t="array" ref="L177">_xlfn.IFS(Table1[[#This Row],[Customer Tenure in months]]&lt;=6, "0-6 months", Table1[[#This Row],[Customer Tenure in months]] &lt;=12, "7-12 months", Table1[[#This Row],[Customer Tenure in months]] &lt;=24, "1-2 years", TRUE, "2+ years")</f>
        <v>2+ years</v>
      </c>
      <c r="M177">
        <v>27</v>
      </c>
      <c r="N177" t="s">
        <v>38</v>
      </c>
      <c r="O177" s="1">
        <v>20000</v>
      </c>
      <c r="P177">
        <v>1</v>
      </c>
      <c r="Q177" s="1">
        <v>20000</v>
      </c>
      <c r="R177">
        <v>58.61</v>
      </c>
      <c r="S177" t="s">
        <v>167</v>
      </c>
      <c r="T177" t="s">
        <v>24</v>
      </c>
    </row>
    <row r="178" spans="1:20" x14ac:dyDescent="0.35">
      <c r="A178" s="22" t="s">
        <v>276</v>
      </c>
      <c r="B178" cm="1">
        <f t="array" ref="B178">IF(MATCH(Table1[[#This Row],[Customer ID]], Table1[Customer ID], 0) = ROW() - ROW(Table1[#Headers]), 1, 0)</f>
        <v>0</v>
      </c>
      <c r="C178" t="s">
        <v>277</v>
      </c>
      <c r="D178" s="2">
        <v>45713</v>
      </c>
      <c r="E178">
        <v>31</v>
      </c>
      <c r="F178" t="str" cm="1">
        <f t="array" ref="F178">_xlfn.IFS( Table1[[#This Row],[Age]]&lt;18, "&lt;18", Table1[[#This Row],[Age]]&lt;= 29, "18-29", Table1[[#This Row],[Age]]&lt;= 44, "30-44",  Table1[[#This Row],[Age]]&lt;=59, "45-59", TRUE, "60+")</f>
        <v>30-44</v>
      </c>
      <c r="G178" t="s">
        <v>49</v>
      </c>
      <c r="H178" t="s">
        <v>36</v>
      </c>
      <c r="I178" t="s">
        <v>21</v>
      </c>
      <c r="J178">
        <v>1</v>
      </c>
      <c r="K178" t="s">
        <v>37</v>
      </c>
      <c r="L178" t="str" cm="1">
        <f t="array" ref="L178">_xlfn.IFS(Table1[[#This Row],[Customer Tenure in months]]&lt;=6, "0-6 months", Table1[[#This Row],[Customer Tenure in months]] &lt;=12, "7-12 months", Table1[[#This Row],[Customer Tenure in months]] &lt;=24, "1-2 years", TRUE, "2+ years")</f>
        <v>2+ years</v>
      </c>
      <c r="M178">
        <v>27</v>
      </c>
      <c r="N178" t="s">
        <v>115</v>
      </c>
      <c r="O178" s="1">
        <v>25000</v>
      </c>
      <c r="P178">
        <v>14</v>
      </c>
      <c r="Q178" s="1">
        <v>350000</v>
      </c>
      <c r="R178">
        <v>48.49</v>
      </c>
      <c r="S178" t="s">
        <v>167</v>
      </c>
      <c r="T178" t="s">
        <v>24</v>
      </c>
    </row>
    <row r="179" spans="1:20" x14ac:dyDescent="0.35">
      <c r="A179" s="22" t="s">
        <v>276</v>
      </c>
      <c r="B179" cm="1">
        <f t="array" ref="B179">IF(MATCH(Table1[[#This Row],[Customer ID]], Table1[Customer ID], 0) = ROW() - ROW(Table1[#Headers]), 1, 0)</f>
        <v>0</v>
      </c>
      <c r="C179" t="s">
        <v>277</v>
      </c>
      <c r="D179" s="2">
        <v>45713</v>
      </c>
      <c r="E179">
        <v>31</v>
      </c>
      <c r="F179" t="str" cm="1">
        <f t="array" ref="F179">_xlfn.IFS( Table1[[#This Row],[Age]]&lt;18, "&lt;18", Table1[[#This Row],[Age]]&lt;= 29, "18-29", Table1[[#This Row],[Age]]&lt;= 44, "30-44",  Table1[[#This Row],[Age]]&lt;=59, "45-59", TRUE, "60+")</f>
        <v>30-44</v>
      </c>
      <c r="G179" t="s">
        <v>49</v>
      </c>
      <c r="H179" t="s">
        <v>29</v>
      </c>
      <c r="I179" t="s">
        <v>21</v>
      </c>
      <c r="J179">
        <v>1</v>
      </c>
      <c r="K179" t="s">
        <v>37</v>
      </c>
      <c r="L179" t="str" cm="1">
        <f t="array" ref="L179">_xlfn.IFS(Table1[[#This Row],[Customer Tenure in months]]&lt;=6, "0-6 months", Table1[[#This Row],[Customer Tenure in months]] &lt;=12, "7-12 months", Table1[[#This Row],[Customer Tenure in months]] &lt;=24, "1-2 years", TRUE, "2+ years")</f>
        <v>2+ years</v>
      </c>
      <c r="M179">
        <v>27</v>
      </c>
      <c r="N179" t="s">
        <v>164</v>
      </c>
      <c r="O179" s="1">
        <v>600</v>
      </c>
      <c r="P179">
        <v>3</v>
      </c>
      <c r="Q179" s="1">
        <v>1800</v>
      </c>
      <c r="R179">
        <v>133.04</v>
      </c>
      <c r="S179" t="s">
        <v>167</v>
      </c>
      <c r="T179" t="s">
        <v>24</v>
      </c>
    </row>
    <row r="180" spans="1:20" x14ac:dyDescent="0.35">
      <c r="A180" s="22" t="s">
        <v>278</v>
      </c>
      <c r="B180" cm="1">
        <f t="array" ref="B180">IF(MATCH(Table1[[#This Row],[Customer ID]], Table1[Customer ID], 0) = ROW() - ROW(Table1[#Headers]), 1, 0)</f>
        <v>1</v>
      </c>
      <c r="C180" t="s">
        <v>279</v>
      </c>
      <c r="D180" s="2">
        <v>45713</v>
      </c>
      <c r="E180">
        <v>62</v>
      </c>
      <c r="F180" t="str" cm="1">
        <f t="array" ref="F180">_xlfn.IFS( Table1[[#This Row],[Age]]&lt;18, "&lt;18", Table1[[#This Row],[Age]]&lt;= 29, "18-29", Table1[[#This Row],[Age]]&lt;= 44, "30-44",  Table1[[#This Row],[Age]]&lt;=59, "45-59", TRUE, "60+")</f>
        <v>60+</v>
      </c>
      <c r="G180" t="s">
        <v>146</v>
      </c>
      <c r="H180" t="s">
        <v>36</v>
      </c>
      <c r="I180" t="s">
        <v>21</v>
      </c>
      <c r="J180">
        <v>1</v>
      </c>
      <c r="K180" t="s">
        <v>37</v>
      </c>
      <c r="L180" t="str" cm="1">
        <f t="array" ref="L180">_xlfn.IFS(Table1[[#This Row],[Customer Tenure in months]]&lt;=6, "0-6 months", Table1[[#This Row],[Customer Tenure in months]] &lt;=12, "7-12 months", Table1[[#This Row],[Customer Tenure in months]] &lt;=24, "1-2 years", TRUE, "2+ years")</f>
        <v>2+ years</v>
      </c>
      <c r="M180">
        <v>25</v>
      </c>
      <c r="N180" t="s">
        <v>42</v>
      </c>
      <c r="O180" s="1">
        <v>9000</v>
      </c>
      <c r="P180">
        <v>3</v>
      </c>
      <c r="Q180" s="1">
        <v>27000</v>
      </c>
      <c r="R180">
        <v>71.739999999999995</v>
      </c>
      <c r="S180" t="s">
        <v>1091</v>
      </c>
      <c r="T180" t="s">
        <v>39</v>
      </c>
    </row>
    <row r="181" spans="1:20" x14ac:dyDescent="0.35">
      <c r="A181" s="22" t="s">
        <v>278</v>
      </c>
      <c r="B181" cm="1">
        <f t="array" ref="B181">IF(MATCH(Table1[[#This Row],[Customer ID]], Table1[Customer ID], 0) = ROW() - ROW(Table1[#Headers]), 1, 0)</f>
        <v>0</v>
      </c>
      <c r="C181" t="s">
        <v>279</v>
      </c>
      <c r="D181" s="2">
        <v>45713</v>
      </c>
      <c r="E181">
        <v>62</v>
      </c>
      <c r="F181" t="str" cm="1">
        <f t="array" ref="F181">_xlfn.IFS( Table1[[#This Row],[Age]]&lt;18, "&lt;18", Table1[[#This Row],[Age]]&lt;= 29, "18-29", Table1[[#This Row],[Age]]&lt;= 44, "30-44",  Table1[[#This Row],[Age]]&lt;=59, "45-59", TRUE, "60+")</f>
        <v>60+</v>
      </c>
      <c r="G181" t="s">
        <v>146</v>
      </c>
      <c r="H181" t="s">
        <v>29</v>
      </c>
      <c r="I181" t="s">
        <v>21</v>
      </c>
      <c r="J181">
        <v>1</v>
      </c>
      <c r="K181" t="s">
        <v>37</v>
      </c>
      <c r="L181" t="str" cm="1">
        <f t="array" ref="L181">_xlfn.IFS(Table1[[#This Row],[Customer Tenure in months]]&lt;=6, "0-6 months", Table1[[#This Row],[Customer Tenure in months]] &lt;=12, "7-12 months", Table1[[#This Row],[Customer Tenure in months]] &lt;=24, "1-2 years", TRUE, "2+ years")</f>
        <v>2+ years</v>
      </c>
      <c r="M181">
        <v>25</v>
      </c>
      <c r="N181" t="s">
        <v>56</v>
      </c>
      <c r="O181" s="1">
        <v>3500</v>
      </c>
      <c r="P181">
        <v>4</v>
      </c>
      <c r="Q181" s="1">
        <v>14000</v>
      </c>
      <c r="R181">
        <v>48.6</v>
      </c>
      <c r="S181" t="s">
        <v>1091</v>
      </c>
      <c r="T181" t="s">
        <v>39</v>
      </c>
    </row>
    <row r="182" spans="1:20" x14ac:dyDescent="0.35">
      <c r="A182" s="22" t="s">
        <v>280</v>
      </c>
      <c r="B182" cm="1">
        <f t="array" ref="B182">IF(MATCH(Table1[[#This Row],[Customer ID]], Table1[Customer ID], 0) = ROW() - ROW(Table1[#Headers]), 1, 0)</f>
        <v>1</v>
      </c>
      <c r="C182" t="s">
        <v>281</v>
      </c>
      <c r="D182" s="2">
        <v>45741</v>
      </c>
      <c r="E182">
        <v>33</v>
      </c>
      <c r="F182" t="str" cm="1">
        <f t="array" ref="F182">_xlfn.IFS( Table1[[#This Row],[Age]]&lt;18, "&lt;18", Table1[[#This Row],[Age]]&lt;= 29, "18-29", Table1[[#This Row],[Age]]&lt;= 44, "30-44",  Table1[[#This Row],[Age]]&lt;=59, "45-59", TRUE, "60+")</f>
        <v>30-44</v>
      </c>
      <c r="G182" t="s">
        <v>128</v>
      </c>
      <c r="H182" t="s">
        <v>29</v>
      </c>
      <c r="I182" t="s">
        <v>30</v>
      </c>
      <c r="J182">
        <v>2</v>
      </c>
      <c r="K182" t="s">
        <v>22</v>
      </c>
      <c r="L182" t="str" cm="1">
        <f t="array" ref="L182">_xlfn.IFS(Table1[[#This Row],[Customer Tenure in months]]&lt;=6, "0-6 months", Table1[[#This Row],[Customer Tenure in months]] &lt;=12, "7-12 months", Table1[[#This Row],[Customer Tenure in months]] &lt;=24, "1-2 years", TRUE, "2+ years")</f>
        <v>2+ years</v>
      </c>
      <c r="M182">
        <v>35</v>
      </c>
      <c r="N182" t="s">
        <v>164</v>
      </c>
      <c r="O182" s="1">
        <v>600</v>
      </c>
      <c r="P182">
        <v>3</v>
      </c>
      <c r="Q182" s="1">
        <v>1800</v>
      </c>
      <c r="R182">
        <v>162.38999999999999</v>
      </c>
      <c r="S182" t="s">
        <v>1091</v>
      </c>
      <c r="T182" t="s">
        <v>39</v>
      </c>
    </row>
    <row r="183" spans="1:20" x14ac:dyDescent="0.35">
      <c r="A183" s="22" t="s">
        <v>280</v>
      </c>
      <c r="B183" cm="1">
        <f t="array" ref="B183">IF(MATCH(Table1[[#This Row],[Customer ID]], Table1[Customer ID], 0) = ROW() - ROW(Table1[#Headers]), 1, 0)</f>
        <v>0</v>
      </c>
      <c r="C183" t="s">
        <v>281</v>
      </c>
      <c r="D183" s="2">
        <v>45741</v>
      </c>
      <c r="E183">
        <v>33</v>
      </c>
      <c r="F183" t="str" cm="1">
        <f t="array" ref="F183">_xlfn.IFS( Table1[[#This Row],[Age]]&lt;18, "&lt;18", Table1[[#This Row],[Age]]&lt;= 29, "18-29", Table1[[#This Row],[Age]]&lt;= 44, "30-44",  Table1[[#This Row],[Age]]&lt;=59, "45-59", TRUE, "60+")</f>
        <v>30-44</v>
      </c>
      <c r="G183" t="s">
        <v>128</v>
      </c>
      <c r="H183" t="s">
        <v>36</v>
      </c>
      <c r="I183" t="s">
        <v>30</v>
      </c>
      <c r="J183">
        <v>2</v>
      </c>
      <c r="K183" t="s">
        <v>22</v>
      </c>
      <c r="L183" t="str" cm="1">
        <f t="array" ref="L183">_xlfn.IFS(Table1[[#This Row],[Customer Tenure in months]]&lt;=6, "0-6 months", Table1[[#This Row],[Customer Tenure in months]] &lt;=12, "7-12 months", Table1[[#This Row],[Customer Tenure in months]] &lt;=24, "1-2 years", TRUE, "2+ years")</f>
        <v>2+ years</v>
      </c>
      <c r="M183">
        <v>35</v>
      </c>
      <c r="N183" t="s">
        <v>57</v>
      </c>
      <c r="O183" s="1">
        <v>150000</v>
      </c>
      <c r="P183">
        <v>7</v>
      </c>
      <c r="Q183" s="1">
        <v>1050000</v>
      </c>
      <c r="R183">
        <v>7.88</v>
      </c>
      <c r="S183" t="s">
        <v>1091</v>
      </c>
      <c r="T183" t="s">
        <v>39</v>
      </c>
    </row>
    <row r="184" spans="1:20" x14ac:dyDescent="0.35">
      <c r="A184" s="22" t="s">
        <v>280</v>
      </c>
      <c r="B184" cm="1">
        <f t="array" ref="B184">IF(MATCH(Table1[[#This Row],[Customer ID]], Table1[Customer ID], 0) = ROW() - ROW(Table1[#Headers]), 1, 0)</f>
        <v>0</v>
      </c>
      <c r="C184" t="s">
        <v>281</v>
      </c>
      <c r="D184" s="2">
        <v>45741</v>
      </c>
      <c r="E184">
        <v>33</v>
      </c>
      <c r="F184" t="str" cm="1">
        <f t="array" ref="F184">_xlfn.IFS( Table1[[#This Row],[Age]]&lt;18, "&lt;18", Table1[[#This Row],[Age]]&lt;= 29, "18-29", Table1[[#This Row],[Age]]&lt;= 44, "30-44",  Table1[[#This Row],[Age]]&lt;=59, "45-59", TRUE, "60+")</f>
        <v>30-44</v>
      </c>
      <c r="G184" t="s">
        <v>128</v>
      </c>
      <c r="H184" t="s">
        <v>20</v>
      </c>
      <c r="I184" t="s">
        <v>30</v>
      </c>
      <c r="J184">
        <v>2</v>
      </c>
      <c r="K184" t="s">
        <v>22</v>
      </c>
      <c r="L184" t="str" cm="1">
        <f t="array" ref="L184">_xlfn.IFS(Table1[[#This Row],[Customer Tenure in months]]&lt;=6, "0-6 months", Table1[[#This Row],[Customer Tenure in months]] &lt;=12, "7-12 months", Table1[[#This Row],[Customer Tenure in months]] &lt;=24, "1-2 years", TRUE, "2+ years")</f>
        <v>2+ years</v>
      </c>
      <c r="M184">
        <v>35</v>
      </c>
      <c r="N184" t="s">
        <v>58</v>
      </c>
      <c r="O184" s="1">
        <v>16000</v>
      </c>
      <c r="P184">
        <v>2</v>
      </c>
      <c r="Q184" s="1">
        <v>32000</v>
      </c>
      <c r="R184">
        <v>158.33000000000001</v>
      </c>
      <c r="S184" t="s">
        <v>1091</v>
      </c>
      <c r="T184" t="s">
        <v>39</v>
      </c>
    </row>
    <row r="185" spans="1:20" x14ac:dyDescent="0.35">
      <c r="A185" s="22" t="s">
        <v>282</v>
      </c>
      <c r="B185" cm="1">
        <f t="array" ref="B185">IF(MATCH(Table1[[#This Row],[Customer ID]], Table1[Customer ID], 0) = ROW() - ROW(Table1[#Headers]), 1, 0)</f>
        <v>1</v>
      </c>
      <c r="C185" t="s">
        <v>283</v>
      </c>
      <c r="D185" s="2">
        <v>45713</v>
      </c>
      <c r="E185">
        <v>55</v>
      </c>
      <c r="F185" t="str" cm="1">
        <f t="array" ref="F185">_xlfn.IFS( Table1[[#This Row],[Age]]&lt;18, "&lt;18", Table1[[#This Row],[Age]]&lt;= 29, "18-29", Table1[[#This Row],[Age]]&lt;= 44, "30-44",  Table1[[#This Row],[Age]]&lt;=59, "45-59", TRUE, "60+")</f>
        <v>45-59</v>
      </c>
      <c r="G185" t="s">
        <v>189</v>
      </c>
      <c r="H185" t="s">
        <v>36</v>
      </c>
      <c r="I185" t="s">
        <v>30</v>
      </c>
      <c r="J185">
        <v>3</v>
      </c>
      <c r="K185" t="s">
        <v>50</v>
      </c>
      <c r="L185" t="str" cm="1">
        <f t="array" ref="L185">_xlfn.IFS(Table1[[#This Row],[Customer Tenure in months]]&lt;=6, "0-6 months", Table1[[#This Row],[Customer Tenure in months]] &lt;=12, "7-12 months", Table1[[#This Row],[Customer Tenure in months]] &lt;=24, "1-2 years", TRUE, "2+ years")</f>
        <v>2+ years</v>
      </c>
      <c r="M185">
        <v>53</v>
      </c>
      <c r="N185" t="s">
        <v>115</v>
      </c>
      <c r="O185" s="1">
        <v>25000</v>
      </c>
      <c r="P185">
        <v>2</v>
      </c>
      <c r="Q185" s="1">
        <v>50000</v>
      </c>
      <c r="R185">
        <v>172.5</v>
      </c>
      <c r="S185" t="s">
        <v>284</v>
      </c>
      <c r="T185" t="s">
        <v>24</v>
      </c>
    </row>
    <row r="186" spans="1:20" x14ac:dyDescent="0.35">
      <c r="A186" s="22" t="s">
        <v>285</v>
      </c>
      <c r="B186" cm="1">
        <f t="array" ref="B186">IF(MATCH(Table1[[#This Row],[Customer ID]], Table1[Customer ID], 0) = ROW() - ROW(Table1[#Headers]), 1, 0)</f>
        <v>1</v>
      </c>
      <c r="C186" t="s">
        <v>286</v>
      </c>
      <c r="D186" s="2">
        <v>45713</v>
      </c>
      <c r="E186">
        <v>50</v>
      </c>
      <c r="F186" t="str" cm="1">
        <f t="array" ref="F186">_xlfn.IFS( Table1[[#This Row],[Age]]&lt;18, "&lt;18", Table1[[#This Row],[Age]]&lt;= 29, "18-29", Table1[[#This Row],[Age]]&lt;= 44, "30-44",  Table1[[#This Row],[Age]]&lt;=59, "45-59", TRUE, "60+")</f>
        <v>45-59</v>
      </c>
      <c r="G186" t="s">
        <v>176</v>
      </c>
      <c r="H186" t="s">
        <v>36</v>
      </c>
      <c r="I186" t="s">
        <v>30</v>
      </c>
      <c r="J186">
        <v>4</v>
      </c>
      <c r="K186" t="s">
        <v>114</v>
      </c>
      <c r="L186" t="str" cm="1">
        <f t="array" ref="L186">_xlfn.IFS(Table1[[#This Row],[Customer Tenure in months]]&lt;=6, "0-6 months", Table1[[#This Row],[Customer Tenure in months]] &lt;=12, "7-12 months", Table1[[#This Row],[Customer Tenure in months]] &lt;=24, "1-2 years", TRUE, "2+ years")</f>
        <v>2+ years</v>
      </c>
      <c r="M186">
        <v>28</v>
      </c>
      <c r="N186" t="s">
        <v>57</v>
      </c>
      <c r="O186" s="1">
        <v>150000</v>
      </c>
      <c r="P186">
        <v>12</v>
      </c>
      <c r="Q186" s="1">
        <v>1800000</v>
      </c>
      <c r="R186">
        <v>138.57</v>
      </c>
      <c r="S186" t="s">
        <v>1091</v>
      </c>
      <c r="T186" t="s">
        <v>39</v>
      </c>
    </row>
    <row r="187" spans="1:20" x14ac:dyDescent="0.35">
      <c r="A187" s="22" t="s">
        <v>285</v>
      </c>
      <c r="B187" cm="1">
        <f t="array" ref="B187">IF(MATCH(Table1[[#This Row],[Customer ID]], Table1[Customer ID], 0) = ROW() - ROW(Table1[#Headers]), 1, 0)</f>
        <v>0</v>
      </c>
      <c r="C187" t="s">
        <v>286</v>
      </c>
      <c r="D187" s="2">
        <v>45713</v>
      </c>
      <c r="E187">
        <v>50</v>
      </c>
      <c r="F187" t="str" cm="1">
        <f t="array" ref="F187">_xlfn.IFS( Table1[[#This Row],[Age]]&lt;18, "&lt;18", Table1[[#This Row],[Age]]&lt;= 29, "18-29", Table1[[#This Row],[Age]]&lt;= 44, "30-44",  Table1[[#This Row],[Age]]&lt;=59, "45-59", TRUE, "60+")</f>
        <v>45-59</v>
      </c>
      <c r="G187" t="s">
        <v>176</v>
      </c>
      <c r="H187" t="s">
        <v>41</v>
      </c>
      <c r="I187" t="s">
        <v>30</v>
      </c>
      <c r="J187">
        <v>4</v>
      </c>
      <c r="K187" t="s">
        <v>114</v>
      </c>
      <c r="L187" t="str" cm="1">
        <f t="array" ref="L187">_xlfn.IFS(Table1[[#This Row],[Customer Tenure in months]]&lt;=6, "0-6 months", Table1[[#This Row],[Customer Tenure in months]] &lt;=12, "7-12 months", Table1[[#This Row],[Customer Tenure in months]] &lt;=24, "1-2 years", TRUE, "2+ years")</f>
        <v>2+ years</v>
      </c>
      <c r="M187">
        <v>28</v>
      </c>
      <c r="N187" t="s">
        <v>62</v>
      </c>
      <c r="O187" s="1">
        <v>24000</v>
      </c>
      <c r="P187">
        <v>3</v>
      </c>
      <c r="Q187" s="1">
        <v>72000</v>
      </c>
      <c r="R187">
        <v>53.71</v>
      </c>
      <c r="S187" t="s">
        <v>1091</v>
      </c>
      <c r="T187" t="s">
        <v>39</v>
      </c>
    </row>
    <row r="188" spans="1:20" x14ac:dyDescent="0.35">
      <c r="A188" s="22" t="s">
        <v>287</v>
      </c>
      <c r="B188" cm="1">
        <f t="array" ref="B188">IF(MATCH(Table1[[#This Row],[Customer ID]], Table1[Customer ID], 0) = ROW() - ROW(Table1[#Headers]), 1, 0)</f>
        <v>1</v>
      </c>
      <c r="C188" t="s">
        <v>288</v>
      </c>
      <c r="D188" s="2">
        <v>45741</v>
      </c>
      <c r="E188">
        <v>26</v>
      </c>
      <c r="F188" t="str" cm="1">
        <f t="array" ref="F188">_xlfn.IFS( Table1[[#This Row],[Age]]&lt;18, "&lt;18", Table1[[#This Row],[Age]]&lt;= 29, "18-29", Table1[[#This Row],[Age]]&lt;= 44, "30-44",  Table1[[#This Row],[Age]]&lt;=59, "45-59", TRUE, "60+")</f>
        <v>18-29</v>
      </c>
      <c r="G188" t="s">
        <v>19</v>
      </c>
      <c r="H188" t="s">
        <v>36</v>
      </c>
      <c r="I188" t="s">
        <v>21</v>
      </c>
      <c r="J188">
        <v>3</v>
      </c>
      <c r="K188" t="s">
        <v>50</v>
      </c>
      <c r="L188" t="str" cm="1">
        <f t="array" ref="L188">_xlfn.IFS(Table1[[#This Row],[Customer Tenure in months]]&lt;=6, "0-6 months", Table1[[#This Row],[Customer Tenure in months]] &lt;=12, "7-12 months", Table1[[#This Row],[Customer Tenure in months]] &lt;=24, "1-2 years", TRUE, "2+ years")</f>
        <v>2+ years</v>
      </c>
      <c r="M188">
        <v>35</v>
      </c>
      <c r="N188" t="s">
        <v>105</v>
      </c>
      <c r="O188" s="1">
        <v>75000</v>
      </c>
      <c r="P188">
        <v>15</v>
      </c>
      <c r="Q188" s="1">
        <v>1125000</v>
      </c>
      <c r="R188">
        <v>33.75</v>
      </c>
      <c r="S188" t="s">
        <v>96</v>
      </c>
      <c r="T188" t="s">
        <v>24</v>
      </c>
    </row>
    <row r="189" spans="1:20" x14ac:dyDescent="0.35">
      <c r="A189" s="22" t="s">
        <v>287</v>
      </c>
      <c r="B189" cm="1">
        <f t="array" ref="B189">IF(MATCH(Table1[[#This Row],[Customer ID]], Table1[Customer ID], 0) = ROW() - ROW(Table1[#Headers]), 1, 0)</f>
        <v>0</v>
      </c>
      <c r="C189" t="s">
        <v>288</v>
      </c>
      <c r="D189" s="2">
        <v>45741</v>
      </c>
      <c r="E189">
        <v>26</v>
      </c>
      <c r="F189" t="str" cm="1">
        <f t="array" ref="F189">_xlfn.IFS( Table1[[#This Row],[Age]]&lt;18, "&lt;18", Table1[[#This Row],[Age]]&lt;= 29, "18-29", Table1[[#This Row],[Age]]&lt;= 44, "30-44",  Table1[[#This Row],[Age]]&lt;=59, "45-59", TRUE, "60+")</f>
        <v>18-29</v>
      </c>
      <c r="G189" t="s">
        <v>19</v>
      </c>
      <c r="H189" t="s">
        <v>20</v>
      </c>
      <c r="I189" t="s">
        <v>21</v>
      </c>
      <c r="J189">
        <v>3</v>
      </c>
      <c r="K189" t="s">
        <v>50</v>
      </c>
      <c r="L189" t="str" cm="1">
        <f t="array" ref="L189">_xlfn.IFS(Table1[[#This Row],[Customer Tenure in months]]&lt;=6, "0-6 months", Table1[[#This Row],[Customer Tenure in months]] &lt;=12, "7-12 months", Table1[[#This Row],[Customer Tenure in months]] &lt;=24, "1-2 years", TRUE, "2+ years")</f>
        <v>2+ years</v>
      </c>
      <c r="M189">
        <v>35</v>
      </c>
      <c r="N189" t="s">
        <v>51</v>
      </c>
      <c r="O189" s="1">
        <v>9000</v>
      </c>
      <c r="P189">
        <v>12</v>
      </c>
      <c r="Q189" s="1">
        <v>108000</v>
      </c>
      <c r="R189">
        <v>89.7</v>
      </c>
      <c r="S189" t="s">
        <v>96</v>
      </c>
      <c r="T189" t="s">
        <v>24</v>
      </c>
    </row>
    <row r="190" spans="1:20" x14ac:dyDescent="0.35">
      <c r="A190" s="22" t="s">
        <v>287</v>
      </c>
      <c r="B190" cm="1">
        <f t="array" ref="B190">IF(MATCH(Table1[[#This Row],[Customer ID]], Table1[Customer ID], 0) = ROW() - ROW(Table1[#Headers]), 1, 0)</f>
        <v>0</v>
      </c>
      <c r="C190" t="s">
        <v>288</v>
      </c>
      <c r="D190" s="2">
        <v>45741</v>
      </c>
      <c r="E190">
        <v>26</v>
      </c>
      <c r="F190" t="str" cm="1">
        <f t="array" ref="F190">_xlfn.IFS( Table1[[#This Row],[Age]]&lt;18, "&lt;18", Table1[[#This Row],[Age]]&lt;= 29, "18-29", Table1[[#This Row],[Age]]&lt;= 44, "30-44",  Table1[[#This Row],[Age]]&lt;=59, "45-59", TRUE, "60+")</f>
        <v>18-29</v>
      </c>
      <c r="G190" t="s">
        <v>19</v>
      </c>
      <c r="H190" t="s">
        <v>29</v>
      </c>
      <c r="I190" t="s">
        <v>21</v>
      </c>
      <c r="J190">
        <v>3</v>
      </c>
      <c r="K190" t="s">
        <v>50</v>
      </c>
      <c r="L190" t="str" cm="1">
        <f t="array" ref="L190">_xlfn.IFS(Table1[[#This Row],[Customer Tenure in months]]&lt;=6, "0-6 months", Table1[[#This Row],[Customer Tenure in months]] &lt;=12, "7-12 months", Table1[[#This Row],[Customer Tenure in months]] &lt;=24, "1-2 years", TRUE, "2+ years")</f>
        <v>2+ years</v>
      </c>
      <c r="M190">
        <v>35</v>
      </c>
      <c r="N190" t="s">
        <v>87</v>
      </c>
      <c r="O190" s="1">
        <v>7500</v>
      </c>
      <c r="P190">
        <v>2</v>
      </c>
      <c r="Q190" s="1">
        <v>15000</v>
      </c>
      <c r="R190">
        <v>55.27</v>
      </c>
      <c r="S190" t="s">
        <v>96</v>
      </c>
      <c r="T190" t="s">
        <v>24</v>
      </c>
    </row>
    <row r="191" spans="1:20" x14ac:dyDescent="0.35">
      <c r="A191" s="22" t="s">
        <v>289</v>
      </c>
      <c r="B191" cm="1">
        <f t="array" ref="B191">IF(MATCH(Table1[[#This Row],[Customer ID]], Table1[Customer ID], 0) = ROW() - ROW(Table1[#Headers]), 1, 0)</f>
        <v>1</v>
      </c>
      <c r="C191" t="s">
        <v>290</v>
      </c>
      <c r="D191" s="2">
        <v>45713</v>
      </c>
      <c r="E191">
        <v>67</v>
      </c>
      <c r="F191" t="str" cm="1">
        <f t="array" ref="F191">_xlfn.IFS( Table1[[#This Row],[Age]]&lt;18, "&lt;18", Table1[[#This Row],[Age]]&lt;= 29, "18-29", Table1[[#This Row],[Age]]&lt;= 44, "30-44",  Table1[[#This Row],[Age]]&lt;=59, "45-59", TRUE, "60+")</f>
        <v>60+</v>
      </c>
      <c r="G191" t="s">
        <v>45</v>
      </c>
      <c r="H191" t="s">
        <v>41</v>
      </c>
      <c r="I191" t="s">
        <v>21</v>
      </c>
      <c r="J191">
        <v>5</v>
      </c>
      <c r="K191" t="s">
        <v>55</v>
      </c>
      <c r="L191" t="str" cm="1">
        <f t="array" ref="L191">_xlfn.IFS(Table1[[#This Row],[Customer Tenure in months]]&lt;=6, "0-6 months", Table1[[#This Row],[Customer Tenure in months]] &lt;=12, "7-12 months", Table1[[#This Row],[Customer Tenure in months]] &lt;=24, "1-2 years", TRUE, "2+ years")</f>
        <v>0-6 months</v>
      </c>
      <c r="M191">
        <v>2</v>
      </c>
      <c r="N191" t="s">
        <v>42</v>
      </c>
      <c r="O191" s="1">
        <v>9000</v>
      </c>
      <c r="P191">
        <v>12</v>
      </c>
      <c r="Q191" s="1">
        <v>108000</v>
      </c>
      <c r="R191">
        <v>47.58</v>
      </c>
      <c r="S191" t="s">
        <v>1091</v>
      </c>
      <c r="T191" t="s">
        <v>39</v>
      </c>
    </row>
    <row r="192" spans="1:20" x14ac:dyDescent="0.35">
      <c r="A192" s="22" t="s">
        <v>289</v>
      </c>
      <c r="B192" cm="1">
        <f t="array" ref="B192">IF(MATCH(Table1[[#This Row],[Customer ID]], Table1[Customer ID], 0) = ROW() - ROW(Table1[#Headers]), 1, 0)</f>
        <v>0</v>
      </c>
      <c r="C192" t="s">
        <v>290</v>
      </c>
      <c r="D192" s="2">
        <v>45713</v>
      </c>
      <c r="E192">
        <v>67</v>
      </c>
      <c r="F192" t="str" cm="1">
        <f t="array" ref="F192">_xlfn.IFS( Table1[[#This Row],[Age]]&lt;18, "&lt;18", Table1[[#This Row],[Age]]&lt;= 29, "18-29", Table1[[#This Row],[Age]]&lt;= 44, "30-44",  Table1[[#This Row],[Age]]&lt;=59, "45-59", TRUE, "60+")</f>
        <v>60+</v>
      </c>
      <c r="G192" t="s">
        <v>45</v>
      </c>
      <c r="H192" t="s">
        <v>29</v>
      </c>
      <c r="I192" t="s">
        <v>21</v>
      </c>
      <c r="J192">
        <v>5</v>
      </c>
      <c r="K192" t="s">
        <v>55</v>
      </c>
      <c r="L192" t="str" cm="1">
        <f t="array" ref="L192">_xlfn.IFS(Table1[[#This Row],[Customer Tenure in months]]&lt;=6, "0-6 months", Table1[[#This Row],[Customer Tenure in months]] &lt;=12, "7-12 months", Table1[[#This Row],[Customer Tenure in months]] &lt;=24, "1-2 years", TRUE, "2+ years")</f>
        <v>0-6 months</v>
      </c>
      <c r="M192">
        <v>2</v>
      </c>
      <c r="N192" t="s">
        <v>56</v>
      </c>
      <c r="O192" s="1">
        <v>3500</v>
      </c>
      <c r="P192">
        <v>19</v>
      </c>
      <c r="Q192" s="1">
        <v>66500</v>
      </c>
      <c r="R192">
        <v>76.88</v>
      </c>
      <c r="S192" t="s">
        <v>1091</v>
      </c>
      <c r="T192" t="s">
        <v>39</v>
      </c>
    </row>
    <row r="193" spans="1:20" x14ac:dyDescent="0.35">
      <c r="A193" s="22" t="s">
        <v>291</v>
      </c>
      <c r="B193" cm="1">
        <f t="array" ref="B193">IF(MATCH(Table1[[#This Row],[Customer ID]], Table1[Customer ID], 0) = ROW() - ROW(Table1[#Headers]), 1, 0)</f>
        <v>1</v>
      </c>
      <c r="C193" t="s">
        <v>292</v>
      </c>
      <c r="D193" s="2">
        <v>45713</v>
      </c>
      <c r="E193">
        <v>35</v>
      </c>
      <c r="F193" t="str" cm="1">
        <f t="array" ref="F193">_xlfn.IFS( Table1[[#This Row],[Age]]&lt;18, "&lt;18", Table1[[#This Row],[Age]]&lt;= 29, "18-29", Table1[[#This Row],[Age]]&lt;= 44, "30-44",  Table1[[#This Row],[Age]]&lt;=59, "45-59", TRUE, "60+")</f>
        <v>30-44</v>
      </c>
      <c r="G193" t="s">
        <v>198</v>
      </c>
      <c r="H193" t="s">
        <v>36</v>
      </c>
      <c r="I193" t="s">
        <v>30</v>
      </c>
      <c r="J193">
        <v>1</v>
      </c>
      <c r="K193" t="s">
        <v>37</v>
      </c>
      <c r="L193" t="str" cm="1">
        <f t="array" ref="L193">_xlfn.IFS(Table1[[#This Row],[Customer Tenure in months]]&lt;=6, "0-6 months", Table1[[#This Row],[Customer Tenure in months]] &lt;=12, "7-12 months", Table1[[#This Row],[Customer Tenure in months]] &lt;=24, "1-2 years", TRUE, "2+ years")</f>
        <v>1-2 years</v>
      </c>
      <c r="M193">
        <v>24</v>
      </c>
      <c r="N193" t="s">
        <v>62</v>
      </c>
      <c r="O193" s="1">
        <v>24000</v>
      </c>
      <c r="P193">
        <v>4</v>
      </c>
      <c r="Q193" s="1">
        <v>96000</v>
      </c>
      <c r="R193">
        <v>50.3</v>
      </c>
      <c r="S193" t="s">
        <v>1091</v>
      </c>
      <c r="T193" t="s">
        <v>39</v>
      </c>
    </row>
    <row r="194" spans="1:20" x14ac:dyDescent="0.35">
      <c r="A194" s="22" t="s">
        <v>291</v>
      </c>
      <c r="B194" cm="1">
        <f t="array" ref="B194">IF(MATCH(Table1[[#This Row],[Customer ID]], Table1[Customer ID], 0) = ROW() - ROW(Table1[#Headers]), 1, 0)</f>
        <v>0</v>
      </c>
      <c r="C194" t="s">
        <v>292</v>
      </c>
      <c r="D194" s="2">
        <v>45713</v>
      </c>
      <c r="E194">
        <v>35</v>
      </c>
      <c r="F194" t="str" cm="1">
        <f t="array" ref="F194">_xlfn.IFS( Table1[[#This Row],[Age]]&lt;18, "&lt;18", Table1[[#This Row],[Age]]&lt;= 29, "18-29", Table1[[#This Row],[Age]]&lt;= 44, "30-44",  Table1[[#This Row],[Age]]&lt;=59, "45-59", TRUE, "60+")</f>
        <v>30-44</v>
      </c>
      <c r="G194" t="s">
        <v>198</v>
      </c>
      <c r="H194" t="s">
        <v>29</v>
      </c>
      <c r="I194" t="s">
        <v>30</v>
      </c>
      <c r="J194">
        <v>1</v>
      </c>
      <c r="K194" t="s">
        <v>37</v>
      </c>
      <c r="L194" t="str" cm="1">
        <f t="array" ref="L194">_xlfn.IFS(Table1[[#This Row],[Customer Tenure in months]]&lt;=6, "0-6 months", Table1[[#This Row],[Customer Tenure in months]] &lt;=12, "7-12 months", Table1[[#This Row],[Customer Tenure in months]] &lt;=24, "1-2 years", TRUE, "2+ years")</f>
        <v>1-2 years</v>
      </c>
      <c r="M194">
        <v>24</v>
      </c>
      <c r="N194" t="s">
        <v>58</v>
      </c>
      <c r="O194" s="1">
        <v>16000</v>
      </c>
      <c r="P194">
        <v>16</v>
      </c>
      <c r="Q194" s="1">
        <v>256000</v>
      </c>
      <c r="R194">
        <v>147.27000000000001</v>
      </c>
      <c r="S194" t="s">
        <v>1091</v>
      </c>
      <c r="T194" t="s">
        <v>39</v>
      </c>
    </row>
    <row r="195" spans="1:20" x14ac:dyDescent="0.35">
      <c r="A195" s="22" t="s">
        <v>291</v>
      </c>
      <c r="B195" cm="1">
        <f t="array" ref="B195">IF(MATCH(Table1[[#This Row],[Customer ID]], Table1[Customer ID], 0) = ROW() - ROW(Table1[#Headers]), 1, 0)</f>
        <v>0</v>
      </c>
      <c r="C195" t="s">
        <v>292</v>
      </c>
      <c r="D195" s="2">
        <v>45713</v>
      </c>
      <c r="E195">
        <v>35</v>
      </c>
      <c r="F195" t="str" cm="1">
        <f t="array" ref="F195">_xlfn.IFS( Table1[[#This Row],[Age]]&lt;18, "&lt;18", Table1[[#This Row],[Age]]&lt;= 29, "18-29", Table1[[#This Row],[Age]]&lt;= 44, "30-44",  Table1[[#This Row],[Age]]&lt;=59, "45-59", TRUE, "60+")</f>
        <v>30-44</v>
      </c>
      <c r="G195" t="s">
        <v>198</v>
      </c>
      <c r="H195" t="s">
        <v>29</v>
      </c>
      <c r="I195" t="s">
        <v>30</v>
      </c>
      <c r="J195">
        <v>1</v>
      </c>
      <c r="K195" t="s">
        <v>37</v>
      </c>
      <c r="L195" t="str" cm="1">
        <f t="array" ref="L195">_xlfn.IFS(Table1[[#This Row],[Customer Tenure in months]]&lt;=6, "0-6 months", Table1[[#This Row],[Customer Tenure in months]] &lt;=12, "7-12 months", Table1[[#This Row],[Customer Tenure in months]] &lt;=24, "1-2 years", TRUE, "2+ years")</f>
        <v>1-2 years</v>
      </c>
      <c r="M195">
        <v>24</v>
      </c>
      <c r="N195" t="s">
        <v>193</v>
      </c>
      <c r="O195" s="1">
        <v>6500</v>
      </c>
      <c r="P195">
        <v>18</v>
      </c>
      <c r="Q195" s="1">
        <v>117000</v>
      </c>
      <c r="R195">
        <v>77.7</v>
      </c>
      <c r="S195" t="s">
        <v>1091</v>
      </c>
      <c r="T195" t="s">
        <v>39</v>
      </c>
    </row>
    <row r="196" spans="1:20" x14ac:dyDescent="0.35">
      <c r="A196" s="22" t="s">
        <v>293</v>
      </c>
      <c r="B196" cm="1">
        <f t="array" ref="B196">IF(MATCH(Table1[[#This Row],[Customer ID]], Table1[Customer ID], 0) = ROW() - ROW(Table1[#Headers]), 1, 0)</f>
        <v>1</v>
      </c>
      <c r="C196" t="s">
        <v>294</v>
      </c>
      <c r="D196" s="2">
        <v>45741</v>
      </c>
      <c r="E196">
        <v>49</v>
      </c>
      <c r="F196" t="str" cm="1">
        <f t="array" ref="F196">_xlfn.IFS( Table1[[#This Row],[Age]]&lt;18, "&lt;18", Table1[[#This Row],[Age]]&lt;= 29, "18-29", Table1[[#This Row],[Age]]&lt;= 44, "30-44",  Table1[[#This Row],[Age]]&lt;=59, "45-59", TRUE, "60+")</f>
        <v>45-59</v>
      </c>
      <c r="G196" t="s">
        <v>143</v>
      </c>
      <c r="H196" t="s">
        <v>29</v>
      </c>
      <c r="I196" t="s">
        <v>30</v>
      </c>
      <c r="J196">
        <v>4</v>
      </c>
      <c r="K196" t="s">
        <v>114</v>
      </c>
      <c r="L196" t="str" cm="1">
        <f t="array" ref="L196">_xlfn.IFS(Table1[[#This Row],[Customer Tenure in months]]&lt;=6, "0-6 months", Table1[[#This Row],[Customer Tenure in months]] &lt;=12, "7-12 months", Table1[[#This Row],[Customer Tenure in months]] &lt;=24, "1-2 years", TRUE, "2+ years")</f>
        <v>1-2 years</v>
      </c>
      <c r="M196">
        <v>14</v>
      </c>
      <c r="N196" t="s">
        <v>164</v>
      </c>
      <c r="O196" s="1">
        <v>600</v>
      </c>
      <c r="P196">
        <v>15</v>
      </c>
      <c r="Q196" s="1">
        <v>9000</v>
      </c>
      <c r="R196">
        <v>179.79</v>
      </c>
      <c r="S196" t="s">
        <v>265</v>
      </c>
      <c r="T196" t="s">
        <v>24</v>
      </c>
    </row>
    <row r="197" spans="1:20" x14ac:dyDescent="0.35">
      <c r="A197" s="22" t="s">
        <v>295</v>
      </c>
      <c r="B197" cm="1">
        <f t="array" ref="B197">IF(MATCH(Table1[[#This Row],[Customer ID]], Table1[Customer ID], 0) = ROW() - ROW(Table1[#Headers]), 1, 0)</f>
        <v>1</v>
      </c>
      <c r="C197" t="s">
        <v>296</v>
      </c>
      <c r="D197" s="2">
        <v>45741</v>
      </c>
      <c r="E197">
        <v>56</v>
      </c>
      <c r="F197" t="str" cm="1">
        <f t="array" ref="F197">_xlfn.IFS( Table1[[#This Row],[Age]]&lt;18, "&lt;18", Table1[[#This Row],[Age]]&lt;= 29, "18-29", Table1[[#This Row],[Age]]&lt;= 44, "30-44",  Table1[[#This Row],[Age]]&lt;=59, "45-59", TRUE, "60+")</f>
        <v>45-59</v>
      </c>
      <c r="G197" t="s">
        <v>152</v>
      </c>
      <c r="H197" t="s">
        <v>20</v>
      </c>
      <c r="I197" t="s">
        <v>21</v>
      </c>
      <c r="J197">
        <v>3</v>
      </c>
      <c r="K197" t="s">
        <v>50</v>
      </c>
      <c r="L197" t="str" cm="1">
        <f t="array" ref="L197">_xlfn.IFS(Table1[[#This Row],[Customer Tenure in months]]&lt;=6, "0-6 months", Table1[[#This Row],[Customer Tenure in months]] &lt;=12, "7-12 months", Table1[[#This Row],[Customer Tenure in months]] &lt;=24, "1-2 years", TRUE, "2+ years")</f>
        <v>2+ years</v>
      </c>
      <c r="M197">
        <v>36</v>
      </c>
      <c r="N197" t="s">
        <v>58</v>
      </c>
      <c r="O197" s="1">
        <v>16000</v>
      </c>
      <c r="P197">
        <v>5</v>
      </c>
      <c r="Q197" s="1">
        <v>80000</v>
      </c>
      <c r="R197">
        <v>197.03</v>
      </c>
      <c r="S197" t="s">
        <v>1091</v>
      </c>
      <c r="T197" t="s">
        <v>39</v>
      </c>
    </row>
    <row r="198" spans="1:20" x14ac:dyDescent="0.35">
      <c r="A198" s="22" t="s">
        <v>295</v>
      </c>
      <c r="B198" cm="1">
        <f t="array" ref="B198">IF(MATCH(Table1[[#This Row],[Customer ID]], Table1[Customer ID], 0) = ROW() - ROW(Table1[#Headers]), 1, 0)</f>
        <v>0</v>
      </c>
      <c r="C198" t="s">
        <v>296</v>
      </c>
      <c r="D198" s="2">
        <v>45741</v>
      </c>
      <c r="E198">
        <v>56</v>
      </c>
      <c r="F198" t="str" cm="1">
        <f t="array" ref="F198">_xlfn.IFS( Table1[[#This Row],[Age]]&lt;18, "&lt;18", Table1[[#This Row],[Age]]&lt;= 29, "18-29", Table1[[#This Row],[Age]]&lt;= 44, "30-44",  Table1[[#This Row],[Age]]&lt;=59, "45-59", TRUE, "60+")</f>
        <v>45-59</v>
      </c>
      <c r="G198" t="s">
        <v>152</v>
      </c>
      <c r="H198" t="s">
        <v>29</v>
      </c>
      <c r="I198" t="s">
        <v>21</v>
      </c>
      <c r="J198">
        <v>3</v>
      </c>
      <c r="K198" t="s">
        <v>50</v>
      </c>
      <c r="L198" t="str" cm="1">
        <f t="array" ref="L198">_xlfn.IFS(Table1[[#This Row],[Customer Tenure in months]]&lt;=6, "0-6 months", Table1[[#This Row],[Customer Tenure in months]] &lt;=12, "7-12 months", Table1[[#This Row],[Customer Tenure in months]] &lt;=24, "1-2 years", TRUE, "2+ years")</f>
        <v>2+ years</v>
      </c>
      <c r="M198">
        <v>36</v>
      </c>
      <c r="N198" t="s">
        <v>72</v>
      </c>
      <c r="O198" s="1">
        <v>350</v>
      </c>
      <c r="P198">
        <v>1</v>
      </c>
      <c r="Q198" s="1">
        <v>350</v>
      </c>
      <c r="R198">
        <v>158.18</v>
      </c>
      <c r="S198" t="s">
        <v>1091</v>
      </c>
      <c r="T198" t="s">
        <v>39</v>
      </c>
    </row>
    <row r="199" spans="1:20" x14ac:dyDescent="0.35">
      <c r="A199" s="22" t="s">
        <v>295</v>
      </c>
      <c r="B199" cm="1">
        <f t="array" ref="B199">IF(MATCH(Table1[[#This Row],[Customer ID]], Table1[Customer ID], 0) = ROW() - ROW(Table1[#Headers]), 1, 0)</f>
        <v>0</v>
      </c>
      <c r="C199" t="s">
        <v>296</v>
      </c>
      <c r="D199" s="2">
        <v>45741</v>
      </c>
      <c r="E199">
        <v>56</v>
      </c>
      <c r="F199" t="str" cm="1">
        <f t="array" ref="F199">_xlfn.IFS( Table1[[#This Row],[Age]]&lt;18, "&lt;18", Table1[[#This Row],[Age]]&lt;= 29, "18-29", Table1[[#This Row],[Age]]&lt;= 44, "30-44",  Table1[[#This Row],[Age]]&lt;=59, "45-59", TRUE, "60+")</f>
        <v>45-59</v>
      </c>
      <c r="G199" t="s">
        <v>152</v>
      </c>
      <c r="H199" t="s">
        <v>41</v>
      </c>
      <c r="I199" t="s">
        <v>21</v>
      </c>
      <c r="J199">
        <v>3</v>
      </c>
      <c r="K199" t="s">
        <v>50</v>
      </c>
      <c r="L199" t="str" cm="1">
        <f t="array" ref="L199">_xlfn.IFS(Table1[[#This Row],[Customer Tenure in months]]&lt;=6, "0-6 months", Table1[[#This Row],[Customer Tenure in months]] &lt;=12, "7-12 months", Table1[[#This Row],[Customer Tenure in months]] &lt;=24, "1-2 years", TRUE, "2+ years")</f>
        <v>2+ years</v>
      </c>
      <c r="M199">
        <v>36</v>
      </c>
      <c r="N199" t="s">
        <v>65</v>
      </c>
      <c r="O199" s="1">
        <v>30000</v>
      </c>
      <c r="P199">
        <v>12</v>
      </c>
      <c r="Q199" s="1">
        <v>360000</v>
      </c>
      <c r="R199">
        <v>111.03</v>
      </c>
      <c r="S199" t="s">
        <v>1091</v>
      </c>
      <c r="T199" t="s">
        <v>39</v>
      </c>
    </row>
    <row r="200" spans="1:20" x14ac:dyDescent="0.35">
      <c r="A200" s="22" t="s">
        <v>297</v>
      </c>
      <c r="B200" cm="1">
        <f t="array" ref="B200">IF(MATCH(Table1[[#This Row],[Customer ID]], Table1[Customer ID], 0) = ROW() - ROW(Table1[#Headers]), 1, 0)</f>
        <v>1</v>
      </c>
      <c r="C200" t="s">
        <v>298</v>
      </c>
      <c r="D200" s="2">
        <v>45713</v>
      </c>
      <c r="E200">
        <v>32</v>
      </c>
      <c r="F200" t="str" cm="1">
        <f t="array" ref="F200">_xlfn.IFS( Table1[[#This Row],[Age]]&lt;18, "&lt;18", Table1[[#This Row],[Age]]&lt;= 29, "18-29", Table1[[#This Row],[Age]]&lt;= 44, "30-44",  Table1[[#This Row],[Age]]&lt;=59, "45-59", TRUE, "60+")</f>
        <v>30-44</v>
      </c>
      <c r="G200" t="s">
        <v>299</v>
      </c>
      <c r="H200" t="s">
        <v>41</v>
      </c>
      <c r="I200" t="s">
        <v>21</v>
      </c>
      <c r="J200">
        <v>4</v>
      </c>
      <c r="K200" t="s">
        <v>114</v>
      </c>
      <c r="L200" t="str" cm="1">
        <f t="array" ref="L200">_xlfn.IFS(Table1[[#This Row],[Customer Tenure in months]]&lt;=6, "0-6 months", Table1[[#This Row],[Customer Tenure in months]] &lt;=12, "7-12 months", Table1[[#This Row],[Customer Tenure in months]] &lt;=24, "1-2 years", TRUE, "2+ years")</f>
        <v>1-2 years</v>
      </c>
      <c r="M200">
        <v>20</v>
      </c>
      <c r="N200" t="s">
        <v>65</v>
      </c>
      <c r="O200" s="1">
        <v>30000</v>
      </c>
      <c r="P200">
        <v>15</v>
      </c>
      <c r="Q200" s="1">
        <v>450000</v>
      </c>
      <c r="R200">
        <v>128.65</v>
      </c>
      <c r="S200" t="s">
        <v>1091</v>
      </c>
      <c r="T200" t="s">
        <v>39</v>
      </c>
    </row>
    <row r="201" spans="1:20" x14ac:dyDescent="0.35">
      <c r="A201" s="22" t="s">
        <v>297</v>
      </c>
      <c r="B201" cm="1">
        <f t="array" ref="B201">IF(MATCH(Table1[[#This Row],[Customer ID]], Table1[Customer ID], 0) = ROW() - ROW(Table1[#Headers]), 1, 0)</f>
        <v>0</v>
      </c>
      <c r="C201" t="s">
        <v>298</v>
      </c>
      <c r="D201" s="2">
        <v>45713</v>
      </c>
      <c r="E201">
        <v>32</v>
      </c>
      <c r="F201" t="str" cm="1">
        <f t="array" ref="F201">_xlfn.IFS( Table1[[#This Row],[Age]]&lt;18, "&lt;18", Table1[[#This Row],[Age]]&lt;= 29, "18-29", Table1[[#This Row],[Age]]&lt;= 44, "30-44",  Table1[[#This Row],[Age]]&lt;=59, "45-59", TRUE, "60+")</f>
        <v>30-44</v>
      </c>
      <c r="G201" t="s">
        <v>299</v>
      </c>
      <c r="H201" t="s">
        <v>29</v>
      </c>
      <c r="I201" t="s">
        <v>21</v>
      </c>
      <c r="J201">
        <v>4</v>
      </c>
      <c r="K201" t="s">
        <v>114</v>
      </c>
      <c r="L201" t="str" cm="1">
        <f t="array" ref="L201">_xlfn.IFS(Table1[[#This Row],[Customer Tenure in months]]&lt;=6, "0-6 months", Table1[[#This Row],[Customer Tenure in months]] &lt;=12, "7-12 months", Table1[[#This Row],[Customer Tenure in months]] &lt;=24, "1-2 years", TRUE, "2+ years")</f>
        <v>1-2 years</v>
      </c>
      <c r="M201">
        <v>20</v>
      </c>
      <c r="N201" t="s">
        <v>31</v>
      </c>
      <c r="O201" s="1">
        <v>5500</v>
      </c>
      <c r="P201">
        <v>12</v>
      </c>
      <c r="Q201" s="1">
        <v>66000</v>
      </c>
      <c r="R201">
        <v>136.18</v>
      </c>
      <c r="S201" t="s">
        <v>1091</v>
      </c>
      <c r="T201" t="s">
        <v>39</v>
      </c>
    </row>
    <row r="202" spans="1:20" x14ac:dyDescent="0.35">
      <c r="A202" s="22" t="s">
        <v>300</v>
      </c>
      <c r="B202" cm="1">
        <f t="array" ref="B202">IF(MATCH(Table1[[#This Row],[Customer ID]], Table1[Customer ID], 0) = ROW() - ROW(Table1[#Headers]), 1, 0)</f>
        <v>1</v>
      </c>
      <c r="C202" t="s">
        <v>301</v>
      </c>
      <c r="D202" s="2">
        <v>45682</v>
      </c>
      <c r="E202">
        <v>39</v>
      </c>
      <c r="F202" t="str" cm="1">
        <f t="array" ref="F202">_xlfn.IFS( Table1[[#This Row],[Age]]&lt;18, "&lt;18", Table1[[#This Row],[Age]]&lt;= 29, "18-29", Table1[[#This Row],[Age]]&lt;= 44, "30-44",  Table1[[#This Row],[Age]]&lt;=59, "45-59", TRUE, "60+")</f>
        <v>30-44</v>
      </c>
      <c r="G202" t="s">
        <v>140</v>
      </c>
      <c r="H202" t="s">
        <v>29</v>
      </c>
      <c r="I202" t="s">
        <v>30</v>
      </c>
      <c r="J202">
        <v>1</v>
      </c>
      <c r="K202" t="s">
        <v>37</v>
      </c>
      <c r="L202" t="str" cm="1">
        <f t="array" ref="L202">_xlfn.IFS(Table1[[#This Row],[Customer Tenure in months]]&lt;=6, "0-6 months", Table1[[#This Row],[Customer Tenure in months]] &lt;=12, "7-12 months", Table1[[#This Row],[Customer Tenure in months]] &lt;=24, "1-2 years", TRUE, "2+ years")</f>
        <v>2+ years</v>
      </c>
      <c r="M202">
        <v>33</v>
      </c>
      <c r="N202" t="s">
        <v>51</v>
      </c>
      <c r="O202" s="1">
        <v>9000</v>
      </c>
      <c r="P202">
        <v>8</v>
      </c>
      <c r="Q202" s="1">
        <v>72000</v>
      </c>
      <c r="R202">
        <v>186.98</v>
      </c>
      <c r="S202" t="s">
        <v>1091</v>
      </c>
      <c r="T202" t="s">
        <v>39</v>
      </c>
    </row>
    <row r="203" spans="1:20" x14ac:dyDescent="0.35">
      <c r="A203" s="22" t="s">
        <v>300</v>
      </c>
      <c r="B203" cm="1">
        <f t="array" ref="B203">IF(MATCH(Table1[[#This Row],[Customer ID]], Table1[Customer ID], 0) = ROW() - ROW(Table1[#Headers]), 1, 0)</f>
        <v>0</v>
      </c>
      <c r="C203" t="s">
        <v>301</v>
      </c>
      <c r="D203" s="2">
        <v>45682</v>
      </c>
      <c r="E203">
        <v>39</v>
      </c>
      <c r="F203" t="str" cm="1">
        <f t="array" ref="F203">_xlfn.IFS( Table1[[#This Row],[Age]]&lt;18, "&lt;18", Table1[[#This Row],[Age]]&lt;= 29, "18-29", Table1[[#This Row],[Age]]&lt;= 44, "30-44",  Table1[[#This Row],[Age]]&lt;=59, "45-59", TRUE, "60+")</f>
        <v>30-44</v>
      </c>
      <c r="G203" t="s">
        <v>140</v>
      </c>
      <c r="H203" t="s">
        <v>41</v>
      </c>
      <c r="I203" t="s">
        <v>30</v>
      </c>
      <c r="J203">
        <v>1</v>
      </c>
      <c r="K203" t="s">
        <v>37</v>
      </c>
      <c r="L203" t="str" cm="1">
        <f t="array" ref="L203">_xlfn.IFS(Table1[[#This Row],[Customer Tenure in months]]&lt;=6, "0-6 months", Table1[[#This Row],[Customer Tenure in months]] &lt;=12, "7-12 months", Table1[[#This Row],[Customer Tenure in months]] &lt;=24, "1-2 years", TRUE, "2+ years")</f>
        <v>2+ years</v>
      </c>
      <c r="M203">
        <v>33</v>
      </c>
      <c r="N203" t="s">
        <v>65</v>
      </c>
      <c r="O203" s="1">
        <v>30000</v>
      </c>
      <c r="P203">
        <v>17</v>
      </c>
      <c r="Q203" s="1">
        <v>510000</v>
      </c>
      <c r="R203">
        <v>189.52</v>
      </c>
      <c r="S203" t="s">
        <v>1091</v>
      </c>
      <c r="T203" t="s">
        <v>39</v>
      </c>
    </row>
    <row r="204" spans="1:20" x14ac:dyDescent="0.35">
      <c r="A204" s="22" t="s">
        <v>302</v>
      </c>
      <c r="B204" cm="1">
        <f t="array" ref="B204">IF(MATCH(Table1[[#This Row],[Customer ID]], Table1[Customer ID], 0) = ROW() - ROW(Table1[#Headers]), 1, 0)</f>
        <v>1</v>
      </c>
      <c r="C204" t="s">
        <v>303</v>
      </c>
      <c r="D204" s="2">
        <v>45741</v>
      </c>
      <c r="E204">
        <v>26</v>
      </c>
      <c r="F204" t="str" cm="1">
        <f t="array" ref="F204">_xlfn.IFS( Table1[[#This Row],[Age]]&lt;18, "&lt;18", Table1[[#This Row],[Age]]&lt;= 29, "18-29", Table1[[#This Row],[Age]]&lt;= 44, "30-44",  Table1[[#This Row],[Age]]&lt;=59, "45-59", TRUE, "60+")</f>
        <v>18-29</v>
      </c>
      <c r="G204" t="s">
        <v>143</v>
      </c>
      <c r="H204" t="s">
        <v>41</v>
      </c>
      <c r="I204" t="s">
        <v>21</v>
      </c>
      <c r="J204">
        <v>2</v>
      </c>
      <c r="K204" t="s">
        <v>22</v>
      </c>
      <c r="L204" t="str" cm="1">
        <f t="array" ref="L204">_xlfn.IFS(Table1[[#This Row],[Customer Tenure in months]]&lt;=6, "0-6 months", Table1[[#This Row],[Customer Tenure in months]] &lt;=12, "7-12 months", Table1[[#This Row],[Customer Tenure in months]] &lt;=24, "1-2 years", TRUE, "2+ years")</f>
        <v>2+ years</v>
      </c>
      <c r="M204">
        <v>41</v>
      </c>
      <c r="N204" t="s">
        <v>62</v>
      </c>
      <c r="O204" s="1">
        <v>24000</v>
      </c>
      <c r="P204">
        <v>5</v>
      </c>
      <c r="Q204" s="1">
        <v>120000</v>
      </c>
      <c r="R204">
        <v>188.35</v>
      </c>
      <c r="S204" t="s">
        <v>1091</v>
      </c>
      <c r="T204" t="s">
        <v>39</v>
      </c>
    </row>
    <row r="205" spans="1:20" x14ac:dyDescent="0.35">
      <c r="A205" s="22" t="s">
        <v>302</v>
      </c>
      <c r="B205" cm="1">
        <f t="array" ref="B205">IF(MATCH(Table1[[#This Row],[Customer ID]], Table1[Customer ID], 0) = ROW() - ROW(Table1[#Headers]), 1, 0)</f>
        <v>0</v>
      </c>
      <c r="C205" t="s">
        <v>303</v>
      </c>
      <c r="D205" s="2">
        <v>45741</v>
      </c>
      <c r="E205">
        <v>26</v>
      </c>
      <c r="F205" t="str" cm="1">
        <f t="array" ref="F205">_xlfn.IFS( Table1[[#This Row],[Age]]&lt;18, "&lt;18", Table1[[#This Row],[Age]]&lt;= 29, "18-29", Table1[[#This Row],[Age]]&lt;= 44, "30-44",  Table1[[#This Row],[Age]]&lt;=59, "45-59", TRUE, "60+")</f>
        <v>18-29</v>
      </c>
      <c r="G205" t="s">
        <v>143</v>
      </c>
      <c r="H205" t="s">
        <v>36</v>
      </c>
      <c r="I205" t="s">
        <v>21</v>
      </c>
      <c r="J205">
        <v>2</v>
      </c>
      <c r="K205" t="s">
        <v>22</v>
      </c>
      <c r="L205" t="str" cm="1">
        <f t="array" ref="L205">_xlfn.IFS(Table1[[#This Row],[Customer Tenure in months]]&lt;=6, "0-6 months", Table1[[#This Row],[Customer Tenure in months]] &lt;=12, "7-12 months", Table1[[#This Row],[Customer Tenure in months]] &lt;=24, "1-2 years", TRUE, "2+ years")</f>
        <v>2+ years</v>
      </c>
      <c r="M205">
        <v>41</v>
      </c>
      <c r="N205" t="s">
        <v>65</v>
      </c>
      <c r="O205" s="1">
        <v>30000</v>
      </c>
      <c r="P205">
        <v>20</v>
      </c>
      <c r="Q205" s="1">
        <v>600000</v>
      </c>
      <c r="R205">
        <v>131.91999999999999</v>
      </c>
      <c r="S205" t="s">
        <v>1091</v>
      </c>
      <c r="T205" t="s">
        <v>39</v>
      </c>
    </row>
    <row r="206" spans="1:20" x14ac:dyDescent="0.35">
      <c r="A206" s="22" t="s">
        <v>302</v>
      </c>
      <c r="B206" cm="1">
        <f t="array" ref="B206">IF(MATCH(Table1[[#This Row],[Customer ID]], Table1[Customer ID], 0) = ROW() - ROW(Table1[#Headers]), 1, 0)</f>
        <v>0</v>
      </c>
      <c r="C206" t="s">
        <v>303</v>
      </c>
      <c r="D206" s="2">
        <v>45741</v>
      </c>
      <c r="E206">
        <v>26</v>
      </c>
      <c r="F206" t="str" cm="1">
        <f t="array" ref="F206">_xlfn.IFS( Table1[[#This Row],[Age]]&lt;18, "&lt;18", Table1[[#This Row],[Age]]&lt;= 29, "18-29", Table1[[#This Row],[Age]]&lt;= 44, "30-44",  Table1[[#This Row],[Age]]&lt;=59, "45-59", TRUE, "60+")</f>
        <v>18-29</v>
      </c>
      <c r="G206" t="s">
        <v>143</v>
      </c>
      <c r="H206" t="s">
        <v>29</v>
      </c>
      <c r="I206" t="s">
        <v>21</v>
      </c>
      <c r="J206">
        <v>2</v>
      </c>
      <c r="K206" t="s">
        <v>22</v>
      </c>
      <c r="L206" t="str" cm="1">
        <f t="array" ref="L206">_xlfn.IFS(Table1[[#This Row],[Customer Tenure in months]]&lt;=6, "0-6 months", Table1[[#This Row],[Customer Tenure in months]] &lt;=12, "7-12 months", Table1[[#This Row],[Customer Tenure in months]] &lt;=24, "1-2 years", TRUE, "2+ years")</f>
        <v>2+ years</v>
      </c>
      <c r="M206">
        <v>41</v>
      </c>
      <c r="N206" t="s">
        <v>56</v>
      </c>
      <c r="O206" s="1">
        <v>3500</v>
      </c>
      <c r="P206">
        <v>19</v>
      </c>
      <c r="Q206" s="1">
        <v>66500</v>
      </c>
      <c r="R206">
        <v>168.58</v>
      </c>
      <c r="S206" t="s">
        <v>1091</v>
      </c>
      <c r="T206" t="s">
        <v>39</v>
      </c>
    </row>
    <row r="207" spans="1:20" x14ac:dyDescent="0.35">
      <c r="A207" s="22" t="s">
        <v>304</v>
      </c>
      <c r="B207" cm="1">
        <f t="array" ref="B207">IF(MATCH(Table1[[#This Row],[Customer ID]], Table1[Customer ID], 0) = ROW() - ROW(Table1[#Headers]), 1, 0)</f>
        <v>1</v>
      </c>
      <c r="C207" t="s">
        <v>305</v>
      </c>
      <c r="D207" s="2">
        <v>45741</v>
      </c>
      <c r="E207">
        <v>19</v>
      </c>
      <c r="F207" t="str" cm="1">
        <f t="array" ref="F207">_xlfn.IFS( Table1[[#This Row],[Age]]&lt;18, "&lt;18", Table1[[#This Row],[Age]]&lt;= 29, "18-29", Table1[[#This Row],[Age]]&lt;= 44, "30-44",  Table1[[#This Row],[Age]]&lt;=59, "45-59", TRUE, "60+")</f>
        <v>18-29</v>
      </c>
      <c r="G207" t="s">
        <v>299</v>
      </c>
      <c r="H207" t="s">
        <v>20</v>
      </c>
      <c r="I207" t="s">
        <v>21</v>
      </c>
      <c r="J207">
        <v>2</v>
      </c>
      <c r="K207" t="s">
        <v>22</v>
      </c>
      <c r="L207" t="str" cm="1">
        <f t="array" ref="L207">_xlfn.IFS(Table1[[#This Row],[Customer Tenure in months]]&lt;=6, "0-6 months", Table1[[#This Row],[Customer Tenure in months]] &lt;=12, "7-12 months", Table1[[#This Row],[Customer Tenure in months]] &lt;=24, "1-2 years", TRUE, "2+ years")</f>
        <v>2+ years</v>
      </c>
      <c r="M207">
        <v>42</v>
      </c>
      <c r="N207" t="s">
        <v>46</v>
      </c>
      <c r="O207" s="1">
        <v>4500</v>
      </c>
      <c r="P207">
        <v>10</v>
      </c>
      <c r="Q207" s="1">
        <v>45000</v>
      </c>
      <c r="R207">
        <v>128.56</v>
      </c>
      <c r="S207" t="s">
        <v>1091</v>
      </c>
      <c r="T207" t="s">
        <v>39</v>
      </c>
    </row>
    <row r="208" spans="1:20" x14ac:dyDescent="0.35">
      <c r="A208" s="22" t="s">
        <v>306</v>
      </c>
      <c r="B208" cm="1">
        <f t="array" ref="B208">IF(MATCH(Table1[[#This Row],[Customer ID]], Table1[Customer ID], 0) = ROW() - ROW(Table1[#Headers]), 1, 0)</f>
        <v>1</v>
      </c>
      <c r="C208" t="s">
        <v>307</v>
      </c>
      <c r="D208" s="2">
        <v>45682</v>
      </c>
      <c r="E208">
        <v>47</v>
      </c>
      <c r="F208" t="str" cm="1">
        <f t="array" ref="F208">_xlfn.IFS( Table1[[#This Row],[Age]]&lt;18, "&lt;18", Table1[[#This Row],[Age]]&lt;= 29, "18-29", Table1[[#This Row],[Age]]&lt;= 44, "30-44",  Table1[[#This Row],[Age]]&lt;=59, "45-59", TRUE, "60+")</f>
        <v>45-59</v>
      </c>
      <c r="G208" t="s">
        <v>82</v>
      </c>
      <c r="H208" t="s">
        <v>29</v>
      </c>
      <c r="I208" t="s">
        <v>30</v>
      </c>
      <c r="J208">
        <v>1</v>
      </c>
      <c r="K208" t="s">
        <v>37</v>
      </c>
      <c r="L208" t="str" cm="1">
        <f t="array" ref="L208">_xlfn.IFS(Table1[[#This Row],[Customer Tenure in months]]&lt;=6, "0-6 months", Table1[[#This Row],[Customer Tenure in months]] &lt;=12, "7-12 months", Table1[[#This Row],[Customer Tenure in months]] &lt;=24, "1-2 years", TRUE, "2+ years")</f>
        <v>2+ years</v>
      </c>
      <c r="M208">
        <v>30</v>
      </c>
      <c r="N208" t="s">
        <v>56</v>
      </c>
      <c r="O208" s="1">
        <v>3500</v>
      </c>
      <c r="P208">
        <v>11</v>
      </c>
      <c r="Q208" s="1">
        <v>38500</v>
      </c>
      <c r="R208">
        <v>121.53</v>
      </c>
      <c r="S208" t="s">
        <v>167</v>
      </c>
      <c r="T208" t="s">
        <v>24</v>
      </c>
    </row>
    <row r="209" spans="1:20" x14ac:dyDescent="0.35">
      <c r="A209" s="22" t="s">
        <v>306</v>
      </c>
      <c r="B209" cm="1">
        <f t="array" ref="B209">IF(MATCH(Table1[[#This Row],[Customer ID]], Table1[Customer ID], 0) = ROW() - ROW(Table1[#Headers]), 1, 0)</f>
        <v>0</v>
      </c>
      <c r="C209" t="s">
        <v>307</v>
      </c>
      <c r="D209" s="2">
        <v>45682</v>
      </c>
      <c r="E209">
        <v>47</v>
      </c>
      <c r="F209" t="str" cm="1">
        <f t="array" ref="F209">_xlfn.IFS( Table1[[#This Row],[Age]]&lt;18, "&lt;18", Table1[[#This Row],[Age]]&lt;= 29, "18-29", Table1[[#This Row],[Age]]&lt;= 44, "30-44",  Table1[[#This Row],[Age]]&lt;=59, "45-59", TRUE, "60+")</f>
        <v>45-59</v>
      </c>
      <c r="G209" t="s">
        <v>82</v>
      </c>
      <c r="H209" t="s">
        <v>41</v>
      </c>
      <c r="I209" t="s">
        <v>30</v>
      </c>
      <c r="J209">
        <v>1</v>
      </c>
      <c r="K209" t="s">
        <v>37</v>
      </c>
      <c r="L209" t="str" cm="1">
        <f t="array" ref="L209">_xlfn.IFS(Table1[[#This Row],[Customer Tenure in months]]&lt;=6, "0-6 months", Table1[[#This Row],[Customer Tenure in months]] &lt;=12, "7-12 months", Table1[[#This Row],[Customer Tenure in months]] &lt;=24, "1-2 years", TRUE, "2+ years")</f>
        <v>2+ years</v>
      </c>
      <c r="M209">
        <v>30</v>
      </c>
      <c r="N209" t="s">
        <v>65</v>
      </c>
      <c r="O209" s="1">
        <v>30000</v>
      </c>
      <c r="P209">
        <v>12</v>
      </c>
      <c r="Q209" s="1">
        <v>360000</v>
      </c>
      <c r="R209">
        <v>146.97</v>
      </c>
      <c r="S209" t="s">
        <v>167</v>
      </c>
      <c r="T209" t="s">
        <v>24</v>
      </c>
    </row>
    <row r="210" spans="1:20" x14ac:dyDescent="0.35">
      <c r="A210" s="22" t="s">
        <v>308</v>
      </c>
      <c r="B210" cm="1">
        <f t="array" ref="B210">IF(MATCH(Table1[[#This Row],[Customer ID]], Table1[Customer ID], 0) = ROW() - ROW(Table1[#Headers]), 1, 0)</f>
        <v>1</v>
      </c>
      <c r="C210" t="s">
        <v>309</v>
      </c>
      <c r="D210" s="2">
        <v>45713</v>
      </c>
      <c r="E210">
        <v>32</v>
      </c>
      <c r="F210" t="str" cm="1">
        <f t="array" ref="F210">_xlfn.IFS( Table1[[#This Row],[Age]]&lt;18, "&lt;18", Table1[[#This Row],[Age]]&lt;= 29, "18-29", Table1[[#This Row],[Age]]&lt;= 44, "30-44",  Table1[[#This Row],[Age]]&lt;=59, "45-59", TRUE, "60+")</f>
        <v>30-44</v>
      </c>
      <c r="G210" t="s">
        <v>45</v>
      </c>
      <c r="H210" t="s">
        <v>29</v>
      </c>
      <c r="I210" t="s">
        <v>21</v>
      </c>
      <c r="J210">
        <v>4</v>
      </c>
      <c r="K210" t="s">
        <v>114</v>
      </c>
      <c r="L210" t="str" cm="1">
        <f t="array" ref="L210">_xlfn.IFS(Table1[[#This Row],[Customer Tenure in months]]&lt;=6, "0-6 months", Table1[[#This Row],[Customer Tenure in months]] &lt;=12, "7-12 months", Table1[[#This Row],[Customer Tenure in months]] &lt;=24, "1-2 years", TRUE, "2+ years")</f>
        <v>1-2 years</v>
      </c>
      <c r="M210">
        <v>21</v>
      </c>
      <c r="N210" t="s">
        <v>58</v>
      </c>
      <c r="O210" s="1">
        <v>16000</v>
      </c>
      <c r="P210">
        <v>13</v>
      </c>
      <c r="Q210" s="1">
        <v>208000</v>
      </c>
      <c r="R210">
        <v>10.6</v>
      </c>
      <c r="S210" t="s">
        <v>167</v>
      </c>
      <c r="T210" t="s">
        <v>24</v>
      </c>
    </row>
    <row r="211" spans="1:20" x14ac:dyDescent="0.35">
      <c r="A211" s="22" t="s">
        <v>310</v>
      </c>
      <c r="B211" cm="1">
        <f t="array" ref="B211">IF(MATCH(Table1[[#This Row],[Customer ID]], Table1[Customer ID], 0) = ROW() - ROW(Table1[#Headers]), 1, 0)</f>
        <v>1</v>
      </c>
      <c r="C211" t="s">
        <v>311</v>
      </c>
      <c r="D211" s="2">
        <v>45741</v>
      </c>
      <c r="E211">
        <v>47</v>
      </c>
      <c r="F211" t="str" cm="1">
        <f t="array" ref="F211">_xlfn.IFS( Table1[[#This Row],[Age]]&lt;18, "&lt;18", Table1[[#This Row],[Age]]&lt;= 29, "18-29", Table1[[#This Row],[Age]]&lt;= 44, "30-44",  Table1[[#This Row],[Age]]&lt;=59, "45-59", TRUE, "60+")</f>
        <v>45-59</v>
      </c>
      <c r="G211" t="s">
        <v>28</v>
      </c>
      <c r="H211" t="s">
        <v>29</v>
      </c>
      <c r="I211" t="s">
        <v>30</v>
      </c>
      <c r="J211">
        <v>2</v>
      </c>
      <c r="K211" t="s">
        <v>22</v>
      </c>
      <c r="L211" t="str" cm="1">
        <f t="array" ref="L211">_xlfn.IFS(Table1[[#This Row],[Customer Tenure in months]]&lt;=6, "0-6 months", Table1[[#This Row],[Customer Tenure in months]] &lt;=12, "7-12 months", Table1[[#This Row],[Customer Tenure in months]] &lt;=24, "1-2 years", TRUE, "2+ years")</f>
        <v>2+ years</v>
      </c>
      <c r="M211">
        <v>60</v>
      </c>
      <c r="N211" t="s">
        <v>40</v>
      </c>
      <c r="O211" s="1">
        <v>500</v>
      </c>
      <c r="P211">
        <v>3</v>
      </c>
      <c r="Q211" s="1">
        <v>1500</v>
      </c>
      <c r="R211">
        <v>99.73</v>
      </c>
      <c r="S211" t="s">
        <v>1091</v>
      </c>
      <c r="T211" t="s">
        <v>39</v>
      </c>
    </row>
    <row r="212" spans="1:20" x14ac:dyDescent="0.35">
      <c r="A212" s="22" t="s">
        <v>310</v>
      </c>
      <c r="B212" cm="1">
        <f t="array" ref="B212">IF(MATCH(Table1[[#This Row],[Customer ID]], Table1[Customer ID], 0) = ROW() - ROW(Table1[#Headers]), 1, 0)</f>
        <v>0</v>
      </c>
      <c r="C212" t="s">
        <v>311</v>
      </c>
      <c r="D212" s="2">
        <v>45741</v>
      </c>
      <c r="E212">
        <v>47</v>
      </c>
      <c r="F212" t="str" cm="1">
        <f t="array" ref="F212">_xlfn.IFS( Table1[[#This Row],[Age]]&lt;18, "&lt;18", Table1[[#This Row],[Age]]&lt;= 29, "18-29", Table1[[#This Row],[Age]]&lt;= 44, "30-44",  Table1[[#This Row],[Age]]&lt;=59, "45-59", TRUE, "60+")</f>
        <v>45-59</v>
      </c>
      <c r="G212" t="s">
        <v>28</v>
      </c>
      <c r="H212" t="s">
        <v>20</v>
      </c>
      <c r="I212" t="s">
        <v>30</v>
      </c>
      <c r="J212">
        <v>2</v>
      </c>
      <c r="K212" t="s">
        <v>22</v>
      </c>
      <c r="L212" t="str" cm="1">
        <f t="array" ref="L212">_xlfn.IFS(Table1[[#This Row],[Customer Tenure in months]]&lt;=6, "0-6 months", Table1[[#This Row],[Customer Tenure in months]] &lt;=12, "7-12 months", Table1[[#This Row],[Customer Tenure in months]] &lt;=24, "1-2 years", TRUE, "2+ years")</f>
        <v>2+ years</v>
      </c>
      <c r="M212">
        <v>60</v>
      </c>
      <c r="N212" t="s">
        <v>23</v>
      </c>
      <c r="O212" s="1">
        <v>35000</v>
      </c>
      <c r="P212">
        <v>8</v>
      </c>
      <c r="Q212" s="1">
        <v>280000</v>
      </c>
      <c r="R212">
        <v>101.34</v>
      </c>
      <c r="S212" t="s">
        <v>1091</v>
      </c>
      <c r="T212" t="s">
        <v>39</v>
      </c>
    </row>
    <row r="213" spans="1:20" x14ac:dyDescent="0.35">
      <c r="A213" s="22" t="s">
        <v>312</v>
      </c>
      <c r="B213" cm="1">
        <f t="array" ref="B213">IF(MATCH(Table1[[#This Row],[Customer ID]], Table1[Customer ID], 0) = ROW() - ROW(Table1[#Headers]), 1, 0)</f>
        <v>1</v>
      </c>
      <c r="C213" t="s">
        <v>313</v>
      </c>
      <c r="D213" s="2">
        <v>45713</v>
      </c>
      <c r="E213">
        <v>61</v>
      </c>
      <c r="F213" t="str" cm="1">
        <f t="array" ref="F213">_xlfn.IFS( Table1[[#This Row],[Age]]&lt;18, "&lt;18", Table1[[#This Row],[Age]]&lt;= 29, "18-29", Table1[[#This Row],[Age]]&lt;= 44, "30-44",  Table1[[#This Row],[Age]]&lt;=59, "45-59", TRUE, "60+")</f>
        <v>60+</v>
      </c>
      <c r="G213" t="s">
        <v>49</v>
      </c>
      <c r="H213" t="s">
        <v>29</v>
      </c>
      <c r="I213" t="s">
        <v>21</v>
      </c>
      <c r="J213">
        <v>5</v>
      </c>
      <c r="K213" t="s">
        <v>55</v>
      </c>
      <c r="L213" t="str" cm="1">
        <f t="array" ref="L213">_xlfn.IFS(Table1[[#This Row],[Customer Tenure in months]]&lt;=6, "0-6 months", Table1[[#This Row],[Customer Tenure in months]] &lt;=12, "7-12 months", Table1[[#This Row],[Customer Tenure in months]] &lt;=24, "1-2 years", TRUE, "2+ years")</f>
        <v>1-2 years</v>
      </c>
      <c r="M213">
        <v>19</v>
      </c>
      <c r="N213" t="s">
        <v>83</v>
      </c>
      <c r="O213" s="1">
        <v>1000</v>
      </c>
      <c r="P213">
        <v>9</v>
      </c>
      <c r="Q213" s="1">
        <v>9000</v>
      </c>
      <c r="R213">
        <v>86.47</v>
      </c>
      <c r="S213" t="s">
        <v>1091</v>
      </c>
      <c r="T213" t="s">
        <v>39</v>
      </c>
    </row>
    <row r="214" spans="1:20" x14ac:dyDescent="0.35">
      <c r="A214" s="22" t="s">
        <v>312</v>
      </c>
      <c r="B214" cm="1">
        <f t="array" ref="B214">IF(MATCH(Table1[[#This Row],[Customer ID]], Table1[Customer ID], 0) = ROW() - ROW(Table1[#Headers]), 1, 0)</f>
        <v>0</v>
      </c>
      <c r="C214" t="s">
        <v>313</v>
      </c>
      <c r="D214" s="2">
        <v>45713</v>
      </c>
      <c r="E214">
        <v>61</v>
      </c>
      <c r="F214" t="str" cm="1">
        <f t="array" ref="F214">_xlfn.IFS( Table1[[#This Row],[Age]]&lt;18, "&lt;18", Table1[[#This Row],[Age]]&lt;= 29, "18-29", Table1[[#This Row],[Age]]&lt;= 44, "30-44",  Table1[[#This Row],[Age]]&lt;=59, "45-59", TRUE, "60+")</f>
        <v>60+</v>
      </c>
      <c r="G214" t="s">
        <v>49</v>
      </c>
      <c r="H214" t="s">
        <v>20</v>
      </c>
      <c r="I214" t="s">
        <v>21</v>
      </c>
      <c r="J214">
        <v>5</v>
      </c>
      <c r="K214" t="s">
        <v>55</v>
      </c>
      <c r="L214" t="str" cm="1">
        <f t="array" ref="L214">_xlfn.IFS(Table1[[#This Row],[Customer Tenure in months]]&lt;=6, "0-6 months", Table1[[#This Row],[Customer Tenure in months]] &lt;=12, "7-12 months", Table1[[#This Row],[Customer Tenure in months]] &lt;=24, "1-2 years", TRUE, "2+ years")</f>
        <v>1-2 years</v>
      </c>
      <c r="M214">
        <v>19</v>
      </c>
      <c r="N214" t="s">
        <v>51</v>
      </c>
      <c r="O214" s="1">
        <v>9000</v>
      </c>
      <c r="P214">
        <v>12</v>
      </c>
      <c r="Q214" s="1">
        <v>108000</v>
      </c>
      <c r="R214">
        <v>152.88999999999999</v>
      </c>
      <c r="S214" t="s">
        <v>1091</v>
      </c>
      <c r="T214" t="s">
        <v>39</v>
      </c>
    </row>
    <row r="215" spans="1:20" x14ac:dyDescent="0.35">
      <c r="A215" s="22" t="s">
        <v>312</v>
      </c>
      <c r="B215" cm="1">
        <f t="array" ref="B215">IF(MATCH(Table1[[#This Row],[Customer ID]], Table1[Customer ID], 0) = ROW() - ROW(Table1[#Headers]), 1, 0)</f>
        <v>0</v>
      </c>
      <c r="C215" t="s">
        <v>313</v>
      </c>
      <c r="D215" s="2">
        <v>45713</v>
      </c>
      <c r="E215">
        <v>61</v>
      </c>
      <c r="F215" t="str" cm="1">
        <f t="array" ref="F215">_xlfn.IFS( Table1[[#This Row],[Age]]&lt;18, "&lt;18", Table1[[#This Row],[Age]]&lt;= 29, "18-29", Table1[[#This Row],[Age]]&lt;= 44, "30-44",  Table1[[#This Row],[Age]]&lt;=59, "45-59", TRUE, "60+")</f>
        <v>60+</v>
      </c>
      <c r="G215" t="s">
        <v>49</v>
      </c>
      <c r="H215" t="s">
        <v>41</v>
      </c>
      <c r="I215" t="s">
        <v>21</v>
      </c>
      <c r="J215">
        <v>5</v>
      </c>
      <c r="K215" t="s">
        <v>55</v>
      </c>
      <c r="L215" t="str" cm="1">
        <f t="array" ref="L215">_xlfn.IFS(Table1[[#This Row],[Customer Tenure in months]]&lt;=6, "0-6 months", Table1[[#This Row],[Customer Tenure in months]] &lt;=12, "7-12 months", Table1[[#This Row],[Customer Tenure in months]] &lt;=24, "1-2 years", TRUE, "2+ years")</f>
        <v>1-2 years</v>
      </c>
      <c r="M215">
        <v>19</v>
      </c>
      <c r="N215" t="s">
        <v>42</v>
      </c>
      <c r="O215" s="1">
        <v>9000</v>
      </c>
      <c r="P215">
        <v>19</v>
      </c>
      <c r="Q215" s="1">
        <v>171000</v>
      </c>
      <c r="R215">
        <v>80.42</v>
      </c>
      <c r="S215" t="s">
        <v>1091</v>
      </c>
      <c r="T215" t="s">
        <v>39</v>
      </c>
    </row>
    <row r="216" spans="1:20" x14ac:dyDescent="0.35">
      <c r="A216" s="22" t="s">
        <v>314</v>
      </c>
      <c r="B216" cm="1">
        <f t="array" ref="B216">IF(MATCH(Table1[[#This Row],[Customer ID]], Table1[Customer ID], 0) = ROW() - ROW(Table1[#Headers]), 1, 0)</f>
        <v>1</v>
      </c>
      <c r="C216" t="s">
        <v>315</v>
      </c>
      <c r="D216" s="2">
        <v>45713</v>
      </c>
      <c r="E216">
        <v>62</v>
      </c>
      <c r="F216" t="str" cm="1">
        <f t="array" ref="F216">_xlfn.IFS( Table1[[#This Row],[Age]]&lt;18, "&lt;18", Table1[[#This Row],[Age]]&lt;= 29, "18-29", Table1[[#This Row],[Age]]&lt;= 44, "30-44",  Table1[[#This Row],[Age]]&lt;=59, "45-59", TRUE, "60+")</f>
        <v>60+</v>
      </c>
      <c r="G216" t="s">
        <v>101</v>
      </c>
      <c r="H216" t="s">
        <v>41</v>
      </c>
      <c r="I216" t="s">
        <v>21</v>
      </c>
      <c r="J216">
        <v>5</v>
      </c>
      <c r="K216" t="s">
        <v>55</v>
      </c>
      <c r="L216" t="str" cm="1">
        <f t="array" ref="L216">_xlfn.IFS(Table1[[#This Row],[Customer Tenure in months]]&lt;=6, "0-6 months", Table1[[#This Row],[Customer Tenure in months]] &lt;=12, "7-12 months", Table1[[#This Row],[Customer Tenure in months]] &lt;=24, "1-2 years", TRUE, "2+ years")</f>
        <v>2+ years</v>
      </c>
      <c r="M216">
        <v>25</v>
      </c>
      <c r="N216" t="s">
        <v>71</v>
      </c>
      <c r="O216" s="1">
        <v>14500</v>
      </c>
      <c r="P216">
        <v>11</v>
      </c>
      <c r="Q216" s="1">
        <v>159500</v>
      </c>
      <c r="R216">
        <v>74.95</v>
      </c>
      <c r="S216" t="s">
        <v>25</v>
      </c>
      <c r="T216" t="s">
        <v>24</v>
      </c>
    </row>
    <row r="217" spans="1:20" x14ac:dyDescent="0.35">
      <c r="A217" s="22" t="s">
        <v>314</v>
      </c>
      <c r="B217" cm="1">
        <f t="array" ref="B217">IF(MATCH(Table1[[#This Row],[Customer ID]], Table1[Customer ID], 0) = ROW() - ROW(Table1[#Headers]), 1, 0)</f>
        <v>0</v>
      </c>
      <c r="C217" t="s">
        <v>315</v>
      </c>
      <c r="D217" s="2">
        <v>45713</v>
      </c>
      <c r="E217">
        <v>62</v>
      </c>
      <c r="F217" t="str" cm="1">
        <f t="array" ref="F217">_xlfn.IFS( Table1[[#This Row],[Age]]&lt;18, "&lt;18", Table1[[#This Row],[Age]]&lt;= 29, "18-29", Table1[[#This Row],[Age]]&lt;= 44, "30-44",  Table1[[#This Row],[Age]]&lt;=59, "45-59", TRUE, "60+")</f>
        <v>60+</v>
      </c>
      <c r="G217" t="s">
        <v>101</v>
      </c>
      <c r="H217" t="s">
        <v>29</v>
      </c>
      <c r="I217" t="s">
        <v>21</v>
      </c>
      <c r="J217">
        <v>5</v>
      </c>
      <c r="K217" t="s">
        <v>55</v>
      </c>
      <c r="L217" t="str" cm="1">
        <f t="array" ref="L217">_xlfn.IFS(Table1[[#This Row],[Customer Tenure in months]]&lt;=6, "0-6 months", Table1[[#This Row],[Customer Tenure in months]] &lt;=12, "7-12 months", Table1[[#This Row],[Customer Tenure in months]] &lt;=24, "1-2 years", TRUE, "2+ years")</f>
        <v>2+ years</v>
      </c>
      <c r="M217">
        <v>25</v>
      </c>
      <c r="N217" t="s">
        <v>193</v>
      </c>
      <c r="O217" s="1">
        <v>6500</v>
      </c>
      <c r="P217">
        <v>5</v>
      </c>
      <c r="Q217" s="1">
        <v>32500</v>
      </c>
      <c r="R217">
        <v>187.82</v>
      </c>
      <c r="S217" t="s">
        <v>25</v>
      </c>
      <c r="T217" t="s">
        <v>24</v>
      </c>
    </row>
    <row r="218" spans="1:20" x14ac:dyDescent="0.35">
      <c r="A218" s="22" t="s">
        <v>314</v>
      </c>
      <c r="B218" cm="1">
        <f t="array" ref="B218">IF(MATCH(Table1[[#This Row],[Customer ID]], Table1[Customer ID], 0) = ROW() - ROW(Table1[#Headers]), 1, 0)</f>
        <v>0</v>
      </c>
      <c r="C218" t="s">
        <v>315</v>
      </c>
      <c r="D218" s="2">
        <v>45713</v>
      </c>
      <c r="E218">
        <v>62</v>
      </c>
      <c r="F218" t="str" cm="1">
        <f t="array" ref="F218">_xlfn.IFS( Table1[[#This Row],[Age]]&lt;18, "&lt;18", Table1[[#This Row],[Age]]&lt;= 29, "18-29", Table1[[#This Row],[Age]]&lt;= 44, "30-44",  Table1[[#This Row],[Age]]&lt;=59, "45-59", TRUE, "60+")</f>
        <v>60+</v>
      </c>
      <c r="G218" t="s">
        <v>101</v>
      </c>
      <c r="H218" t="s">
        <v>36</v>
      </c>
      <c r="I218" t="s">
        <v>21</v>
      </c>
      <c r="J218">
        <v>5</v>
      </c>
      <c r="K218" t="s">
        <v>55</v>
      </c>
      <c r="L218" t="str" cm="1">
        <f t="array" ref="L218">_xlfn.IFS(Table1[[#This Row],[Customer Tenure in months]]&lt;=6, "0-6 months", Table1[[#This Row],[Customer Tenure in months]] &lt;=12, "7-12 months", Table1[[#This Row],[Customer Tenure in months]] &lt;=24, "1-2 years", TRUE, "2+ years")</f>
        <v>2+ years</v>
      </c>
      <c r="M218">
        <v>25</v>
      </c>
      <c r="N218" t="s">
        <v>71</v>
      </c>
      <c r="O218" s="1">
        <v>14500</v>
      </c>
      <c r="P218">
        <v>13</v>
      </c>
      <c r="Q218" s="1">
        <v>188500</v>
      </c>
      <c r="R218">
        <v>120.69</v>
      </c>
      <c r="S218" t="s">
        <v>25</v>
      </c>
      <c r="T218" t="s">
        <v>24</v>
      </c>
    </row>
    <row r="219" spans="1:20" x14ac:dyDescent="0.35">
      <c r="A219" s="22" t="s">
        <v>316</v>
      </c>
      <c r="B219" cm="1">
        <f t="array" ref="B219">IF(MATCH(Table1[[#This Row],[Customer ID]], Table1[Customer ID], 0) = ROW() - ROW(Table1[#Headers]), 1, 0)</f>
        <v>1</v>
      </c>
      <c r="C219" t="s">
        <v>317</v>
      </c>
      <c r="D219" s="2">
        <v>45741</v>
      </c>
      <c r="E219">
        <v>21</v>
      </c>
      <c r="F219" t="str" cm="1">
        <f t="array" ref="F219">_xlfn.IFS( Table1[[#This Row],[Age]]&lt;18, "&lt;18", Table1[[#This Row],[Age]]&lt;= 29, "18-29", Table1[[#This Row],[Age]]&lt;= 44, "30-44",  Table1[[#This Row],[Age]]&lt;=59, "45-59", TRUE, "60+")</f>
        <v>18-29</v>
      </c>
      <c r="G219" t="s">
        <v>128</v>
      </c>
      <c r="H219" t="s">
        <v>20</v>
      </c>
      <c r="I219" t="s">
        <v>21</v>
      </c>
      <c r="J219">
        <v>4</v>
      </c>
      <c r="K219" t="s">
        <v>114</v>
      </c>
      <c r="L219" t="str" cm="1">
        <f t="array" ref="L219">_xlfn.IFS(Table1[[#This Row],[Customer Tenure in months]]&lt;=6, "0-6 months", Table1[[#This Row],[Customer Tenure in months]] &lt;=12, "7-12 months", Table1[[#This Row],[Customer Tenure in months]] &lt;=24, "1-2 years", TRUE, "2+ years")</f>
        <v>7-12 months</v>
      </c>
      <c r="M219">
        <v>9</v>
      </c>
      <c r="N219" t="s">
        <v>51</v>
      </c>
      <c r="O219" s="1">
        <v>9000</v>
      </c>
      <c r="P219">
        <v>11</v>
      </c>
      <c r="Q219" s="1">
        <v>99000</v>
      </c>
      <c r="R219">
        <v>186.31</v>
      </c>
      <c r="S219" t="s">
        <v>1091</v>
      </c>
      <c r="T219" t="s">
        <v>39</v>
      </c>
    </row>
    <row r="220" spans="1:20" x14ac:dyDescent="0.35">
      <c r="A220" s="22" t="s">
        <v>318</v>
      </c>
      <c r="B220" cm="1">
        <f t="array" ref="B220">IF(MATCH(Table1[[#This Row],[Customer ID]], Table1[Customer ID], 0) = ROW() - ROW(Table1[#Headers]), 1, 0)</f>
        <v>1</v>
      </c>
      <c r="C220" t="s">
        <v>319</v>
      </c>
      <c r="D220" s="2">
        <v>45713</v>
      </c>
      <c r="E220">
        <v>66</v>
      </c>
      <c r="F220" t="str" cm="1">
        <f t="array" ref="F220">_xlfn.IFS( Table1[[#This Row],[Age]]&lt;18, "&lt;18", Table1[[#This Row],[Age]]&lt;= 29, "18-29", Table1[[#This Row],[Age]]&lt;= 44, "30-44",  Table1[[#This Row],[Age]]&lt;=59, "45-59", TRUE, "60+")</f>
        <v>60+</v>
      </c>
      <c r="G220" t="s">
        <v>149</v>
      </c>
      <c r="H220" t="s">
        <v>36</v>
      </c>
      <c r="I220" t="s">
        <v>30</v>
      </c>
      <c r="J220">
        <v>5</v>
      </c>
      <c r="K220" t="s">
        <v>55</v>
      </c>
      <c r="L220" t="str" cm="1">
        <f t="array" ref="L220">_xlfn.IFS(Table1[[#This Row],[Customer Tenure in months]]&lt;=6, "0-6 months", Table1[[#This Row],[Customer Tenure in months]] &lt;=12, "7-12 months", Table1[[#This Row],[Customer Tenure in months]] &lt;=24, "1-2 years", TRUE, "2+ years")</f>
        <v>2+ years</v>
      </c>
      <c r="M220">
        <v>33</v>
      </c>
      <c r="N220" t="s">
        <v>115</v>
      </c>
      <c r="O220" s="1">
        <v>25000</v>
      </c>
      <c r="P220">
        <v>14</v>
      </c>
      <c r="Q220" s="1">
        <v>350000</v>
      </c>
      <c r="R220">
        <v>134.91999999999999</v>
      </c>
      <c r="S220" t="s">
        <v>32</v>
      </c>
      <c r="T220" t="s">
        <v>24</v>
      </c>
    </row>
    <row r="221" spans="1:20" x14ac:dyDescent="0.35">
      <c r="A221" s="22" t="s">
        <v>320</v>
      </c>
      <c r="B221" cm="1">
        <f t="array" ref="B221">IF(MATCH(Table1[[#This Row],[Customer ID]], Table1[Customer ID], 0) = ROW() - ROW(Table1[#Headers]), 1, 0)</f>
        <v>1</v>
      </c>
      <c r="C221" t="s">
        <v>321</v>
      </c>
      <c r="D221" s="2">
        <v>45713</v>
      </c>
      <c r="E221">
        <v>19</v>
      </c>
      <c r="F221" t="str" cm="1">
        <f t="array" ref="F221">_xlfn.IFS( Table1[[#This Row],[Age]]&lt;18, "&lt;18", Table1[[#This Row],[Age]]&lt;= 29, "18-29", Table1[[#This Row],[Age]]&lt;= 44, "30-44",  Table1[[#This Row],[Age]]&lt;=59, "45-59", TRUE, "60+")</f>
        <v>18-29</v>
      </c>
      <c r="G221" t="s">
        <v>213</v>
      </c>
      <c r="H221" t="s">
        <v>29</v>
      </c>
      <c r="I221" t="s">
        <v>30</v>
      </c>
      <c r="J221">
        <v>1</v>
      </c>
      <c r="K221" t="s">
        <v>37</v>
      </c>
      <c r="L221" t="str" cm="1">
        <f t="array" ref="L221">_xlfn.IFS(Table1[[#This Row],[Customer Tenure in months]]&lt;=6, "0-6 months", Table1[[#This Row],[Customer Tenure in months]] &lt;=12, "7-12 months", Table1[[#This Row],[Customer Tenure in months]] &lt;=24, "1-2 years", TRUE, "2+ years")</f>
        <v>2+ years</v>
      </c>
      <c r="M221">
        <v>42</v>
      </c>
      <c r="N221" t="s">
        <v>164</v>
      </c>
      <c r="O221" s="1">
        <v>600</v>
      </c>
      <c r="P221">
        <v>8</v>
      </c>
      <c r="Q221" s="1">
        <v>4800</v>
      </c>
      <c r="R221">
        <v>164.42</v>
      </c>
      <c r="S221" t="s">
        <v>1091</v>
      </c>
      <c r="T221" t="s">
        <v>39</v>
      </c>
    </row>
    <row r="222" spans="1:20" x14ac:dyDescent="0.35">
      <c r="A222" s="22" t="s">
        <v>322</v>
      </c>
      <c r="B222" cm="1">
        <f t="array" ref="B222">IF(MATCH(Table1[[#This Row],[Customer ID]], Table1[Customer ID], 0) = ROW() - ROW(Table1[#Headers]), 1, 0)</f>
        <v>1</v>
      </c>
      <c r="C222" t="s">
        <v>323</v>
      </c>
      <c r="D222" s="2">
        <v>45741</v>
      </c>
      <c r="E222">
        <v>30</v>
      </c>
      <c r="F222" t="str" cm="1">
        <f t="array" ref="F222">_xlfn.IFS( Table1[[#This Row],[Age]]&lt;18, "&lt;18", Table1[[#This Row],[Age]]&lt;= 29, "18-29", Table1[[#This Row],[Age]]&lt;= 44, "30-44",  Table1[[#This Row],[Age]]&lt;=59, "45-59", TRUE, "60+")</f>
        <v>30-44</v>
      </c>
      <c r="G222" t="s">
        <v>121</v>
      </c>
      <c r="H222" t="s">
        <v>29</v>
      </c>
      <c r="I222" t="s">
        <v>21</v>
      </c>
      <c r="J222">
        <v>4</v>
      </c>
      <c r="K222" t="s">
        <v>114</v>
      </c>
      <c r="L222" t="str" cm="1">
        <f t="array" ref="L222">_xlfn.IFS(Table1[[#This Row],[Customer Tenure in months]]&lt;=6, "0-6 months", Table1[[#This Row],[Customer Tenure in months]] &lt;=12, "7-12 months", Table1[[#This Row],[Customer Tenure in months]] &lt;=24, "1-2 years", TRUE, "2+ years")</f>
        <v>2+ years</v>
      </c>
      <c r="M222">
        <v>29</v>
      </c>
      <c r="N222" t="s">
        <v>193</v>
      </c>
      <c r="O222" s="1">
        <v>6500</v>
      </c>
      <c r="P222">
        <v>16</v>
      </c>
      <c r="Q222" s="1">
        <v>104000</v>
      </c>
      <c r="R222">
        <v>155.11000000000001</v>
      </c>
      <c r="S222" t="s">
        <v>284</v>
      </c>
      <c r="T222" t="s">
        <v>24</v>
      </c>
    </row>
    <row r="223" spans="1:20" x14ac:dyDescent="0.35">
      <c r="A223" s="22" t="s">
        <v>324</v>
      </c>
      <c r="B223" cm="1">
        <f t="array" ref="B223">IF(MATCH(Table1[[#This Row],[Customer ID]], Table1[Customer ID], 0) = ROW() - ROW(Table1[#Headers]), 1, 0)</f>
        <v>1</v>
      </c>
      <c r="C223" t="s">
        <v>325</v>
      </c>
      <c r="D223" s="2">
        <v>45741</v>
      </c>
      <c r="E223">
        <v>33</v>
      </c>
      <c r="F223" t="str" cm="1">
        <f t="array" ref="F223">_xlfn.IFS( Table1[[#This Row],[Age]]&lt;18, "&lt;18", Table1[[#This Row],[Age]]&lt;= 29, "18-29", Table1[[#This Row],[Age]]&lt;= 44, "30-44",  Table1[[#This Row],[Age]]&lt;=59, "45-59", TRUE, "60+")</f>
        <v>30-44</v>
      </c>
      <c r="G223" t="s">
        <v>75</v>
      </c>
      <c r="H223" t="s">
        <v>20</v>
      </c>
      <c r="I223" t="s">
        <v>21</v>
      </c>
      <c r="J223">
        <v>4</v>
      </c>
      <c r="K223" t="s">
        <v>114</v>
      </c>
      <c r="L223" t="str" cm="1">
        <f t="array" ref="L223">_xlfn.IFS(Table1[[#This Row],[Customer Tenure in months]]&lt;=6, "0-6 months", Table1[[#This Row],[Customer Tenure in months]] &lt;=12, "7-12 months", Table1[[#This Row],[Customer Tenure in months]] &lt;=24, "1-2 years", TRUE, "2+ years")</f>
        <v>2+ years</v>
      </c>
      <c r="M223">
        <v>36</v>
      </c>
      <c r="N223" t="s">
        <v>51</v>
      </c>
      <c r="O223" s="1">
        <v>9000</v>
      </c>
      <c r="P223">
        <v>9</v>
      </c>
      <c r="Q223" s="1">
        <v>81000</v>
      </c>
      <c r="R223">
        <v>109.48</v>
      </c>
      <c r="S223" t="s">
        <v>1091</v>
      </c>
      <c r="T223" t="s">
        <v>39</v>
      </c>
    </row>
    <row r="224" spans="1:20" x14ac:dyDescent="0.35">
      <c r="A224" s="22" t="s">
        <v>324</v>
      </c>
      <c r="B224" cm="1">
        <f t="array" ref="B224">IF(MATCH(Table1[[#This Row],[Customer ID]], Table1[Customer ID], 0) = ROW() - ROW(Table1[#Headers]), 1, 0)</f>
        <v>0</v>
      </c>
      <c r="C224" t="s">
        <v>325</v>
      </c>
      <c r="D224" s="2">
        <v>45741</v>
      </c>
      <c r="E224">
        <v>33</v>
      </c>
      <c r="F224" t="str" cm="1">
        <f t="array" ref="F224">_xlfn.IFS( Table1[[#This Row],[Age]]&lt;18, "&lt;18", Table1[[#This Row],[Age]]&lt;= 29, "18-29", Table1[[#This Row],[Age]]&lt;= 44, "30-44",  Table1[[#This Row],[Age]]&lt;=59, "45-59", TRUE, "60+")</f>
        <v>30-44</v>
      </c>
      <c r="G224" t="s">
        <v>75</v>
      </c>
      <c r="H224" t="s">
        <v>29</v>
      </c>
      <c r="I224" t="s">
        <v>21</v>
      </c>
      <c r="J224">
        <v>4</v>
      </c>
      <c r="K224" t="s">
        <v>114</v>
      </c>
      <c r="L224" t="str" cm="1">
        <f t="array" ref="L224">_xlfn.IFS(Table1[[#This Row],[Customer Tenure in months]]&lt;=6, "0-6 months", Table1[[#This Row],[Customer Tenure in months]] &lt;=12, "7-12 months", Table1[[#This Row],[Customer Tenure in months]] &lt;=24, "1-2 years", TRUE, "2+ years")</f>
        <v>2+ years</v>
      </c>
      <c r="M224">
        <v>36</v>
      </c>
      <c r="N224" t="s">
        <v>31</v>
      </c>
      <c r="O224" s="1">
        <v>5500</v>
      </c>
      <c r="P224">
        <v>8</v>
      </c>
      <c r="Q224" s="1">
        <v>44000</v>
      </c>
      <c r="R224">
        <v>38.86</v>
      </c>
      <c r="S224" t="s">
        <v>1091</v>
      </c>
      <c r="T224" t="s">
        <v>39</v>
      </c>
    </row>
    <row r="225" spans="1:20" x14ac:dyDescent="0.35">
      <c r="A225" s="22" t="s">
        <v>326</v>
      </c>
      <c r="B225" cm="1">
        <f t="array" ref="B225">IF(MATCH(Table1[[#This Row],[Customer ID]], Table1[Customer ID], 0) = ROW() - ROW(Table1[#Headers]), 1, 0)</f>
        <v>1</v>
      </c>
      <c r="C225" t="s">
        <v>327</v>
      </c>
      <c r="D225" s="2">
        <v>45741</v>
      </c>
      <c r="E225">
        <v>54</v>
      </c>
      <c r="F225" t="str" cm="1">
        <f t="array" ref="F225">_xlfn.IFS( Table1[[#This Row],[Age]]&lt;18, "&lt;18", Table1[[#This Row],[Age]]&lt;= 29, "18-29", Table1[[#This Row],[Age]]&lt;= 44, "30-44",  Table1[[#This Row],[Age]]&lt;=59, "45-59", TRUE, "60+")</f>
        <v>45-59</v>
      </c>
      <c r="G225" t="s">
        <v>113</v>
      </c>
      <c r="H225" t="s">
        <v>36</v>
      </c>
      <c r="I225" t="s">
        <v>30</v>
      </c>
      <c r="J225">
        <v>2</v>
      </c>
      <c r="K225" t="s">
        <v>22</v>
      </c>
      <c r="L225" t="str" cm="1">
        <f t="array" ref="L225">_xlfn.IFS(Table1[[#This Row],[Customer Tenure in months]]&lt;=6, "0-6 months", Table1[[#This Row],[Customer Tenure in months]] &lt;=12, "7-12 months", Table1[[#This Row],[Customer Tenure in months]] &lt;=24, "1-2 years", TRUE, "2+ years")</f>
        <v>2+ years</v>
      </c>
      <c r="M225">
        <v>50</v>
      </c>
      <c r="N225" t="s">
        <v>115</v>
      </c>
      <c r="O225" s="1">
        <v>25000</v>
      </c>
      <c r="P225">
        <v>9</v>
      </c>
      <c r="Q225" s="1">
        <v>225000</v>
      </c>
      <c r="R225">
        <v>112.32</v>
      </c>
      <c r="S225" t="s">
        <v>1091</v>
      </c>
      <c r="T225" t="s">
        <v>39</v>
      </c>
    </row>
    <row r="226" spans="1:20" x14ac:dyDescent="0.35">
      <c r="A226" s="22" t="s">
        <v>326</v>
      </c>
      <c r="B226" cm="1">
        <f t="array" ref="B226">IF(MATCH(Table1[[#This Row],[Customer ID]], Table1[Customer ID], 0) = ROW() - ROW(Table1[#Headers]), 1, 0)</f>
        <v>0</v>
      </c>
      <c r="C226" t="s">
        <v>327</v>
      </c>
      <c r="D226" s="2">
        <v>45741</v>
      </c>
      <c r="E226">
        <v>54</v>
      </c>
      <c r="F226" t="str" cm="1">
        <f t="array" ref="F226">_xlfn.IFS( Table1[[#This Row],[Age]]&lt;18, "&lt;18", Table1[[#This Row],[Age]]&lt;= 29, "18-29", Table1[[#This Row],[Age]]&lt;= 44, "30-44",  Table1[[#This Row],[Age]]&lt;=59, "45-59", TRUE, "60+")</f>
        <v>45-59</v>
      </c>
      <c r="G226" t="s">
        <v>113</v>
      </c>
      <c r="H226" t="s">
        <v>20</v>
      </c>
      <c r="I226" t="s">
        <v>30</v>
      </c>
      <c r="J226">
        <v>2</v>
      </c>
      <c r="K226" t="s">
        <v>22</v>
      </c>
      <c r="L226" t="str" cm="1">
        <f t="array" ref="L226">_xlfn.IFS(Table1[[#This Row],[Customer Tenure in months]]&lt;=6, "0-6 months", Table1[[#This Row],[Customer Tenure in months]] &lt;=12, "7-12 months", Table1[[#This Row],[Customer Tenure in months]] &lt;=24, "1-2 years", TRUE, "2+ years")</f>
        <v>2+ years</v>
      </c>
      <c r="M226">
        <v>50</v>
      </c>
      <c r="N226" t="s">
        <v>51</v>
      </c>
      <c r="O226" s="1">
        <v>9000</v>
      </c>
      <c r="P226">
        <v>18</v>
      </c>
      <c r="Q226" s="1">
        <v>162000</v>
      </c>
      <c r="R226">
        <v>24.81</v>
      </c>
      <c r="S226" t="s">
        <v>1091</v>
      </c>
      <c r="T226" t="s">
        <v>39</v>
      </c>
    </row>
    <row r="227" spans="1:20" x14ac:dyDescent="0.35">
      <c r="A227" s="22" t="s">
        <v>328</v>
      </c>
      <c r="B227" cm="1">
        <f t="array" ref="B227">IF(MATCH(Table1[[#This Row],[Customer ID]], Table1[Customer ID], 0) = ROW() - ROW(Table1[#Headers]), 1, 0)</f>
        <v>1</v>
      </c>
      <c r="C227" t="s">
        <v>329</v>
      </c>
      <c r="D227" s="2">
        <v>45682</v>
      </c>
      <c r="E227">
        <v>66</v>
      </c>
      <c r="F227" t="str" cm="1">
        <f t="array" ref="F227">_xlfn.IFS( Table1[[#This Row],[Age]]&lt;18, "&lt;18", Table1[[#This Row],[Age]]&lt;= 29, "18-29", Table1[[#This Row],[Age]]&lt;= 44, "30-44",  Table1[[#This Row],[Age]]&lt;=59, "45-59", TRUE, "60+")</f>
        <v>60+</v>
      </c>
      <c r="G227" t="s">
        <v>152</v>
      </c>
      <c r="H227" t="s">
        <v>36</v>
      </c>
      <c r="I227" t="s">
        <v>21</v>
      </c>
      <c r="J227">
        <v>3</v>
      </c>
      <c r="K227" t="s">
        <v>50</v>
      </c>
      <c r="L227" t="str" cm="1">
        <f t="array" ref="L227">_xlfn.IFS(Table1[[#This Row],[Customer Tenure in months]]&lt;=6, "0-6 months", Table1[[#This Row],[Customer Tenure in months]] &lt;=12, "7-12 months", Table1[[#This Row],[Customer Tenure in months]] &lt;=24, "1-2 years", TRUE, "2+ years")</f>
        <v>1-2 years</v>
      </c>
      <c r="M227">
        <v>19</v>
      </c>
      <c r="N227" t="s">
        <v>57</v>
      </c>
      <c r="O227" s="1">
        <v>150000</v>
      </c>
      <c r="P227">
        <v>16</v>
      </c>
      <c r="Q227" s="1">
        <v>2400000</v>
      </c>
      <c r="R227">
        <v>131.37</v>
      </c>
      <c r="S227" t="s">
        <v>1091</v>
      </c>
      <c r="T227" t="s">
        <v>39</v>
      </c>
    </row>
    <row r="228" spans="1:20" x14ac:dyDescent="0.35">
      <c r="A228" s="22" t="s">
        <v>330</v>
      </c>
      <c r="B228" cm="1">
        <f t="array" ref="B228">IF(MATCH(Table1[[#This Row],[Customer ID]], Table1[Customer ID], 0) = ROW() - ROW(Table1[#Headers]), 1, 0)</f>
        <v>1</v>
      </c>
      <c r="C228" t="s">
        <v>331</v>
      </c>
      <c r="D228" s="2">
        <v>45741</v>
      </c>
      <c r="E228">
        <v>41</v>
      </c>
      <c r="F228" t="str" cm="1">
        <f t="array" ref="F228">_xlfn.IFS( Table1[[#This Row],[Age]]&lt;18, "&lt;18", Table1[[#This Row],[Age]]&lt;= 29, "18-29", Table1[[#This Row],[Age]]&lt;= 44, "30-44",  Table1[[#This Row],[Age]]&lt;=59, "45-59", TRUE, "60+")</f>
        <v>30-44</v>
      </c>
      <c r="G228" t="s">
        <v>86</v>
      </c>
      <c r="H228" t="s">
        <v>20</v>
      </c>
      <c r="I228" t="s">
        <v>30</v>
      </c>
      <c r="J228">
        <v>2</v>
      </c>
      <c r="K228" t="s">
        <v>22</v>
      </c>
      <c r="L228" t="str" cm="1">
        <f t="array" ref="L228">_xlfn.IFS(Table1[[#This Row],[Customer Tenure in months]]&lt;=6, "0-6 months", Table1[[#This Row],[Customer Tenure in months]] &lt;=12, "7-12 months", Table1[[#This Row],[Customer Tenure in months]] &lt;=24, "1-2 years", TRUE, "2+ years")</f>
        <v>2+ years</v>
      </c>
      <c r="M228">
        <v>60</v>
      </c>
      <c r="N228" t="s">
        <v>46</v>
      </c>
      <c r="O228" s="1">
        <v>4500</v>
      </c>
      <c r="P228">
        <v>2</v>
      </c>
      <c r="Q228" s="1">
        <v>9000</v>
      </c>
      <c r="R228">
        <v>127.77</v>
      </c>
      <c r="S228" t="s">
        <v>284</v>
      </c>
      <c r="T228" t="s">
        <v>24</v>
      </c>
    </row>
    <row r="229" spans="1:20" x14ac:dyDescent="0.35">
      <c r="A229" s="22" t="s">
        <v>330</v>
      </c>
      <c r="B229" cm="1">
        <f t="array" ref="B229">IF(MATCH(Table1[[#This Row],[Customer ID]], Table1[Customer ID], 0) = ROW() - ROW(Table1[#Headers]), 1, 0)</f>
        <v>0</v>
      </c>
      <c r="C229" t="s">
        <v>331</v>
      </c>
      <c r="D229" s="2">
        <v>45741</v>
      </c>
      <c r="E229">
        <v>41</v>
      </c>
      <c r="F229" t="str" cm="1">
        <f t="array" ref="F229">_xlfn.IFS( Table1[[#This Row],[Age]]&lt;18, "&lt;18", Table1[[#This Row],[Age]]&lt;= 29, "18-29", Table1[[#This Row],[Age]]&lt;= 44, "30-44",  Table1[[#This Row],[Age]]&lt;=59, "45-59", TRUE, "60+")</f>
        <v>30-44</v>
      </c>
      <c r="G229" t="s">
        <v>86</v>
      </c>
      <c r="H229" t="s">
        <v>41</v>
      </c>
      <c r="I229" t="s">
        <v>30</v>
      </c>
      <c r="J229">
        <v>2</v>
      </c>
      <c r="K229" t="s">
        <v>22</v>
      </c>
      <c r="L229" t="str" cm="1">
        <f t="array" ref="L229">_xlfn.IFS(Table1[[#This Row],[Customer Tenure in months]]&lt;=6, "0-6 months", Table1[[#This Row],[Customer Tenure in months]] &lt;=12, "7-12 months", Table1[[#This Row],[Customer Tenure in months]] &lt;=24, "1-2 years", TRUE, "2+ years")</f>
        <v>2+ years</v>
      </c>
      <c r="M229">
        <v>60</v>
      </c>
      <c r="N229" t="s">
        <v>42</v>
      </c>
      <c r="O229" s="1">
        <v>9000</v>
      </c>
      <c r="P229">
        <v>16</v>
      </c>
      <c r="Q229" s="1">
        <v>144000</v>
      </c>
      <c r="R229">
        <v>82.95</v>
      </c>
      <c r="S229" t="s">
        <v>284</v>
      </c>
      <c r="T229" t="s">
        <v>24</v>
      </c>
    </row>
    <row r="230" spans="1:20" x14ac:dyDescent="0.35">
      <c r="A230" s="22" t="s">
        <v>330</v>
      </c>
      <c r="B230" cm="1">
        <f t="array" ref="B230">IF(MATCH(Table1[[#This Row],[Customer ID]], Table1[Customer ID], 0) = ROW() - ROW(Table1[#Headers]), 1, 0)</f>
        <v>0</v>
      </c>
      <c r="C230" t="s">
        <v>331</v>
      </c>
      <c r="D230" s="2">
        <v>45741</v>
      </c>
      <c r="E230">
        <v>41</v>
      </c>
      <c r="F230" t="str" cm="1">
        <f t="array" ref="F230">_xlfn.IFS( Table1[[#This Row],[Age]]&lt;18, "&lt;18", Table1[[#This Row],[Age]]&lt;= 29, "18-29", Table1[[#This Row],[Age]]&lt;= 44, "30-44",  Table1[[#This Row],[Age]]&lt;=59, "45-59", TRUE, "60+")</f>
        <v>30-44</v>
      </c>
      <c r="G230" t="s">
        <v>86</v>
      </c>
      <c r="H230" t="s">
        <v>36</v>
      </c>
      <c r="I230" t="s">
        <v>30</v>
      </c>
      <c r="J230">
        <v>2</v>
      </c>
      <c r="K230" t="s">
        <v>22</v>
      </c>
      <c r="L230" t="str" cm="1">
        <f t="array" ref="L230">_xlfn.IFS(Table1[[#This Row],[Customer Tenure in months]]&lt;=6, "0-6 months", Table1[[#This Row],[Customer Tenure in months]] &lt;=12, "7-12 months", Table1[[#This Row],[Customer Tenure in months]] &lt;=24, "1-2 years", TRUE, "2+ years")</f>
        <v>2+ years</v>
      </c>
      <c r="M230">
        <v>60</v>
      </c>
      <c r="N230" t="s">
        <v>38</v>
      </c>
      <c r="O230" s="1">
        <v>20000</v>
      </c>
      <c r="P230">
        <v>5</v>
      </c>
      <c r="Q230" s="1">
        <v>100000</v>
      </c>
      <c r="R230">
        <v>136.4</v>
      </c>
      <c r="S230" t="s">
        <v>284</v>
      </c>
      <c r="T230" t="s">
        <v>24</v>
      </c>
    </row>
    <row r="231" spans="1:20" x14ac:dyDescent="0.35">
      <c r="A231" s="22" t="s">
        <v>332</v>
      </c>
      <c r="B231" cm="1">
        <f t="array" ref="B231">IF(MATCH(Table1[[#This Row],[Customer ID]], Table1[Customer ID], 0) = ROW() - ROW(Table1[#Headers]), 1, 0)</f>
        <v>1</v>
      </c>
      <c r="C231" t="s">
        <v>333</v>
      </c>
      <c r="D231" s="2">
        <v>45713</v>
      </c>
      <c r="E231">
        <v>36</v>
      </c>
      <c r="F231" t="str" cm="1">
        <f t="array" ref="F231">_xlfn.IFS( Table1[[#This Row],[Age]]&lt;18, "&lt;18", Table1[[#This Row],[Age]]&lt;= 29, "18-29", Table1[[#This Row],[Age]]&lt;= 44, "30-44",  Table1[[#This Row],[Age]]&lt;=59, "45-59", TRUE, "60+")</f>
        <v>30-44</v>
      </c>
      <c r="G231" t="s">
        <v>110</v>
      </c>
      <c r="H231" t="s">
        <v>41</v>
      </c>
      <c r="I231" t="s">
        <v>30</v>
      </c>
      <c r="J231">
        <v>3</v>
      </c>
      <c r="K231" t="s">
        <v>50</v>
      </c>
      <c r="L231" t="str" cm="1">
        <f t="array" ref="L231">_xlfn.IFS(Table1[[#This Row],[Customer Tenure in months]]&lt;=6, "0-6 months", Table1[[#This Row],[Customer Tenure in months]] &lt;=12, "7-12 months", Table1[[#This Row],[Customer Tenure in months]] &lt;=24, "1-2 years", TRUE, "2+ years")</f>
        <v>2+ years</v>
      </c>
      <c r="M231">
        <v>31</v>
      </c>
      <c r="N231" t="s">
        <v>62</v>
      </c>
      <c r="O231" s="1">
        <v>24000</v>
      </c>
      <c r="P231">
        <v>2</v>
      </c>
      <c r="Q231" s="1">
        <v>48000</v>
      </c>
      <c r="R231">
        <v>147.87</v>
      </c>
      <c r="S231" t="s">
        <v>1091</v>
      </c>
      <c r="T231" t="s">
        <v>39</v>
      </c>
    </row>
    <row r="232" spans="1:20" x14ac:dyDescent="0.35">
      <c r="A232" s="22" t="s">
        <v>332</v>
      </c>
      <c r="B232" cm="1">
        <f t="array" ref="B232">IF(MATCH(Table1[[#This Row],[Customer ID]], Table1[Customer ID], 0) = ROW() - ROW(Table1[#Headers]), 1, 0)</f>
        <v>0</v>
      </c>
      <c r="C232" t="s">
        <v>333</v>
      </c>
      <c r="D232" s="2">
        <v>45713</v>
      </c>
      <c r="E232">
        <v>36</v>
      </c>
      <c r="F232" t="str" cm="1">
        <f t="array" ref="F232">_xlfn.IFS( Table1[[#This Row],[Age]]&lt;18, "&lt;18", Table1[[#This Row],[Age]]&lt;= 29, "18-29", Table1[[#This Row],[Age]]&lt;= 44, "30-44",  Table1[[#This Row],[Age]]&lt;=59, "45-59", TRUE, "60+")</f>
        <v>30-44</v>
      </c>
      <c r="G232" t="s">
        <v>110</v>
      </c>
      <c r="H232" t="s">
        <v>29</v>
      </c>
      <c r="I232" t="s">
        <v>30</v>
      </c>
      <c r="J232">
        <v>3</v>
      </c>
      <c r="K232" t="s">
        <v>50</v>
      </c>
      <c r="L232" t="str" cm="1">
        <f t="array" ref="L232">_xlfn.IFS(Table1[[#This Row],[Customer Tenure in months]]&lt;=6, "0-6 months", Table1[[#This Row],[Customer Tenure in months]] &lt;=12, "7-12 months", Table1[[#This Row],[Customer Tenure in months]] &lt;=24, "1-2 years", TRUE, "2+ years")</f>
        <v>2+ years</v>
      </c>
      <c r="M232">
        <v>31</v>
      </c>
      <c r="N232" t="s">
        <v>164</v>
      </c>
      <c r="O232" s="1">
        <v>600</v>
      </c>
      <c r="P232">
        <v>6</v>
      </c>
      <c r="Q232" s="1">
        <v>3600</v>
      </c>
      <c r="R232">
        <v>83.87</v>
      </c>
      <c r="S232" t="s">
        <v>1091</v>
      </c>
      <c r="T232" t="s">
        <v>39</v>
      </c>
    </row>
    <row r="233" spans="1:20" x14ac:dyDescent="0.35">
      <c r="A233" s="22" t="s">
        <v>332</v>
      </c>
      <c r="B233" cm="1">
        <f t="array" ref="B233">IF(MATCH(Table1[[#This Row],[Customer ID]], Table1[Customer ID], 0) = ROW() - ROW(Table1[#Headers]), 1, 0)</f>
        <v>0</v>
      </c>
      <c r="C233" t="s">
        <v>333</v>
      </c>
      <c r="D233" s="2">
        <v>45713</v>
      </c>
      <c r="E233">
        <v>36</v>
      </c>
      <c r="F233" t="str" cm="1">
        <f t="array" ref="F233">_xlfn.IFS( Table1[[#This Row],[Age]]&lt;18, "&lt;18", Table1[[#This Row],[Age]]&lt;= 29, "18-29", Table1[[#This Row],[Age]]&lt;= 44, "30-44",  Table1[[#This Row],[Age]]&lt;=59, "45-59", TRUE, "60+")</f>
        <v>30-44</v>
      </c>
      <c r="G233" t="s">
        <v>110</v>
      </c>
      <c r="H233" t="s">
        <v>36</v>
      </c>
      <c r="I233" t="s">
        <v>30</v>
      </c>
      <c r="J233">
        <v>3</v>
      </c>
      <c r="K233" t="s">
        <v>50</v>
      </c>
      <c r="L233" t="str" cm="1">
        <f t="array" ref="L233">_xlfn.IFS(Table1[[#This Row],[Customer Tenure in months]]&lt;=6, "0-6 months", Table1[[#This Row],[Customer Tenure in months]] &lt;=12, "7-12 months", Table1[[#This Row],[Customer Tenure in months]] &lt;=24, "1-2 years", TRUE, "2+ years")</f>
        <v>2+ years</v>
      </c>
      <c r="M233">
        <v>31</v>
      </c>
      <c r="N233" t="s">
        <v>42</v>
      </c>
      <c r="O233" s="1">
        <v>9000</v>
      </c>
      <c r="P233">
        <v>13</v>
      </c>
      <c r="Q233" s="1">
        <v>117000</v>
      </c>
      <c r="R233">
        <v>199.44</v>
      </c>
      <c r="S233" t="s">
        <v>1091</v>
      </c>
      <c r="T233" t="s">
        <v>39</v>
      </c>
    </row>
    <row r="234" spans="1:20" x14ac:dyDescent="0.35">
      <c r="A234" s="22" t="s">
        <v>334</v>
      </c>
      <c r="B234" cm="1">
        <f t="array" ref="B234">IF(MATCH(Table1[[#This Row],[Customer ID]], Table1[Customer ID], 0) = ROW() - ROW(Table1[#Headers]), 1, 0)</f>
        <v>1</v>
      </c>
      <c r="C234" t="s">
        <v>335</v>
      </c>
      <c r="D234" s="2">
        <v>45741</v>
      </c>
      <c r="E234">
        <v>39</v>
      </c>
      <c r="F234" t="str" cm="1">
        <f t="array" ref="F234">_xlfn.IFS( Table1[[#This Row],[Age]]&lt;18, "&lt;18", Table1[[#This Row],[Age]]&lt;= 29, "18-29", Table1[[#This Row],[Age]]&lt;= 44, "30-44",  Table1[[#This Row],[Age]]&lt;=59, "45-59", TRUE, "60+")</f>
        <v>30-44</v>
      </c>
      <c r="G234" t="s">
        <v>101</v>
      </c>
      <c r="H234" t="s">
        <v>36</v>
      </c>
      <c r="I234" t="s">
        <v>21</v>
      </c>
      <c r="J234">
        <v>5</v>
      </c>
      <c r="K234" t="s">
        <v>55</v>
      </c>
      <c r="L234" t="str" cm="1">
        <f t="array" ref="L234">_xlfn.IFS(Table1[[#This Row],[Customer Tenure in months]]&lt;=6, "0-6 months", Table1[[#This Row],[Customer Tenure in months]] &lt;=12, "7-12 months", Table1[[#This Row],[Customer Tenure in months]] &lt;=24, "1-2 years", TRUE, "2+ years")</f>
        <v>0-6 months</v>
      </c>
      <c r="M234">
        <v>1</v>
      </c>
      <c r="N234" t="s">
        <v>57</v>
      </c>
      <c r="O234" s="1">
        <v>150000</v>
      </c>
      <c r="P234">
        <v>5</v>
      </c>
      <c r="Q234" s="1">
        <v>750000</v>
      </c>
      <c r="R234">
        <v>177.91</v>
      </c>
      <c r="S234" t="s">
        <v>1091</v>
      </c>
      <c r="T234" t="s">
        <v>39</v>
      </c>
    </row>
    <row r="235" spans="1:20" x14ac:dyDescent="0.35">
      <c r="A235" s="22" t="s">
        <v>334</v>
      </c>
      <c r="B235" cm="1">
        <f t="array" ref="B235">IF(MATCH(Table1[[#This Row],[Customer ID]], Table1[Customer ID], 0) = ROW() - ROW(Table1[#Headers]), 1, 0)</f>
        <v>0</v>
      </c>
      <c r="C235" t="s">
        <v>335</v>
      </c>
      <c r="D235" s="2">
        <v>45741</v>
      </c>
      <c r="E235">
        <v>39</v>
      </c>
      <c r="F235" t="str" cm="1">
        <f t="array" ref="F235">_xlfn.IFS( Table1[[#This Row],[Age]]&lt;18, "&lt;18", Table1[[#This Row],[Age]]&lt;= 29, "18-29", Table1[[#This Row],[Age]]&lt;= 44, "30-44",  Table1[[#This Row],[Age]]&lt;=59, "45-59", TRUE, "60+")</f>
        <v>30-44</v>
      </c>
      <c r="G235" t="s">
        <v>101</v>
      </c>
      <c r="H235" t="s">
        <v>20</v>
      </c>
      <c r="I235" t="s">
        <v>21</v>
      </c>
      <c r="J235">
        <v>5</v>
      </c>
      <c r="K235" t="s">
        <v>55</v>
      </c>
      <c r="L235" t="str" cm="1">
        <f t="array" ref="L235">_xlfn.IFS(Table1[[#This Row],[Customer Tenure in months]]&lt;=6, "0-6 months", Table1[[#This Row],[Customer Tenure in months]] &lt;=12, "7-12 months", Table1[[#This Row],[Customer Tenure in months]] &lt;=24, "1-2 years", TRUE, "2+ years")</f>
        <v>0-6 months</v>
      </c>
      <c r="M235">
        <v>1</v>
      </c>
      <c r="N235" t="s">
        <v>23</v>
      </c>
      <c r="O235" s="1">
        <v>35000</v>
      </c>
      <c r="P235">
        <v>4</v>
      </c>
      <c r="Q235" s="1">
        <v>140000</v>
      </c>
      <c r="R235">
        <v>54.93</v>
      </c>
      <c r="S235" t="s">
        <v>1091</v>
      </c>
      <c r="T235" t="s">
        <v>39</v>
      </c>
    </row>
    <row r="236" spans="1:20" x14ac:dyDescent="0.35">
      <c r="A236" s="22" t="s">
        <v>336</v>
      </c>
      <c r="B236" cm="1">
        <f t="array" ref="B236">IF(MATCH(Table1[[#This Row],[Customer ID]], Table1[Customer ID], 0) = ROW() - ROW(Table1[#Headers]), 1, 0)</f>
        <v>1</v>
      </c>
      <c r="C236" t="s">
        <v>337</v>
      </c>
      <c r="D236" s="2">
        <v>45713</v>
      </c>
      <c r="E236">
        <v>36</v>
      </c>
      <c r="F236" t="str" cm="1">
        <f t="array" ref="F236">_xlfn.IFS( Table1[[#This Row],[Age]]&lt;18, "&lt;18", Table1[[#This Row],[Age]]&lt;= 29, "18-29", Table1[[#This Row],[Age]]&lt;= 44, "30-44",  Table1[[#This Row],[Age]]&lt;=59, "45-59", TRUE, "60+")</f>
        <v>30-44</v>
      </c>
      <c r="G236" t="s">
        <v>35</v>
      </c>
      <c r="H236" t="s">
        <v>20</v>
      </c>
      <c r="I236" t="s">
        <v>30</v>
      </c>
      <c r="J236">
        <v>1</v>
      </c>
      <c r="K236" t="s">
        <v>37</v>
      </c>
      <c r="L236" t="str" cm="1">
        <f t="array" ref="L236">_xlfn.IFS(Table1[[#This Row],[Customer Tenure in months]]&lt;=6, "0-6 months", Table1[[#This Row],[Customer Tenure in months]] &lt;=12, "7-12 months", Table1[[#This Row],[Customer Tenure in months]] &lt;=24, "1-2 years", TRUE, "2+ years")</f>
        <v>2+ years</v>
      </c>
      <c r="M236">
        <v>46</v>
      </c>
      <c r="N236" t="s">
        <v>23</v>
      </c>
      <c r="O236" s="1">
        <v>35000</v>
      </c>
      <c r="P236">
        <v>17</v>
      </c>
      <c r="Q236" s="1">
        <v>595000</v>
      </c>
      <c r="R236">
        <v>165.48</v>
      </c>
      <c r="S236" t="s">
        <v>1091</v>
      </c>
      <c r="T236" t="s">
        <v>39</v>
      </c>
    </row>
    <row r="237" spans="1:20" x14ac:dyDescent="0.35">
      <c r="A237" s="22" t="s">
        <v>336</v>
      </c>
      <c r="B237" cm="1">
        <f t="array" ref="B237">IF(MATCH(Table1[[#This Row],[Customer ID]], Table1[Customer ID], 0) = ROW() - ROW(Table1[#Headers]), 1, 0)</f>
        <v>0</v>
      </c>
      <c r="C237" t="s">
        <v>337</v>
      </c>
      <c r="D237" s="2">
        <v>45713</v>
      </c>
      <c r="E237">
        <v>36</v>
      </c>
      <c r="F237" t="str" cm="1">
        <f t="array" ref="F237">_xlfn.IFS( Table1[[#This Row],[Age]]&lt;18, "&lt;18", Table1[[#This Row],[Age]]&lt;= 29, "18-29", Table1[[#This Row],[Age]]&lt;= 44, "30-44",  Table1[[#This Row],[Age]]&lt;=59, "45-59", TRUE, "60+")</f>
        <v>30-44</v>
      </c>
      <c r="G237" t="s">
        <v>35</v>
      </c>
      <c r="H237" t="s">
        <v>41</v>
      </c>
      <c r="I237" t="s">
        <v>30</v>
      </c>
      <c r="J237">
        <v>1</v>
      </c>
      <c r="K237" t="s">
        <v>37</v>
      </c>
      <c r="L237" t="str" cm="1">
        <f t="array" ref="L237">_xlfn.IFS(Table1[[#This Row],[Customer Tenure in months]]&lt;=6, "0-6 months", Table1[[#This Row],[Customer Tenure in months]] &lt;=12, "7-12 months", Table1[[#This Row],[Customer Tenure in months]] &lt;=24, "1-2 years", TRUE, "2+ years")</f>
        <v>2+ years</v>
      </c>
      <c r="M237">
        <v>46</v>
      </c>
      <c r="N237" t="s">
        <v>65</v>
      </c>
      <c r="O237" s="1">
        <v>30000</v>
      </c>
      <c r="P237">
        <v>4</v>
      </c>
      <c r="Q237" s="1">
        <v>120000</v>
      </c>
      <c r="R237">
        <v>17.8</v>
      </c>
      <c r="S237" t="s">
        <v>1091</v>
      </c>
      <c r="T237" t="s">
        <v>39</v>
      </c>
    </row>
    <row r="238" spans="1:20" x14ac:dyDescent="0.35">
      <c r="A238" s="22" t="s">
        <v>338</v>
      </c>
      <c r="B238" cm="1">
        <f t="array" ref="B238">IF(MATCH(Table1[[#This Row],[Customer ID]], Table1[Customer ID], 0) = ROW() - ROW(Table1[#Headers]), 1, 0)</f>
        <v>1</v>
      </c>
      <c r="C238" t="s">
        <v>339</v>
      </c>
      <c r="D238" s="2">
        <v>45713</v>
      </c>
      <c r="E238">
        <v>33</v>
      </c>
      <c r="F238" t="str" cm="1">
        <f t="array" ref="F238">_xlfn.IFS( Table1[[#This Row],[Age]]&lt;18, "&lt;18", Table1[[#This Row],[Age]]&lt;= 29, "18-29", Table1[[#This Row],[Age]]&lt;= 44, "30-44",  Table1[[#This Row],[Age]]&lt;=59, "45-59", TRUE, "60+")</f>
        <v>30-44</v>
      </c>
      <c r="G238" t="s">
        <v>213</v>
      </c>
      <c r="H238" t="s">
        <v>36</v>
      </c>
      <c r="I238" t="s">
        <v>30</v>
      </c>
      <c r="J238">
        <v>1</v>
      </c>
      <c r="K238" t="s">
        <v>37</v>
      </c>
      <c r="L238" t="str" cm="1">
        <f t="array" ref="L238">_xlfn.IFS(Table1[[#This Row],[Customer Tenure in months]]&lt;=6, "0-6 months", Table1[[#This Row],[Customer Tenure in months]] &lt;=12, "7-12 months", Table1[[#This Row],[Customer Tenure in months]] &lt;=24, "1-2 years", TRUE, "2+ years")</f>
        <v>2+ years</v>
      </c>
      <c r="M238">
        <v>60</v>
      </c>
      <c r="N238" t="s">
        <v>62</v>
      </c>
      <c r="O238" s="1">
        <v>24000</v>
      </c>
      <c r="P238">
        <v>19</v>
      </c>
      <c r="Q238" s="1">
        <v>456000</v>
      </c>
      <c r="R238">
        <v>116.7</v>
      </c>
      <c r="S238" t="s">
        <v>265</v>
      </c>
      <c r="T238" t="s">
        <v>24</v>
      </c>
    </row>
    <row r="239" spans="1:20" x14ac:dyDescent="0.35">
      <c r="A239" s="22" t="s">
        <v>338</v>
      </c>
      <c r="B239" cm="1">
        <f t="array" ref="B239">IF(MATCH(Table1[[#This Row],[Customer ID]], Table1[Customer ID], 0) = ROW() - ROW(Table1[#Headers]), 1, 0)</f>
        <v>0</v>
      </c>
      <c r="C239" t="s">
        <v>339</v>
      </c>
      <c r="D239" s="2">
        <v>45713</v>
      </c>
      <c r="E239">
        <v>33</v>
      </c>
      <c r="F239" t="str" cm="1">
        <f t="array" ref="F239">_xlfn.IFS( Table1[[#This Row],[Age]]&lt;18, "&lt;18", Table1[[#This Row],[Age]]&lt;= 29, "18-29", Table1[[#This Row],[Age]]&lt;= 44, "30-44",  Table1[[#This Row],[Age]]&lt;=59, "45-59", TRUE, "60+")</f>
        <v>30-44</v>
      </c>
      <c r="G239" t="s">
        <v>213</v>
      </c>
      <c r="H239" t="s">
        <v>20</v>
      </c>
      <c r="I239" t="s">
        <v>30</v>
      </c>
      <c r="J239">
        <v>1</v>
      </c>
      <c r="K239" t="s">
        <v>37</v>
      </c>
      <c r="L239" t="str" cm="1">
        <f t="array" ref="L239">_xlfn.IFS(Table1[[#This Row],[Customer Tenure in months]]&lt;=6, "0-6 months", Table1[[#This Row],[Customer Tenure in months]] &lt;=12, "7-12 months", Table1[[#This Row],[Customer Tenure in months]] &lt;=24, "1-2 years", TRUE, "2+ years")</f>
        <v>2+ years</v>
      </c>
      <c r="M239">
        <v>60</v>
      </c>
      <c r="N239" t="s">
        <v>58</v>
      </c>
      <c r="O239" s="1">
        <v>16000</v>
      </c>
      <c r="P239">
        <v>12</v>
      </c>
      <c r="Q239" s="1">
        <v>192000</v>
      </c>
      <c r="R239">
        <v>52.68</v>
      </c>
      <c r="S239" t="s">
        <v>265</v>
      </c>
      <c r="T239" t="s">
        <v>24</v>
      </c>
    </row>
    <row r="240" spans="1:20" x14ac:dyDescent="0.35">
      <c r="A240" s="22" t="s">
        <v>340</v>
      </c>
      <c r="B240" cm="1">
        <f t="array" ref="B240">IF(MATCH(Table1[[#This Row],[Customer ID]], Table1[Customer ID], 0) = ROW() - ROW(Table1[#Headers]), 1, 0)</f>
        <v>1</v>
      </c>
      <c r="C240" t="s">
        <v>341</v>
      </c>
      <c r="D240" s="2">
        <v>45713</v>
      </c>
      <c r="E240">
        <v>23</v>
      </c>
      <c r="F240" t="str" cm="1">
        <f t="array" ref="F240">_xlfn.IFS( Table1[[#This Row],[Age]]&lt;18, "&lt;18", Table1[[#This Row],[Age]]&lt;= 29, "18-29", Table1[[#This Row],[Age]]&lt;= 44, "30-44",  Table1[[#This Row],[Age]]&lt;=59, "45-59", TRUE, "60+")</f>
        <v>18-29</v>
      </c>
      <c r="G240" t="s">
        <v>176</v>
      </c>
      <c r="H240" t="s">
        <v>36</v>
      </c>
      <c r="I240" t="s">
        <v>30</v>
      </c>
      <c r="J240">
        <v>4</v>
      </c>
      <c r="K240" t="s">
        <v>114</v>
      </c>
      <c r="L240" t="str" cm="1">
        <f t="array" ref="L240">_xlfn.IFS(Table1[[#This Row],[Customer Tenure in months]]&lt;=6, "0-6 months", Table1[[#This Row],[Customer Tenure in months]] &lt;=12, "7-12 months", Table1[[#This Row],[Customer Tenure in months]] &lt;=24, "1-2 years", TRUE, "2+ years")</f>
        <v>1-2 years</v>
      </c>
      <c r="M240">
        <v>20</v>
      </c>
      <c r="N240" t="s">
        <v>62</v>
      </c>
      <c r="O240" s="1">
        <v>24000</v>
      </c>
      <c r="P240">
        <v>8</v>
      </c>
      <c r="Q240" s="1">
        <v>192000</v>
      </c>
      <c r="R240">
        <v>73.83</v>
      </c>
      <c r="S240" t="s">
        <v>1091</v>
      </c>
      <c r="T240" t="s">
        <v>39</v>
      </c>
    </row>
    <row r="241" spans="1:20" x14ac:dyDescent="0.35">
      <c r="A241" s="22" t="s">
        <v>340</v>
      </c>
      <c r="B241" cm="1">
        <f t="array" ref="B241">IF(MATCH(Table1[[#This Row],[Customer ID]], Table1[Customer ID], 0) = ROW() - ROW(Table1[#Headers]), 1, 0)</f>
        <v>0</v>
      </c>
      <c r="C241" t="s">
        <v>341</v>
      </c>
      <c r="D241" s="2">
        <v>45713</v>
      </c>
      <c r="E241">
        <v>23</v>
      </c>
      <c r="F241" t="str" cm="1">
        <f t="array" ref="F241">_xlfn.IFS( Table1[[#This Row],[Age]]&lt;18, "&lt;18", Table1[[#This Row],[Age]]&lt;= 29, "18-29", Table1[[#This Row],[Age]]&lt;= 44, "30-44",  Table1[[#This Row],[Age]]&lt;=59, "45-59", TRUE, "60+")</f>
        <v>18-29</v>
      </c>
      <c r="G241" t="s">
        <v>176</v>
      </c>
      <c r="H241" t="s">
        <v>29</v>
      </c>
      <c r="I241" t="s">
        <v>30</v>
      </c>
      <c r="J241">
        <v>4</v>
      </c>
      <c r="K241" t="s">
        <v>114</v>
      </c>
      <c r="L241" t="str" cm="1">
        <f t="array" ref="L241">_xlfn.IFS(Table1[[#This Row],[Customer Tenure in months]]&lt;=6, "0-6 months", Table1[[#This Row],[Customer Tenure in months]] &lt;=12, "7-12 months", Table1[[#This Row],[Customer Tenure in months]] &lt;=24, "1-2 years", TRUE, "2+ years")</f>
        <v>1-2 years</v>
      </c>
      <c r="M241">
        <v>20</v>
      </c>
      <c r="N241" t="s">
        <v>72</v>
      </c>
      <c r="O241" s="1">
        <v>350</v>
      </c>
      <c r="P241">
        <v>16</v>
      </c>
      <c r="Q241" s="1">
        <v>5600</v>
      </c>
      <c r="R241">
        <v>191.49</v>
      </c>
      <c r="S241" t="s">
        <v>1091</v>
      </c>
      <c r="T241" t="s">
        <v>39</v>
      </c>
    </row>
    <row r="242" spans="1:20" x14ac:dyDescent="0.35">
      <c r="A242" s="22" t="s">
        <v>340</v>
      </c>
      <c r="B242" cm="1">
        <f t="array" ref="B242">IF(MATCH(Table1[[#This Row],[Customer ID]], Table1[Customer ID], 0) = ROW() - ROW(Table1[#Headers]), 1, 0)</f>
        <v>0</v>
      </c>
      <c r="C242" t="s">
        <v>341</v>
      </c>
      <c r="D242" s="2">
        <v>45713</v>
      </c>
      <c r="E242">
        <v>23</v>
      </c>
      <c r="F242" t="str" cm="1">
        <f t="array" ref="F242">_xlfn.IFS( Table1[[#This Row],[Age]]&lt;18, "&lt;18", Table1[[#This Row],[Age]]&lt;= 29, "18-29", Table1[[#This Row],[Age]]&lt;= 44, "30-44",  Table1[[#This Row],[Age]]&lt;=59, "45-59", TRUE, "60+")</f>
        <v>18-29</v>
      </c>
      <c r="G242" t="s">
        <v>176</v>
      </c>
      <c r="H242" t="s">
        <v>41</v>
      </c>
      <c r="I242" t="s">
        <v>30</v>
      </c>
      <c r="J242">
        <v>4</v>
      </c>
      <c r="K242" t="s">
        <v>114</v>
      </c>
      <c r="L242" t="str" cm="1">
        <f t="array" ref="L242">_xlfn.IFS(Table1[[#This Row],[Customer Tenure in months]]&lt;=6, "0-6 months", Table1[[#This Row],[Customer Tenure in months]] &lt;=12, "7-12 months", Table1[[#This Row],[Customer Tenure in months]] &lt;=24, "1-2 years", TRUE, "2+ years")</f>
        <v>1-2 years</v>
      </c>
      <c r="M242">
        <v>20</v>
      </c>
      <c r="N242" t="s">
        <v>38</v>
      </c>
      <c r="O242" s="1">
        <v>20000</v>
      </c>
      <c r="P242">
        <v>20</v>
      </c>
      <c r="Q242" s="1">
        <v>400000</v>
      </c>
      <c r="R242">
        <v>91.27</v>
      </c>
      <c r="S242" t="s">
        <v>1091</v>
      </c>
      <c r="T242" t="s">
        <v>39</v>
      </c>
    </row>
    <row r="243" spans="1:20" x14ac:dyDescent="0.35">
      <c r="A243" s="22" t="s">
        <v>342</v>
      </c>
      <c r="B243" cm="1">
        <f t="array" ref="B243">IF(MATCH(Table1[[#This Row],[Customer ID]], Table1[Customer ID], 0) = ROW() - ROW(Table1[#Headers]), 1, 0)</f>
        <v>1</v>
      </c>
      <c r="C243" t="s">
        <v>343</v>
      </c>
      <c r="D243" s="2">
        <v>45713</v>
      </c>
      <c r="E243">
        <v>69</v>
      </c>
      <c r="F243" t="str" cm="1">
        <f t="array" ref="F243">_xlfn.IFS( Table1[[#This Row],[Age]]&lt;18, "&lt;18", Table1[[#This Row],[Age]]&lt;= 29, "18-29", Table1[[#This Row],[Age]]&lt;= 44, "30-44",  Table1[[#This Row],[Age]]&lt;=59, "45-59", TRUE, "60+")</f>
        <v>60+</v>
      </c>
      <c r="G243" t="s">
        <v>213</v>
      </c>
      <c r="H243" t="s">
        <v>29</v>
      </c>
      <c r="I243" t="s">
        <v>21</v>
      </c>
      <c r="J243">
        <v>5</v>
      </c>
      <c r="K243" t="s">
        <v>55</v>
      </c>
      <c r="L243" t="str" cm="1">
        <f t="array" ref="L243">_xlfn.IFS(Table1[[#This Row],[Customer Tenure in months]]&lt;=6, "0-6 months", Table1[[#This Row],[Customer Tenure in months]] &lt;=12, "7-12 months", Table1[[#This Row],[Customer Tenure in months]] &lt;=24, "1-2 years", TRUE, "2+ years")</f>
        <v>2+ years</v>
      </c>
      <c r="M243">
        <v>49</v>
      </c>
      <c r="N243" t="s">
        <v>193</v>
      </c>
      <c r="O243" s="1">
        <v>6500</v>
      </c>
      <c r="P243">
        <v>3</v>
      </c>
      <c r="Q243" s="1">
        <v>19500</v>
      </c>
      <c r="R243">
        <v>140.9</v>
      </c>
      <c r="S243" t="s">
        <v>1091</v>
      </c>
      <c r="T243" t="s">
        <v>39</v>
      </c>
    </row>
    <row r="244" spans="1:20" x14ac:dyDescent="0.35">
      <c r="A244" s="22" t="s">
        <v>344</v>
      </c>
      <c r="B244" cm="1">
        <f t="array" ref="B244">IF(MATCH(Table1[[#This Row],[Customer ID]], Table1[Customer ID], 0) = ROW() - ROW(Table1[#Headers]), 1, 0)</f>
        <v>1</v>
      </c>
      <c r="C244" t="s">
        <v>345</v>
      </c>
      <c r="D244" s="2">
        <v>45713</v>
      </c>
      <c r="E244">
        <v>23</v>
      </c>
      <c r="F244" t="str" cm="1">
        <f t="array" ref="F244">_xlfn.IFS( Table1[[#This Row],[Age]]&lt;18, "&lt;18", Table1[[#This Row],[Age]]&lt;= 29, "18-29", Table1[[#This Row],[Age]]&lt;= 44, "30-44",  Table1[[#This Row],[Age]]&lt;=59, "45-59", TRUE, "60+")</f>
        <v>18-29</v>
      </c>
      <c r="G244" t="s">
        <v>189</v>
      </c>
      <c r="H244" t="s">
        <v>29</v>
      </c>
      <c r="I244" t="s">
        <v>21</v>
      </c>
      <c r="J244">
        <v>2</v>
      </c>
      <c r="K244" t="s">
        <v>22</v>
      </c>
      <c r="L244" t="str" cm="1">
        <f t="array" ref="L244">_xlfn.IFS(Table1[[#This Row],[Customer Tenure in months]]&lt;=6, "0-6 months", Table1[[#This Row],[Customer Tenure in months]] &lt;=12, "7-12 months", Table1[[#This Row],[Customer Tenure in months]] &lt;=24, "1-2 years", TRUE, "2+ years")</f>
        <v>2+ years</v>
      </c>
      <c r="M244">
        <v>37</v>
      </c>
      <c r="N244" t="s">
        <v>31</v>
      </c>
      <c r="O244" s="1">
        <v>5500</v>
      </c>
      <c r="P244">
        <v>17</v>
      </c>
      <c r="Q244" s="1">
        <v>93500</v>
      </c>
      <c r="R244">
        <v>18.64</v>
      </c>
      <c r="S244" t="s">
        <v>1091</v>
      </c>
      <c r="T244" t="s">
        <v>39</v>
      </c>
    </row>
    <row r="245" spans="1:20" x14ac:dyDescent="0.35">
      <c r="A245" s="22" t="s">
        <v>344</v>
      </c>
      <c r="B245" cm="1">
        <f t="array" ref="B245">IF(MATCH(Table1[[#This Row],[Customer ID]], Table1[Customer ID], 0) = ROW() - ROW(Table1[#Headers]), 1, 0)</f>
        <v>0</v>
      </c>
      <c r="C245" t="s">
        <v>345</v>
      </c>
      <c r="D245" s="2">
        <v>45713</v>
      </c>
      <c r="E245">
        <v>23</v>
      </c>
      <c r="F245" t="str" cm="1">
        <f t="array" ref="F245">_xlfn.IFS( Table1[[#This Row],[Age]]&lt;18, "&lt;18", Table1[[#This Row],[Age]]&lt;= 29, "18-29", Table1[[#This Row],[Age]]&lt;= 44, "30-44",  Table1[[#This Row],[Age]]&lt;=59, "45-59", TRUE, "60+")</f>
        <v>18-29</v>
      </c>
      <c r="G245" t="s">
        <v>189</v>
      </c>
      <c r="H245" t="s">
        <v>41</v>
      </c>
      <c r="I245" t="s">
        <v>21</v>
      </c>
      <c r="J245">
        <v>2</v>
      </c>
      <c r="K245" t="s">
        <v>22</v>
      </c>
      <c r="L245" t="str" cm="1">
        <f t="array" ref="L245">_xlfn.IFS(Table1[[#This Row],[Customer Tenure in months]]&lt;=6, "0-6 months", Table1[[#This Row],[Customer Tenure in months]] &lt;=12, "7-12 months", Table1[[#This Row],[Customer Tenure in months]] &lt;=24, "1-2 years", TRUE, "2+ years")</f>
        <v>2+ years</v>
      </c>
      <c r="M245">
        <v>37</v>
      </c>
      <c r="N245" t="s">
        <v>71</v>
      </c>
      <c r="O245" s="1">
        <v>14500</v>
      </c>
      <c r="P245">
        <v>15</v>
      </c>
      <c r="Q245" s="1">
        <v>217500</v>
      </c>
      <c r="R245">
        <v>161.83000000000001</v>
      </c>
      <c r="S245" t="s">
        <v>1091</v>
      </c>
      <c r="T245" t="s">
        <v>39</v>
      </c>
    </row>
    <row r="246" spans="1:20" x14ac:dyDescent="0.35">
      <c r="A246" s="22" t="s">
        <v>344</v>
      </c>
      <c r="B246" cm="1">
        <f t="array" ref="B246">IF(MATCH(Table1[[#This Row],[Customer ID]], Table1[Customer ID], 0) = ROW() - ROW(Table1[#Headers]), 1, 0)</f>
        <v>0</v>
      </c>
      <c r="C246" t="s">
        <v>345</v>
      </c>
      <c r="D246" s="2">
        <v>45713</v>
      </c>
      <c r="E246">
        <v>23</v>
      </c>
      <c r="F246" t="str" cm="1">
        <f t="array" ref="F246">_xlfn.IFS( Table1[[#This Row],[Age]]&lt;18, "&lt;18", Table1[[#This Row],[Age]]&lt;= 29, "18-29", Table1[[#This Row],[Age]]&lt;= 44, "30-44",  Table1[[#This Row],[Age]]&lt;=59, "45-59", TRUE, "60+")</f>
        <v>18-29</v>
      </c>
      <c r="G246" t="s">
        <v>189</v>
      </c>
      <c r="H246" t="s">
        <v>36</v>
      </c>
      <c r="I246" t="s">
        <v>21</v>
      </c>
      <c r="J246">
        <v>2</v>
      </c>
      <c r="K246" t="s">
        <v>22</v>
      </c>
      <c r="L246" t="str" cm="1">
        <f t="array" ref="L246">_xlfn.IFS(Table1[[#This Row],[Customer Tenure in months]]&lt;=6, "0-6 months", Table1[[#This Row],[Customer Tenure in months]] &lt;=12, "7-12 months", Table1[[#This Row],[Customer Tenure in months]] &lt;=24, "1-2 years", TRUE, "2+ years")</f>
        <v>2+ years</v>
      </c>
      <c r="M246">
        <v>37</v>
      </c>
      <c r="N246" t="s">
        <v>65</v>
      </c>
      <c r="O246" s="1">
        <v>30000</v>
      </c>
      <c r="P246">
        <v>15</v>
      </c>
      <c r="Q246" s="1">
        <v>450000</v>
      </c>
      <c r="R246">
        <v>102.89</v>
      </c>
      <c r="S246" t="s">
        <v>1091</v>
      </c>
      <c r="T246" t="s">
        <v>39</v>
      </c>
    </row>
    <row r="247" spans="1:20" x14ac:dyDescent="0.35">
      <c r="A247" s="22" t="s">
        <v>346</v>
      </c>
      <c r="B247" cm="1">
        <f t="array" ref="B247">IF(MATCH(Table1[[#This Row],[Customer ID]], Table1[Customer ID], 0) = ROW() - ROW(Table1[#Headers]), 1, 0)</f>
        <v>1</v>
      </c>
      <c r="C247" t="s">
        <v>347</v>
      </c>
      <c r="D247" s="2">
        <v>45741</v>
      </c>
      <c r="E247">
        <v>75</v>
      </c>
      <c r="F247" t="str" cm="1">
        <f t="array" ref="F247">_xlfn.IFS( Table1[[#This Row],[Age]]&lt;18, "&lt;18", Table1[[#This Row],[Age]]&lt;= 29, "18-29", Table1[[#This Row],[Age]]&lt;= 44, "30-44",  Table1[[#This Row],[Age]]&lt;=59, "45-59", TRUE, "60+")</f>
        <v>60+</v>
      </c>
      <c r="G247" t="s">
        <v>149</v>
      </c>
      <c r="H247" t="s">
        <v>41</v>
      </c>
      <c r="I247" t="s">
        <v>21</v>
      </c>
      <c r="J247">
        <v>1</v>
      </c>
      <c r="K247" t="s">
        <v>37</v>
      </c>
      <c r="L247" t="str" cm="1">
        <f t="array" ref="L247">_xlfn.IFS(Table1[[#This Row],[Customer Tenure in months]]&lt;=6, "0-6 months", Table1[[#This Row],[Customer Tenure in months]] &lt;=12, "7-12 months", Table1[[#This Row],[Customer Tenure in months]] &lt;=24, "1-2 years", TRUE, "2+ years")</f>
        <v>2+ years</v>
      </c>
      <c r="M247">
        <v>26</v>
      </c>
      <c r="N247" t="s">
        <v>65</v>
      </c>
      <c r="O247" s="1">
        <v>30000</v>
      </c>
      <c r="P247">
        <v>18</v>
      </c>
      <c r="Q247" s="1">
        <v>540000</v>
      </c>
      <c r="R247">
        <v>140.22999999999999</v>
      </c>
      <c r="S247" t="s">
        <v>1091</v>
      </c>
      <c r="T247" t="s">
        <v>39</v>
      </c>
    </row>
    <row r="248" spans="1:20" x14ac:dyDescent="0.35">
      <c r="A248" s="22" t="s">
        <v>346</v>
      </c>
      <c r="B248" cm="1">
        <f t="array" ref="B248">IF(MATCH(Table1[[#This Row],[Customer ID]], Table1[Customer ID], 0) = ROW() - ROW(Table1[#Headers]), 1, 0)</f>
        <v>0</v>
      </c>
      <c r="C248" t="s">
        <v>347</v>
      </c>
      <c r="D248" s="2">
        <v>45741</v>
      </c>
      <c r="E248">
        <v>75</v>
      </c>
      <c r="F248" t="str" cm="1">
        <f t="array" ref="F248">_xlfn.IFS( Table1[[#This Row],[Age]]&lt;18, "&lt;18", Table1[[#This Row],[Age]]&lt;= 29, "18-29", Table1[[#This Row],[Age]]&lt;= 44, "30-44",  Table1[[#This Row],[Age]]&lt;=59, "45-59", TRUE, "60+")</f>
        <v>60+</v>
      </c>
      <c r="G248" t="s">
        <v>149</v>
      </c>
      <c r="H248" t="s">
        <v>29</v>
      </c>
      <c r="I248" t="s">
        <v>21</v>
      </c>
      <c r="J248">
        <v>1</v>
      </c>
      <c r="K248" t="s">
        <v>37</v>
      </c>
      <c r="L248" t="str" cm="1">
        <f t="array" ref="L248">_xlfn.IFS(Table1[[#This Row],[Customer Tenure in months]]&lt;=6, "0-6 months", Table1[[#This Row],[Customer Tenure in months]] &lt;=12, "7-12 months", Table1[[#This Row],[Customer Tenure in months]] &lt;=24, "1-2 years", TRUE, "2+ years")</f>
        <v>2+ years</v>
      </c>
      <c r="M248">
        <v>26</v>
      </c>
      <c r="N248" t="s">
        <v>102</v>
      </c>
      <c r="O248" s="1">
        <v>900</v>
      </c>
      <c r="P248">
        <v>3</v>
      </c>
      <c r="Q248" s="1">
        <v>2700</v>
      </c>
      <c r="R248">
        <v>186.95</v>
      </c>
      <c r="S248" t="s">
        <v>1091</v>
      </c>
      <c r="T248" t="s">
        <v>39</v>
      </c>
    </row>
    <row r="249" spans="1:20" x14ac:dyDescent="0.35">
      <c r="A249" s="22" t="s">
        <v>346</v>
      </c>
      <c r="B249" cm="1">
        <f t="array" ref="B249">IF(MATCH(Table1[[#This Row],[Customer ID]], Table1[Customer ID], 0) = ROW() - ROW(Table1[#Headers]), 1, 0)</f>
        <v>0</v>
      </c>
      <c r="C249" t="s">
        <v>347</v>
      </c>
      <c r="D249" s="2">
        <v>45741</v>
      </c>
      <c r="E249">
        <v>75</v>
      </c>
      <c r="F249" t="str" cm="1">
        <f t="array" ref="F249">_xlfn.IFS( Table1[[#This Row],[Age]]&lt;18, "&lt;18", Table1[[#This Row],[Age]]&lt;= 29, "18-29", Table1[[#This Row],[Age]]&lt;= 44, "30-44",  Table1[[#This Row],[Age]]&lt;=59, "45-59", TRUE, "60+")</f>
        <v>60+</v>
      </c>
      <c r="G249" t="s">
        <v>149</v>
      </c>
      <c r="H249" t="s">
        <v>29</v>
      </c>
      <c r="I249" t="s">
        <v>21</v>
      </c>
      <c r="J249">
        <v>1</v>
      </c>
      <c r="K249" t="s">
        <v>37</v>
      </c>
      <c r="L249" t="str" cm="1">
        <f t="array" ref="L249">_xlfn.IFS(Table1[[#This Row],[Customer Tenure in months]]&lt;=6, "0-6 months", Table1[[#This Row],[Customer Tenure in months]] &lt;=12, "7-12 months", Table1[[#This Row],[Customer Tenure in months]] &lt;=24, "1-2 years", TRUE, "2+ years")</f>
        <v>2+ years</v>
      </c>
      <c r="M249">
        <v>26</v>
      </c>
      <c r="N249" t="s">
        <v>23</v>
      </c>
      <c r="O249" s="1">
        <v>35000</v>
      </c>
      <c r="P249">
        <v>14</v>
      </c>
      <c r="Q249" s="1">
        <v>490000</v>
      </c>
      <c r="R249">
        <v>6.83</v>
      </c>
      <c r="S249" t="s">
        <v>1091</v>
      </c>
      <c r="T249" t="s">
        <v>39</v>
      </c>
    </row>
    <row r="250" spans="1:20" x14ac:dyDescent="0.35">
      <c r="A250" s="22" t="s">
        <v>348</v>
      </c>
      <c r="B250" cm="1">
        <f t="array" ref="B250">IF(MATCH(Table1[[#This Row],[Customer ID]], Table1[Customer ID], 0) = ROW() - ROW(Table1[#Headers]), 1, 0)</f>
        <v>1</v>
      </c>
      <c r="C250" t="s">
        <v>349</v>
      </c>
      <c r="D250" s="2">
        <v>45713</v>
      </c>
      <c r="E250">
        <v>33</v>
      </c>
      <c r="F250" t="str" cm="1">
        <f t="array" ref="F250">_xlfn.IFS( Table1[[#This Row],[Age]]&lt;18, "&lt;18", Table1[[#This Row],[Age]]&lt;= 29, "18-29", Table1[[#This Row],[Age]]&lt;= 44, "30-44",  Table1[[#This Row],[Age]]&lt;=59, "45-59", TRUE, "60+")</f>
        <v>30-44</v>
      </c>
      <c r="G250" t="s">
        <v>110</v>
      </c>
      <c r="H250" t="s">
        <v>29</v>
      </c>
      <c r="I250" t="s">
        <v>30</v>
      </c>
      <c r="J250">
        <v>4</v>
      </c>
      <c r="K250" t="s">
        <v>114</v>
      </c>
      <c r="L250" t="str" cm="1">
        <f t="array" ref="L250">_xlfn.IFS(Table1[[#This Row],[Customer Tenure in months]]&lt;=6, "0-6 months", Table1[[#This Row],[Customer Tenure in months]] &lt;=12, "7-12 months", Table1[[#This Row],[Customer Tenure in months]] &lt;=24, "1-2 years", TRUE, "2+ years")</f>
        <v>2+ years</v>
      </c>
      <c r="M250">
        <v>58</v>
      </c>
      <c r="N250" t="s">
        <v>193</v>
      </c>
      <c r="O250" s="1">
        <v>6500</v>
      </c>
      <c r="P250">
        <v>12</v>
      </c>
      <c r="Q250" s="1">
        <v>78000</v>
      </c>
      <c r="R250">
        <v>27.03</v>
      </c>
      <c r="S250" t="s">
        <v>1091</v>
      </c>
      <c r="T250" t="s">
        <v>39</v>
      </c>
    </row>
    <row r="251" spans="1:20" x14ac:dyDescent="0.35">
      <c r="A251" s="22" t="s">
        <v>348</v>
      </c>
      <c r="B251" cm="1">
        <f t="array" ref="B251">IF(MATCH(Table1[[#This Row],[Customer ID]], Table1[Customer ID], 0) = ROW() - ROW(Table1[#Headers]), 1, 0)</f>
        <v>0</v>
      </c>
      <c r="C251" t="s">
        <v>349</v>
      </c>
      <c r="D251" s="2">
        <v>45713</v>
      </c>
      <c r="E251">
        <v>33</v>
      </c>
      <c r="F251" t="str" cm="1">
        <f t="array" ref="F251">_xlfn.IFS( Table1[[#This Row],[Age]]&lt;18, "&lt;18", Table1[[#This Row],[Age]]&lt;= 29, "18-29", Table1[[#This Row],[Age]]&lt;= 44, "30-44",  Table1[[#This Row],[Age]]&lt;=59, "45-59", TRUE, "60+")</f>
        <v>30-44</v>
      </c>
      <c r="G251" t="s">
        <v>110</v>
      </c>
      <c r="H251" t="s">
        <v>41</v>
      </c>
      <c r="I251" t="s">
        <v>30</v>
      </c>
      <c r="J251">
        <v>4</v>
      </c>
      <c r="K251" t="s">
        <v>114</v>
      </c>
      <c r="L251" t="str" cm="1">
        <f t="array" ref="L251">_xlfn.IFS(Table1[[#This Row],[Customer Tenure in months]]&lt;=6, "0-6 months", Table1[[#This Row],[Customer Tenure in months]] &lt;=12, "7-12 months", Table1[[#This Row],[Customer Tenure in months]] &lt;=24, "1-2 years", TRUE, "2+ years")</f>
        <v>2+ years</v>
      </c>
      <c r="M251">
        <v>58</v>
      </c>
      <c r="N251" t="s">
        <v>42</v>
      </c>
      <c r="O251" s="1">
        <v>9000</v>
      </c>
      <c r="P251">
        <v>18</v>
      </c>
      <c r="Q251" s="1">
        <v>162000</v>
      </c>
      <c r="R251">
        <v>36.11</v>
      </c>
      <c r="S251" t="s">
        <v>1091</v>
      </c>
      <c r="T251" t="s">
        <v>39</v>
      </c>
    </row>
    <row r="252" spans="1:20" x14ac:dyDescent="0.35">
      <c r="A252" s="22" t="s">
        <v>350</v>
      </c>
      <c r="B252" cm="1">
        <f t="array" ref="B252">IF(MATCH(Table1[[#This Row],[Customer ID]], Table1[Customer ID], 0) = ROW() - ROW(Table1[#Headers]), 1, 0)</f>
        <v>1</v>
      </c>
      <c r="C252" t="s">
        <v>351</v>
      </c>
      <c r="D252" s="2">
        <v>45682</v>
      </c>
      <c r="E252">
        <v>32</v>
      </c>
      <c r="F252" t="str" cm="1">
        <f t="array" ref="F252">_xlfn.IFS( Table1[[#This Row],[Age]]&lt;18, "&lt;18", Table1[[#This Row],[Age]]&lt;= 29, "18-29", Table1[[#This Row],[Age]]&lt;= 44, "30-44",  Table1[[#This Row],[Age]]&lt;=59, "45-59", TRUE, "60+")</f>
        <v>30-44</v>
      </c>
      <c r="G252" t="s">
        <v>113</v>
      </c>
      <c r="H252" t="s">
        <v>29</v>
      </c>
      <c r="I252" t="s">
        <v>21</v>
      </c>
      <c r="J252">
        <v>3</v>
      </c>
      <c r="K252" t="s">
        <v>50</v>
      </c>
      <c r="L252" t="str" cm="1">
        <f t="array" ref="L252">_xlfn.IFS(Table1[[#This Row],[Customer Tenure in months]]&lt;=6, "0-6 months", Table1[[#This Row],[Customer Tenure in months]] &lt;=12, "7-12 months", Table1[[#This Row],[Customer Tenure in months]] &lt;=24, "1-2 years", TRUE, "2+ years")</f>
        <v>2+ years</v>
      </c>
      <c r="M252">
        <v>49</v>
      </c>
      <c r="N252" t="s">
        <v>72</v>
      </c>
      <c r="O252" s="1">
        <v>350</v>
      </c>
      <c r="P252">
        <v>12</v>
      </c>
      <c r="Q252" s="1">
        <v>4200</v>
      </c>
      <c r="R252">
        <v>49.88</v>
      </c>
      <c r="S252" t="s">
        <v>1091</v>
      </c>
      <c r="T252" t="s">
        <v>39</v>
      </c>
    </row>
    <row r="253" spans="1:20" x14ac:dyDescent="0.35">
      <c r="A253" s="22" t="s">
        <v>350</v>
      </c>
      <c r="B253" cm="1">
        <f t="array" ref="B253">IF(MATCH(Table1[[#This Row],[Customer ID]], Table1[Customer ID], 0) = ROW() - ROW(Table1[#Headers]), 1, 0)</f>
        <v>0</v>
      </c>
      <c r="C253" t="s">
        <v>351</v>
      </c>
      <c r="D253" s="2">
        <v>45682</v>
      </c>
      <c r="E253">
        <v>32</v>
      </c>
      <c r="F253" t="str" cm="1">
        <f t="array" ref="F253">_xlfn.IFS( Table1[[#This Row],[Age]]&lt;18, "&lt;18", Table1[[#This Row],[Age]]&lt;= 29, "18-29", Table1[[#This Row],[Age]]&lt;= 44, "30-44",  Table1[[#This Row],[Age]]&lt;=59, "45-59", TRUE, "60+")</f>
        <v>30-44</v>
      </c>
      <c r="G253" t="s">
        <v>113</v>
      </c>
      <c r="H253" t="s">
        <v>36</v>
      </c>
      <c r="I253" t="s">
        <v>21</v>
      </c>
      <c r="J253">
        <v>3</v>
      </c>
      <c r="K253" t="s">
        <v>50</v>
      </c>
      <c r="L253" t="str" cm="1">
        <f t="array" ref="L253">_xlfn.IFS(Table1[[#This Row],[Customer Tenure in months]]&lt;=6, "0-6 months", Table1[[#This Row],[Customer Tenure in months]] &lt;=12, "7-12 months", Table1[[#This Row],[Customer Tenure in months]] &lt;=24, "1-2 years", TRUE, "2+ years")</f>
        <v>2+ years</v>
      </c>
      <c r="M253">
        <v>49</v>
      </c>
      <c r="N253" t="s">
        <v>65</v>
      </c>
      <c r="O253" s="1">
        <v>30000</v>
      </c>
      <c r="P253">
        <v>4</v>
      </c>
      <c r="Q253" s="1">
        <v>120000</v>
      </c>
      <c r="R253">
        <v>55.49</v>
      </c>
      <c r="S253" t="s">
        <v>1091</v>
      </c>
      <c r="T253" t="s">
        <v>39</v>
      </c>
    </row>
    <row r="254" spans="1:20" x14ac:dyDescent="0.35">
      <c r="A254" s="22" t="s">
        <v>350</v>
      </c>
      <c r="B254" cm="1">
        <f t="array" ref="B254">IF(MATCH(Table1[[#This Row],[Customer ID]], Table1[Customer ID], 0) = ROW() - ROW(Table1[#Headers]), 1, 0)</f>
        <v>0</v>
      </c>
      <c r="C254" t="s">
        <v>351</v>
      </c>
      <c r="D254" s="2">
        <v>45682</v>
      </c>
      <c r="E254">
        <v>32</v>
      </c>
      <c r="F254" t="str" cm="1">
        <f t="array" ref="F254">_xlfn.IFS( Table1[[#This Row],[Age]]&lt;18, "&lt;18", Table1[[#This Row],[Age]]&lt;= 29, "18-29", Table1[[#This Row],[Age]]&lt;= 44, "30-44",  Table1[[#This Row],[Age]]&lt;=59, "45-59", TRUE, "60+")</f>
        <v>30-44</v>
      </c>
      <c r="G254" t="s">
        <v>113</v>
      </c>
      <c r="H254" t="s">
        <v>20</v>
      </c>
      <c r="I254" t="s">
        <v>21</v>
      </c>
      <c r="J254">
        <v>3</v>
      </c>
      <c r="K254" t="s">
        <v>50</v>
      </c>
      <c r="L254" t="str" cm="1">
        <f t="array" ref="L254">_xlfn.IFS(Table1[[#This Row],[Customer Tenure in months]]&lt;=6, "0-6 months", Table1[[#This Row],[Customer Tenure in months]] &lt;=12, "7-12 months", Table1[[#This Row],[Customer Tenure in months]] &lt;=24, "1-2 years", TRUE, "2+ years")</f>
        <v>2+ years</v>
      </c>
      <c r="M254">
        <v>49</v>
      </c>
      <c r="N254" t="s">
        <v>58</v>
      </c>
      <c r="O254" s="1">
        <v>16000</v>
      </c>
      <c r="P254">
        <v>14</v>
      </c>
      <c r="Q254" s="1">
        <v>224000</v>
      </c>
      <c r="R254">
        <v>161.99</v>
      </c>
      <c r="S254" t="s">
        <v>1091</v>
      </c>
      <c r="T254" t="s">
        <v>39</v>
      </c>
    </row>
    <row r="255" spans="1:20" x14ac:dyDescent="0.35">
      <c r="A255" s="22" t="s">
        <v>352</v>
      </c>
      <c r="B255" cm="1">
        <f t="array" ref="B255">IF(MATCH(Table1[[#This Row],[Customer ID]], Table1[Customer ID], 0) = ROW() - ROW(Table1[#Headers]), 1, 0)</f>
        <v>1</v>
      </c>
      <c r="C255" t="s">
        <v>353</v>
      </c>
      <c r="D255" s="2">
        <v>45682</v>
      </c>
      <c r="E255">
        <v>46</v>
      </c>
      <c r="F255" t="str" cm="1">
        <f t="array" ref="F255">_xlfn.IFS( Table1[[#This Row],[Age]]&lt;18, "&lt;18", Table1[[#This Row],[Age]]&lt;= 29, "18-29", Table1[[#This Row],[Age]]&lt;= 44, "30-44",  Table1[[#This Row],[Age]]&lt;=59, "45-59", TRUE, "60+")</f>
        <v>45-59</v>
      </c>
      <c r="G255" t="s">
        <v>79</v>
      </c>
      <c r="H255" t="s">
        <v>41</v>
      </c>
      <c r="I255" t="s">
        <v>21</v>
      </c>
      <c r="J255">
        <v>4</v>
      </c>
      <c r="K255" t="s">
        <v>114</v>
      </c>
      <c r="L255" t="str" cm="1">
        <f t="array" ref="L255">_xlfn.IFS(Table1[[#This Row],[Customer Tenure in months]]&lt;=6, "0-6 months", Table1[[#This Row],[Customer Tenure in months]] &lt;=12, "7-12 months", Table1[[#This Row],[Customer Tenure in months]] &lt;=24, "1-2 years", TRUE, "2+ years")</f>
        <v>7-12 months</v>
      </c>
      <c r="M255">
        <v>7</v>
      </c>
      <c r="N255" t="s">
        <v>71</v>
      </c>
      <c r="O255" s="1">
        <v>14500</v>
      </c>
      <c r="P255">
        <v>18</v>
      </c>
      <c r="Q255" s="1">
        <v>261000</v>
      </c>
      <c r="R255">
        <v>88.07</v>
      </c>
      <c r="S255" t="s">
        <v>1091</v>
      </c>
      <c r="T255" t="s">
        <v>39</v>
      </c>
    </row>
    <row r="256" spans="1:20" x14ac:dyDescent="0.35">
      <c r="A256" s="22" t="s">
        <v>352</v>
      </c>
      <c r="B256" cm="1">
        <f t="array" ref="B256">IF(MATCH(Table1[[#This Row],[Customer ID]], Table1[Customer ID], 0) = ROW() - ROW(Table1[#Headers]), 1, 0)</f>
        <v>0</v>
      </c>
      <c r="C256" t="s">
        <v>353</v>
      </c>
      <c r="D256" s="2">
        <v>45682</v>
      </c>
      <c r="E256">
        <v>46</v>
      </c>
      <c r="F256" t="str" cm="1">
        <f t="array" ref="F256">_xlfn.IFS( Table1[[#This Row],[Age]]&lt;18, "&lt;18", Table1[[#This Row],[Age]]&lt;= 29, "18-29", Table1[[#This Row],[Age]]&lt;= 44, "30-44",  Table1[[#This Row],[Age]]&lt;=59, "45-59", TRUE, "60+")</f>
        <v>45-59</v>
      </c>
      <c r="G256" t="s">
        <v>79</v>
      </c>
      <c r="H256" t="s">
        <v>29</v>
      </c>
      <c r="I256" t="s">
        <v>21</v>
      </c>
      <c r="J256">
        <v>4</v>
      </c>
      <c r="K256" t="s">
        <v>114</v>
      </c>
      <c r="L256" t="str" cm="1">
        <f t="array" ref="L256">_xlfn.IFS(Table1[[#This Row],[Customer Tenure in months]]&lt;=6, "0-6 months", Table1[[#This Row],[Customer Tenure in months]] &lt;=12, "7-12 months", Table1[[#This Row],[Customer Tenure in months]] &lt;=24, "1-2 years", TRUE, "2+ years")</f>
        <v>7-12 months</v>
      </c>
      <c r="M256">
        <v>7</v>
      </c>
      <c r="N256" t="s">
        <v>72</v>
      </c>
      <c r="O256" s="1">
        <v>350</v>
      </c>
      <c r="P256">
        <v>2</v>
      </c>
      <c r="Q256" s="1">
        <v>700</v>
      </c>
      <c r="R256">
        <v>151</v>
      </c>
      <c r="S256" t="s">
        <v>1091</v>
      </c>
      <c r="T256" t="s">
        <v>39</v>
      </c>
    </row>
    <row r="257" spans="1:20" x14ac:dyDescent="0.35">
      <c r="A257" s="22" t="s">
        <v>352</v>
      </c>
      <c r="B257" cm="1">
        <f t="array" ref="B257">IF(MATCH(Table1[[#This Row],[Customer ID]], Table1[Customer ID], 0) = ROW() - ROW(Table1[#Headers]), 1, 0)</f>
        <v>0</v>
      </c>
      <c r="C257" t="s">
        <v>353</v>
      </c>
      <c r="D257" s="2">
        <v>45682</v>
      </c>
      <c r="E257">
        <v>46</v>
      </c>
      <c r="F257" t="str" cm="1">
        <f t="array" ref="F257">_xlfn.IFS( Table1[[#This Row],[Age]]&lt;18, "&lt;18", Table1[[#This Row],[Age]]&lt;= 29, "18-29", Table1[[#This Row],[Age]]&lt;= 44, "30-44",  Table1[[#This Row],[Age]]&lt;=59, "45-59", TRUE, "60+")</f>
        <v>45-59</v>
      </c>
      <c r="G257" t="s">
        <v>79</v>
      </c>
      <c r="H257" t="s">
        <v>36</v>
      </c>
      <c r="I257" t="s">
        <v>21</v>
      </c>
      <c r="J257">
        <v>4</v>
      </c>
      <c r="K257" t="s">
        <v>114</v>
      </c>
      <c r="L257" t="str" cm="1">
        <f t="array" ref="L257">_xlfn.IFS(Table1[[#This Row],[Customer Tenure in months]]&lt;=6, "0-6 months", Table1[[#This Row],[Customer Tenure in months]] &lt;=12, "7-12 months", Table1[[#This Row],[Customer Tenure in months]] &lt;=24, "1-2 years", TRUE, "2+ years")</f>
        <v>7-12 months</v>
      </c>
      <c r="M257">
        <v>7</v>
      </c>
      <c r="N257" t="s">
        <v>65</v>
      </c>
      <c r="O257" s="1">
        <v>30000</v>
      </c>
      <c r="P257">
        <v>10</v>
      </c>
      <c r="Q257" s="1">
        <v>300000</v>
      </c>
      <c r="R257">
        <v>101.03</v>
      </c>
      <c r="S257" t="s">
        <v>1091</v>
      </c>
      <c r="T257" t="s">
        <v>39</v>
      </c>
    </row>
    <row r="258" spans="1:20" x14ac:dyDescent="0.35">
      <c r="A258" s="22" t="s">
        <v>354</v>
      </c>
      <c r="B258" cm="1">
        <f t="array" ref="B258">IF(MATCH(Table1[[#This Row],[Customer ID]], Table1[Customer ID], 0) = ROW() - ROW(Table1[#Headers]), 1, 0)</f>
        <v>1</v>
      </c>
      <c r="C258" t="s">
        <v>355</v>
      </c>
      <c r="D258" s="2">
        <v>45713</v>
      </c>
      <c r="E258">
        <v>56</v>
      </c>
      <c r="F258" t="str" cm="1">
        <f t="array" ref="F258">_xlfn.IFS( Table1[[#This Row],[Age]]&lt;18, "&lt;18", Table1[[#This Row],[Age]]&lt;= 29, "18-29", Table1[[#This Row],[Age]]&lt;= 44, "30-44",  Table1[[#This Row],[Age]]&lt;=59, "45-59", TRUE, "60+")</f>
        <v>45-59</v>
      </c>
      <c r="G258" t="s">
        <v>258</v>
      </c>
      <c r="H258" t="s">
        <v>41</v>
      </c>
      <c r="I258" t="s">
        <v>21</v>
      </c>
      <c r="J258">
        <v>5</v>
      </c>
      <c r="K258" t="s">
        <v>55</v>
      </c>
      <c r="L258" t="str" cm="1">
        <f t="array" ref="L258">_xlfn.IFS(Table1[[#This Row],[Customer Tenure in months]]&lt;=6, "0-6 months", Table1[[#This Row],[Customer Tenure in months]] &lt;=12, "7-12 months", Table1[[#This Row],[Customer Tenure in months]] &lt;=24, "1-2 years", TRUE, "2+ years")</f>
        <v>1-2 years</v>
      </c>
      <c r="M258">
        <v>20</v>
      </c>
      <c r="N258" t="s">
        <v>62</v>
      </c>
      <c r="O258" s="1">
        <v>24000</v>
      </c>
      <c r="P258">
        <v>6</v>
      </c>
      <c r="Q258" s="1">
        <v>144000</v>
      </c>
      <c r="R258">
        <v>176</v>
      </c>
      <c r="S258" t="s">
        <v>96</v>
      </c>
      <c r="T258" t="s">
        <v>24</v>
      </c>
    </row>
    <row r="259" spans="1:20" x14ac:dyDescent="0.35">
      <c r="A259" s="22" t="s">
        <v>354</v>
      </c>
      <c r="B259" cm="1">
        <f t="array" ref="B259">IF(MATCH(Table1[[#This Row],[Customer ID]], Table1[Customer ID], 0) = ROW() - ROW(Table1[#Headers]), 1, 0)</f>
        <v>0</v>
      </c>
      <c r="C259" t="s">
        <v>355</v>
      </c>
      <c r="D259" s="2">
        <v>45713</v>
      </c>
      <c r="E259">
        <v>56</v>
      </c>
      <c r="F259" t="str" cm="1">
        <f t="array" ref="F259">_xlfn.IFS( Table1[[#This Row],[Age]]&lt;18, "&lt;18", Table1[[#This Row],[Age]]&lt;= 29, "18-29", Table1[[#This Row],[Age]]&lt;= 44, "30-44",  Table1[[#This Row],[Age]]&lt;=59, "45-59", TRUE, "60+")</f>
        <v>45-59</v>
      </c>
      <c r="G259" t="s">
        <v>258</v>
      </c>
      <c r="H259" t="s">
        <v>36</v>
      </c>
      <c r="I259" t="s">
        <v>21</v>
      </c>
      <c r="J259">
        <v>5</v>
      </c>
      <c r="K259" t="s">
        <v>55</v>
      </c>
      <c r="L259" t="str" cm="1">
        <f t="array" ref="L259">_xlfn.IFS(Table1[[#This Row],[Customer Tenure in months]]&lt;=6, "0-6 months", Table1[[#This Row],[Customer Tenure in months]] &lt;=12, "7-12 months", Table1[[#This Row],[Customer Tenure in months]] &lt;=24, "1-2 years", TRUE, "2+ years")</f>
        <v>1-2 years</v>
      </c>
      <c r="M259">
        <v>20</v>
      </c>
      <c r="N259" t="s">
        <v>105</v>
      </c>
      <c r="O259" s="1">
        <v>75000</v>
      </c>
      <c r="P259">
        <v>2</v>
      </c>
      <c r="Q259" s="1">
        <v>150000</v>
      </c>
      <c r="R259">
        <v>111.39</v>
      </c>
      <c r="S259" t="s">
        <v>96</v>
      </c>
      <c r="T259" t="s">
        <v>24</v>
      </c>
    </row>
    <row r="260" spans="1:20" x14ac:dyDescent="0.35">
      <c r="A260" s="22" t="s">
        <v>356</v>
      </c>
      <c r="B260" cm="1">
        <f t="array" ref="B260">IF(MATCH(Table1[[#This Row],[Customer ID]], Table1[Customer ID], 0) = ROW() - ROW(Table1[#Headers]), 1, 0)</f>
        <v>1</v>
      </c>
      <c r="C260" t="s">
        <v>357</v>
      </c>
      <c r="D260" s="2">
        <v>45713</v>
      </c>
      <c r="E260">
        <v>64</v>
      </c>
      <c r="F260" t="str" cm="1">
        <f t="array" ref="F260">_xlfn.IFS( Table1[[#This Row],[Age]]&lt;18, "&lt;18", Table1[[#This Row],[Age]]&lt;= 29, "18-29", Table1[[#This Row],[Age]]&lt;= 44, "30-44",  Table1[[#This Row],[Age]]&lt;=59, "45-59", TRUE, "60+")</f>
        <v>60+</v>
      </c>
      <c r="G260" t="s">
        <v>75</v>
      </c>
      <c r="H260" t="s">
        <v>29</v>
      </c>
      <c r="I260" t="s">
        <v>30</v>
      </c>
      <c r="J260">
        <v>4</v>
      </c>
      <c r="K260" t="s">
        <v>114</v>
      </c>
      <c r="L260" t="str" cm="1">
        <f t="array" ref="L260">_xlfn.IFS(Table1[[#This Row],[Customer Tenure in months]]&lt;=6, "0-6 months", Table1[[#This Row],[Customer Tenure in months]] &lt;=12, "7-12 months", Table1[[#This Row],[Customer Tenure in months]] &lt;=24, "1-2 years", TRUE, "2+ years")</f>
        <v>2+ years</v>
      </c>
      <c r="M260">
        <v>45</v>
      </c>
      <c r="N260" t="s">
        <v>72</v>
      </c>
      <c r="O260" s="1">
        <v>350</v>
      </c>
      <c r="P260">
        <v>10</v>
      </c>
      <c r="Q260" s="1">
        <v>3500</v>
      </c>
      <c r="R260">
        <v>169.94</v>
      </c>
      <c r="S260" t="s">
        <v>167</v>
      </c>
      <c r="T260" t="s">
        <v>24</v>
      </c>
    </row>
    <row r="261" spans="1:20" x14ac:dyDescent="0.35">
      <c r="A261" s="22" t="s">
        <v>358</v>
      </c>
      <c r="B261" cm="1">
        <f t="array" ref="B261">IF(MATCH(Table1[[#This Row],[Customer ID]], Table1[Customer ID], 0) = ROW() - ROW(Table1[#Headers]), 1, 0)</f>
        <v>1</v>
      </c>
      <c r="C261" t="s">
        <v>359</v>
      </c>
      <c r="D261" s="2">
        <v>45713</v>
      </c>
      <c r="E261">
        <v>75</v>
      </c>
      <c r="F261" t="str" cm="1">
        <f t="array" ref="F261">_xlfn.IFS( Table1[[#This Row],[Age]]&lt;18, "&lt;18", Table1[[#This Row],[Age]]&lt;= 29, "18-29", Table1[[#This Row],[Age]]&lt;= 44, "30-44",  Table1[[#This Row],[Age]]&lt;=59, "45-59", TRUE, "60+")</f>
        <v>60+</v>
      </c>
      <c r="G261" t="s">
        <v>49</v>
      </c>
      <c r="H261" t="s">
        <v>41</v>
      </c>
      <c r="I261" t="s">
        <v>30</v>
      </c>
      <c r="J261">
        <v>4</v>
      </c>
      <c r="K261" t="s">
        <v>114</v>
      </c>
      <c r="L261" t="str" cm="1">
        <f t="array" ref="L261">_xlfn.IFS(Table1[[#This Row],[Customer Tenure in months]]&lt;=6, "0-6 months", Table1[[#This Row],[Customer Tenure in months]] &lt;=12, "7-12 months", Table1[[#This Row],[Customer Tenure in months]] &lt;=24, "1-2 years", TRUE, "2+ years")</f>
        <v>2+ years</v>
      </c>
      <c r="M261">
        <v>27</v>
      </c>
      <c r="N261" t="s">
        <v>65</v>
      </c>
      <c r="O261" s="1">
        <v>30000</v>
      </c>
      <c r="P261">
        <v>7</v>
      </c>
      <c r="Q261" s="1">
        <v>210000</v>
      </c>
      <c r="R261">
        <v>18.95</v>
      </c>
      <c r="S261" t="s">
        <v>265</v>
      </c>
      <c r="T261" t="s">
        <v>24</v>
      </c>
    </row>
    <row r="262" spans="1:20" x14ac:dyDescent="0.35">
      <c r="A262" s="22" t="s">
        <v>358</v>
      </c>
      <c r="B262" cm="1">
        <f t="array" ref="B262">IF(MATCH(Table1[[#This Row],[Customer ID]], Table1[Customer ID], 0) = ROW() - ROW(Table1[#Headers]), 1, 0)</f>
        <v>0</v>
      </c>
      <c r="C262" t="s">
        <v>359</v>
      </c>
      <c r="D262" s="2">
        <v>45713</v>
      </c>
      <c r="E262">
        <v>75</v>
      </c>
      <c r="F262" t="str" cm="1">
        <f t="array" ref="F262">_xlfn.IFS( Table1[[#This Row],[Age]]&lt;18, "&lt;18", Table1[[#This Row],[Age]]&lt;= 29, "18-29", Table1[[#This Row],[Age]]&lt;= 44, "30-44",  Table1[[#This Row],[Age]]&lt;=59, "45-59", TRUE, "60+")</f>
        <v>60+</v>
      </c>
      <c r="G262" t="s">
        <v>49</v>
      </c>
      <c r="H262" t="s">
        <v>20</v>
      </c>
      <c r="I262" t="s">
        <v>30</v>
      </c>
      <c r="J262">
        <v>4</v>
      </c>
      <c r="K262" t="s">
        <v>114</v>
      </c>
      <c r="L262" t="str" cm="1">
        <f t="array" ref="L262">_xlfn.IFS(Table1[[#This Row],[Customer Tenure in months]]&lt;=6, "0-6 months", Table1[[#This Row],[Customer Tenure in months]] &lt;=12, "7-12 months", Table1[[#This Row],[Customer Tenure in months]] &lt;=24, "1-2 years", TRUE, "2+ years")</f>
        <v>2+ years</v>
      </c>
      <c r="M262">
        <v>27</v>
      </c>
      <c r="N262" t="s">
        <v>58</v>
      </c>
      <c r="O262" s="1">
        <v>16000</v>
      </c>
      <c r="P262">
        <v>20</v>
      </c>
      <c r="Q262" s="1">
        <v>320000</v>
      </c>
      <c r="R262">
        <v>54.06</v>
      </c>
      <c r="S262" t="s">
        <v>265</v>
      </c>
      <c r="T262" t="s">
        <v>24</v>
      </c>
    </row>
    <row r="263" spans="1:20" x14ac:dyDescent="0.35">
      <c r="A263" s="22" t="s">
        <v>360</v>
      </c>
      <c r="B263" cm="1">
        <f t="array" ref="B263">IF(MATCH(Table1[[#This Row],[Customer ID]], Table1[Customer ID], 0) = ROW() - ROW(Table1[#Headers]), 1, 0)</f>
        <v>1</v>
      </c>
      <c r="C263" t="s">
        <v>361</v>
      </c>
      <c r="D263" s="2">
        <v>45713</v>
      </c>
      <c r="E263">
        <v>25</v>
      </c>
      <c r="F263" t="str" cm="1">
        <f t="array" ref="F263">_xlfn.IFS( Table1[[#This Row],[Age]]&lt;18, "&lt;18", Table1[[#This Row],[Age]]&lt;= 29, "18-29", Table1[[#This Row],[Age]]&lt;= 44, "30-44",  Table1[[#This Row],[Age]]&lt;=59, "45-59", TRUE, "60+")</f>
        <v>18-29</v>
      </c>
      <c r="G263" t="s">
        <v>121</v>
      </c>
      <c r="H263" t="s">
        <v>29</v>
      </c>
      <c r="I263" t="s">
        <v>21</v>
      </c>
      <c r="J263">
        <v>3</v>
      </c>
      <c r="K263" t="s">
        <v>50</v>
      </c>
      <c r="L263" t="str" cm="1">
        <f t="array" ref="L263">_xlfn.IFS(Table1[[#This Row],[Customer Tenure in months]]&lt;=6, "0-6 months", Table1[[#This Row],[Customer Tenure in months]] &lt;=12, "7-12 months", Table1[[#This Row],[Customer Tenure in months]] &lt;=24, "1-2 years", TRUE, "2+ years")</f>
        <v>2+ years</v>
      </c>
      <c r="M263">
        <v>31</v>
      </c>
      <c r="N263" t="s">
        <v>46</v>
      </c>
      <c r="O263" s="1">
        <v>4500</v>
      </c>
      <c r="P263">
        <v>4</v>
      </c>
      <c r="Q263" s="1">
        <v>18000</v>
      </c>
      <c r="R263">
        <v>192.43</v>
      </c>
      <c r="S263" t="s">
        <v>1091</v>
      </c>
      <c r="T263" t="s">
        <v>39</v>
      </c>
    </row>
    <row r="264" spans="1:20" x14ac:dyDescent="0.35">
      <c r="A264" s="22" t="s">
        <v>362</v>
      </c>
      <c r="B264" cm="1">
        <f t="array" ref="B264">IF(MATCH(Table1[[#This Row],[Customer ID]], Table1[Customer ID], 0) = ROW() - ROW(Table1[#Headers]), 1, 0)</f>
        <v>1</v>
      </c>
      <c r="C264" t="s">
        <v>363</v>
      </c>
      <c r="D264" s="2">
        <v>45713</v>
      </c>
      <c r="E264">
        <v>47</v>
      </c>
      <c r="F264" t="str" cm="1">
        <f t="array" ref="F264">_xlfn.IFS( Table1[[#This Row],[Age]]&lt;18, "&lt;18", Table1[[#This Row],[Age]]&lt;= 29, "18-29", Table1[[#This Row],[Age]]&lt;= 44, "30-44",  Table1[[#This Row],[Age]]&lt;=59, "45-59", TRUE, "60+")</f>
        <v>45-59</v>
      </c>
      <c r="G264" t="s">
        <v>79</v>
      </c>
      <c r="H264" t="s">
        <v>29</v>
      </c>
      <c r="I264" t="s">
        <v>30</v>
      </c>
      <c r="J264">
        <v>5</v>
      </c>
      <c r="K264" t="s">
        <v>55</v>
      </c>
      <c r="L264" t="str" cm="1">
        <f t="array" ref="L264">_xlfn.IFS(Table1[[#This Row],[Customer Tenure in months]]&lt;=6, "0-6 months", Table1[[#This Row],[Customer Tenure in months]] &lt;=12, "7-12 months", Table1[[#This Row],[Customer Tenure in months]] &lt;=24, "1-2 years", TRUE, "2+ years")</f>
        <v>2+ years</v>
      </c>
      <c r="M264">
        <v>59</v>
      </c>
      <c r="N264" t="s">
        <v>193</v>
      </c>
      <c r="O264" s="1">
        <v>6500</v>
      </c>
      <c r="P264">
        <v>10</v>
      </c>
      <c r="Q264" s="1">
        <v>65000</v>
      </c>
      <c r="R264">
        <v>129.91999999999999</v>
      </c>
      <c r="S264" t="s">
        <v>1091</v>
      </c>
      <c r="T264" t="s">
        <v>39</v>
      </c>
    </row>
    <row r="265" spans="1:20" x14ac:dyDescent="0.35">
      <c r="A265" s="22" t="s">
        <v>362</v>
      </c>
      <c r="B265" cm="1">
        <f t="array" ref="B265">IF(MATCH(Table1[[#This Row],[Customer ID]], Table1[Customer ID], 0) = ROW() - ROW(Table1[#Headers]), 1, 0)</f>
        <v>0</v>
      </c>
      <c r="C265" t="s">
        <v>363</v>
      </c>
      <c r="D265" s="2">
        <v>45713</v>
      </c>
      <c r="E265">
        <v>47</v>
      </c>
      <c r="F265" t="str" cm="1">
        <f t="array" ref="F265">_xlfn.IFS( Table1[[#This Row],[Age]]&lt;18, "&lt;18", Table1[[#This Row],[Age]]&lt;= 29, "18-29", Table1[[#This Row],[Age]]&lt;= 44, "30-44",  Table1[[#This Row],[Age]]&lt;=59, "45-59", TRUE, "60+")</f>
        <v>45-59</v>
      </c>
      <c r="G265" t="s">
        <v>79</v>
      </c>
      <c r="H265" t="s">
        <v>20</v>
      </c>
      <c r="I265" t="s">
        <v>30</v>
      </c>
      <c r="J265">
        <v>5</v>
      </c>
      <c r="K265" t="s">
        <v>55</v>
      </c>
      <c r="L265" t="str" cm="1">
        <f t="array" ref="L265">_xlfn.IFS(Table1[[#This Row],[Customer Tenure in months]]&lt;=6, "0-6 months", Table1[[#This Row],[Customer Tenure in months]] &lt;=12, "7-12 months", Table1[[#This Row],[Customer Tenure in months]] &lt;=24, "1-2 years", TRUE, "2+ years")</f>
        <v>2+ years</v>
      </c>
      <c r="M265">
        <v>59</v>
      </c>
      <c r="N265" t="s">
        <v>51</v>
      </c>
      <c r="O265" s="1">
        <v>9000</v>
      </c>
      <c r="P265">
        <v>16</v>
      </c>
      <c r="Q265" s="1">
        <v>144000</v>
      </c>
      <c r="R265">
        <v>72.25</v>
      </c>
      <c r="S265" t="s">
        <v>1091</v>
      </c>
      <c r="T265" t="s">
        <v>39</v>
      </c>
    </row>
    <row r="266" spans="1:20" x14ac:dyDescent="0.35">
      <c r="A266" s="22" t="s">
        <v>364</v>
      </c>
      <c r="B266" cm="1">
        <f t="array" ref="B266">IF(MATCH(Table1[[#This Row],[Customer ID]], Table1[Customer ID], 0) = ROW() - ROW(Table1[#Headers]), 1, 0)</f>
        <v>1</v>
      </c>
      <c r="C266" t="s">
        <v>365</v>
      </c>
      <c r="D266" s="2">
        <v>45713</v>
      </c>
      <c r="E266">
        <v>28</v>
      </c>
      <c r="F266" t="str" cm="1">
        <f t="array" ref="F266">_xlfn.IFS( Table1[[#This Row],[Age]]&lt;18, "&lt;18", Table1[[#This Row],[Age]]&lt;= 29, "18-29", Table1[[#This Row],[Age]]&lt;= 44, "30-44",  Table1[[#This Row],[Age]]&lt;=59, "45-59", TRUE, "60+")</f>
        <v>18-29</v>
      </c>
      <c r="G266" t="s">
        <v>213</v>
      </c>
      <c r="H266" t="s">
        <v>20</v>
      </c>
      <c r="I266" t="s">
        <v>30</v>
      </c>
      <c r="J266">
        <v>3</v>
      </c>
      <c r="K266" t="s">
        <v>50</v>
      </c>
      <c r="L266" t="str" cm="1">
        <f t="array" ref="L266">_xlfn.IFS(Table1[[#This Row],[Customer Tenure in months]]&lt;=6, "0-6 months", Table1[[#This Row],[Customer Tenure in months]] &lt;=12, "7-12 months", Table1[[#This Row],[Customer Tenure in months]] &lt;=24, "1-2 years", TRUE, "2+ years")</f>
        <v>2+ years</v>
      </c>
      <c r="M266">
        <v>59</v>
      </c>
      <c r="N266" t="s">
        <v>46</v>
      </c>
      <c r="O266" s="1">
        <v>4500</v>
      </c>
      <c r="P266">
        <v>18</v>
      </c>
      <c r="Q266" s="1">
        <v>81000</v>
      </c>
      <c r="R266">
        <v>3.74</v>
      </c>
      <c r="S266" t="s">
        <v>1091</v>
      </c>
      <c r="T266" t="s">
        <v>39</v>
      </c>
    </row>
    <row r="267" spans="1:20" x14ac:dyDescent="0.35">
      <c r="A267" s="22" t="s">
        <v>366</v>
      </c>
      <c r="B267" cm="1">
        <f t="array" ref="B267">IF(MATCH(Table1[[#This Row],[Customer ID]], Table1[Customer ID], 0) = ROW() - ROW(Table1[#Headers]), 1, 0)</f>
        <v>1</v>
      </c>
      <c r="C267" t="s">
        <v>367</v>
      </c>
      <c r="D267" s="2">
        <v>45713</v>
      </c>
      <c r="E267">
        <v>53</v>
      </c>
      <c r="F267" t="str" cm="1">
        <f t="array" ref="F267">_xlfn.IFS( Table1[[#This Row],[Age]]&lt;18, "&lt;18", Table1[[#This Row],[Age]]&lt;= 29, "18-29", Table1[[#This Row],[Age]]&lt;= 44, "30-44",  Table1[[#This Row],[Age]]&lt;=59, "45-59", TRUE, "60+")</f>
        <v>45-59</v>
      </c>
      <c r="G267" t="s">
        <v>54</v>
      </c>
      <c r="H267" t="s">
        <v>29</v>
      </c>
      <c r="I267" t="s">
        <v>21</v>
      </c>
      <c r="J267">
        <v>4</v>
      </c>
      <c r="K267" t="s">
        <v>114</v>
      </c>
      <c r="L267" t="str" cm="1">
        <f t="array" ref="L267">_xlfn.IFS(Table1[[#This Row],[Customer Tenure in months]]&lt;=6, "0-6 months", Table1[[#This Row],[Customer Tenure in months]] &lt;=12, "7-12 months", Table1[[#This Row],[Customer Tenure in months]] &lt;=24, "1-2 years", TRUE, "2+ years")</f>
        <v>1-2 years</v>
      </c>
      <c r="M267">
        <v>22</v>
      </c>
      <c r="N267" t="s">
        <v>193</v>
      </c>
      <c r="O267" s="1">
        <v>6500</v>
      </c>
      <c r="P267">
        <v>11</v>
      </c>
      <c r="Q267" s="1">
        <v>71500</v>
      </c>
      <c r="R267">
        <v>131.09</v>
      </c>
      <c r="S267" t="s">
        <v>1091</v>
      </c>
      <c r="T267" t="s">
        <v>39</v>
      </c>
    </row>
    <row r="268" spans="1:20" x14ac:dyDescent="0.35">
      <c r="A268" s="22" t="s">
        <v>368</v>
      </c>
      <c r="B268" cm="1">
        <f t="array" ref="B268">IF(MATCH(Table1[[#This Row],[Customer ID]], Table1[Customer ID], 0) = ROW() - ROW(Table1[#Headers]), 1, 0)</f>
        <v>1</v>
      </c>
      <c r="C268" t="s">
        <v>369</v>
      </c>
      <c r="D268" s="2">
        <v>45741</v>
      </c>
      <c r="E268">
        <v>78</v>
      </c>
      <c r="F268" t="str" cm="1">
        <f t="array" ref="F268">_xlfn.IFS( Table1[[#This Row],[Age]]&lt;18, "&lt;18", Table1[[#This Row],[Age]]&lt;= 29, "18-29", Table1[[#This Row],[Age]]&lt;= 44, "30-44",  Table1[[#This Row],[Age]]&lt;=59, "45-59", TRUE, "60+")</f>
        <v>60+</v>
      </c>
      <c r="G268" t="s">
        <v>90</v>
      </c>
      <c r="H268" t="s">
        <v>20</v>
      </c>
      <c r="I268" t="s">
        <v>30</v>
      </c>
      <c r="J268">
        <v>2</v>
      </c>
      <c r="K268" t="s">
        <v>22</v>
      </c>
      <c r="L268" t="str" cm="1">
        <f t="array" ref="L268">_xlfn.IFS(Table1[[#This Row],[Customer Tenure in months]]&lt;=6, "0-6 months", Table1[[#This Row],[Customer Tenure in months]] &lt;=12, "7-12 months", Table1[[#This Row],[Customer Tenure in months]] &lt;=24, "1-2 years", TRUE, "2+ years")</f>
        <v>7-12 months</v>
      </c>
      <c r="M268">
        <v>11</v>
      </c>
      <c r="N268" t="s">
        <v>58</v>
      </c>
      <c r="O268" s="1">
        <v>16000</v>
      </c>
      <c r="P268">
        <v>3</v>
      </c>
      <c r="Q268" s="1">
        <v>48000</v>
      </c>
      <c r="R268">
        <v>105.03</v>
      </c>
      <c r="S268" t="s">
        <v>25</v>
      </c>
      <c r="T268" t="s">
        <v>24</v>
      </c>
    </row>
    <row r="269" spans="1:20" x14ac:dyDescent="0.35">
      <c r="A269" s="22" t="s">
        <v>368</v>
      </c>
      <c r="B269" cm="1">
        <f t="array" ref="B269">IF(MATCH(Table1[[#This Row],[Customer ID]], Table1[Customer ID], 0) = ROW() - ROW(Table1[#Headers]), 1, 0)</f>
        <v>0</v>
      </c>
      <c r="C269" t="s">
        <v>369</v>
      </c>
      <c r="D269" s="2">
        <v>45741</v>
      </c>
      <c r="E269">
        <v>78</v>
      </c>
      <c r="F269" t="str" cm="1">
        <f t="array" ref="F269">_xlfn.IFS( Table1[[#This Row],[Age]]&lt;18, "&lt;18", Table1[[#This Row],[Age]]&lt;= 29, "18-29", Table1[[#This Row],[Age]]&lt;= 44, "30-44",  Table1[[#This Row],[Age]]&lt;=59, "45-59", TRUE, "60+")</f>
        <v>60+</v>
      </c>
      <c r="G269" t="s">
        <v>90</v>
      </c>
      <c r="H269" t="s">
        <v>36</v>
      </c>
      <c r="I269" t="s">
        <v>30</v>
      </c>
      <c r="J269">
        <v>2</v>
      </c>
      <c r="K269" t="s">
        <v>22</v>
      </c>
      <c r="L269" t="str" cm="1">
        <f t="array" ref="L269">_xlfn.IFS(Table1[[#This Row],[Customer Tenure in months]]&lt;=6, "0-6 months", Table1[[#This Row],[Customer Tenure in months]] &lt;=12, "7-12 months", Table1[[#This Row],[Customer Tenure in months]] &lt;=24, "1-2 years", TRUE, "2+ years")</f>
        <v>7-12 months</v>
      </c>
      <c r="M269">
        <v>11</v>
      </c>
      <c r="N269" t="s">
        <v>42</v>
      </c>
      <c r="O269" s="1">
        <v>9000</v>
      </c>
      <c r="P269">
        <v>14</v>
      </c>
      <c r="Q269" s="1">
        <v>126000</v>
      </c>
      <c r="R269">
        <v>152.99</v>
      </c>
      <c r="S269" t="s">
        <v>25</v>
      </c>
      <c r="T269" t="s">
        <v>24</v>
      </c>
    </row>
    <row r="270" spans="1:20" x14ac:dyDescent="0.35">
      <c r="A270" s="22" t="s">
        <v>370</v>
      </c>
      <c r="B270" cm="1">
        <f t="array" ref="B270">IF(MATCH(Table1[[#This Row],[Customer ID]], Table1[Customer ID], 0) = ROW() - ROW(Table1[#Headers]), 1, 0)</f>
        <v>1</v>
      </c>
      <c r="C270" t="s">
        <v>371</v>
      </c>
      <c r="D270" s="2">
        <v>45713</v>
      </c>
      <c r="E270">
        <v>45</v>
      </c>
      <c r="F270" t="str" cm="1">
        <f t="array" ref="F270">_xlfn.IFS( Table1[[#This Row],[Age]]&lt;18, "&lt;18", Table1[[#This Row],[Age]]&lt;= 29, "18-29", Table1[[#This Row],[Age]]&lt;= 44, "30-44",  Table1[[#This Row],[Age]]&lt;=59, "45-59", TRUE, "60+")</f>
        <v>45-59</v>
      </c>
      <c r="G270" t="s">
        <v>146</v>
      </c>
      <c r="H270" t="s">
        <v>29</v>
      </c>
      <c r="I270" t="s">
        <v>21</v>
      </c>
      <c r="J270">
        <v>5</v>
      </c>
      <c r="K270" t="s">
        <v>55</v>
      </c>
      <c r="L270" t="str" cm="1">
        <f t="array" ref="L270">_xlfn.IFS(Table1[[#This Row],[Customer Tenure in months]]&lt;=6, "0-6 months", Table1[[#This Row],[Customer Tenure in months]] &lt;=12, "7-12 months", Table1[[#This Row],[Customer Tenure in months]] &lt;=24, "1-2 years", TRUE, "2+ years")</f>
        <v>0-6 months</v>
      </c>
      <c r="M270">
        <v>1</v>
      </c>
      <c r="N270" t="s">
        <v>31</v>
      </c>
      <c r="O270" s="1">
        <v>5500</v>
      </c>
      <c r="P270">
        <v>18</v>
      </c>
      <c r="Q270" s="1">
        <v>99000</v>
      </c>
      <c r="R270">
        <v>3.64</v>
      </c>
      <c r="S270" t="s">
        <v>1091</v>
      </c>
      <c r="T270" t="s">
        <v>39</v>
      </c>
    </row>
    <row r="271" spans="1:20" x14ac:dyDescent="0.35">
      <c r="A271" s="22" t="s">
        <v>372</v>
      </c>
      <c r="B271" cm="1">
        <f t="array" ref="B271">IF(MATCH(Table1[[#This Row],[Customer ID]], Table1[Customer ID], 0) = ROW() - ROW(Table1[#Headers]), 1, 0)</f>
        <v>1</v>
      </c>
      <c r="C271" t="s">
        <v>373</v>
      </c>
      <c r="D271" s="2">
        <v>45741</v>
      </c>
      <c r="E271">
        <v>17</v>
      </c>
      <c r="F271" t="str" cm="1">
        <f t="array" ref="F271">_xlfn.IFS( Table1[[#This Row],[Age]]&lt;18, "&lt;18", Table1[[#This Row],[Age]]&lt;= 29, "18-29", Table1[[#This Row],[Age]]&lt;= 44, "30-44",  Table1[[#This Row],[Age]]&lt;=59, "45-59", TRUE, "60+")</f>
        <v>&lt;18</v>
      </c>
      <c r="G271" t="s">
        <v>118</v>
      </c>
      <c r="H271" t="s">
        <v>29</v>
      </c>
      <c r="I271" t="s">
        <v>30</v>
      </c>
      <c r="J271">
        <v>1</v>
      </c>
      <c r="K271" t="s">
        <v>37</v>
      </c>
      <c r="L271" t="str" cm="1">
        <f t="array" ref="L271">_xlfn.IFS(Table1[[#This Row],[Customer Tenure in months]]&lt;=6, "0-6 months", Table1[[#This Row],[Customer Tenure in months]] &lt;=12, "7-12 months", Table1[[#This Row],[Customer Tenure in months]] &lt;=24, "1-2 years", TRUE, "2+ years")</f>
        <v>2+ years</v>
      </c>
      <c r="M271">
        <v>35</v>
      </c>
      <c r="N271" t="s">
        <v>83</v>
      </c>
      <c r="O271" s="1">
        <v>1000</v>
      </c>
      <c r="P271">
        <v>8</v>
      </c>
      <c r="Q271" s="1">
        <v>8000</v>
      </c>
      <c r="R271">
        <v>105.11</v>
      </c>
      <c r="S271" t="s">
        <v>1091</v>
      </c>
      <c r="T271" t="s">
        <v>39</v>
      </c>
    </row>
    <row r="272" spans="1:20" x14ac:dyDescent="0.35">
      <c r="A272" s="22" t="s">
        <v>374</v>
      </c>
      <c r="B272" cm="1">
        <f t="array" ref="B272">IF(MATCH(Table1[[#This Row],[Customer ID]], Table1[Customer ID], 0) = ROW() - ROW(Table1[#Headers]), 1, 0)</f>
        <v>1</v>
      </c>
      <c r="C272" t="s">
        <v>375</v>
      </c>
      <c r="D272" s="2">
        <v>45713</v>
      </c>
      <c r="E272">
        <v>48</v>
      </c>
      <c r="F272" t="str" cm="1">
        <f t="array" ref="F272">_xlfn.IFS( Table1[[#This Row],[Age]]&lt;18, "&lt;18", Table1[[#This Row],[Age]]&lt;= 29, "18-29", Table1[[#This Row],[Age]]&lt;= 44, "30-44",  Table1[[#This Row],[Age]]&lt;=59, "45-59", TRUE, "60+")</f>
        <v>45-59</v>
      </c>
      <c r="G272" t="s">
        <v>152</v>
      </c>
      <c r="H272" t="s">
        <v>29</v>
      </c>
      <c r="I272" t="s">
        <v>30</v>
      </c>
      <c r="J272">
        <v>1</v>
      </c>
      <c r="K272" t="s">
        <v>37</v>
      </c>
      <c r="L272" t="str" cm="1">
        <f t="array" ref="L272">_xlfn.IFS(Table1[[#This Row],[Customer Tenure in months]]&lt;=6, "0-6 months", Table1[[#This Row],[Customer Tenure in months]] &lt;=12, "7-12 months", Table1[[#This Row],[Customer Tenure in months]] &lt;=24, "1-2 years", TRUE, "2+ years")</f>
        <v>2+ years</v>
      </c>
      <c r="M272">
        <v>51</v>
      </c>
      <c r="N272" t="s">
        <v>72</v>
      </c>
      <c r="O272" s="1">
        <v>350</v>
      </c>
      <c r="P272">
        <v>8</v>
      </c>
      <c r="Q272" s="1">
        <v>2800</v>
      </c>
      <c r="R272">
        <v>198.05</v>
      </c>
      <c r="S272" t="s">
        <v>1091</v>
      </c>
      <c r="T272" t="s">
        <v>39</v>
      </c>
    </row>
    <row r="273" spans="1:20" x14ac:dyDescent="0.35">
      <c r="A273" s="22" t="s">
        <v>374</v>
      </c>
      <c r="B273" cm="1">
        <f t="array" ref="B273">IF(MATCH(Table1[[#This Row],[Customer ID]], Table1[Customer ID], 0) = ROW() - ROW(Table1[#Headers]), 1, 0)</f>
        <v>0</v>
      </c>
      <c r="C273" t="s">
        <v>375</v>
      </c>
      <c r="D273" s="2">
        <v>45713</v>
      </c>
      <c r="E273">
        <v>48</v>
      </c>
      <c r="F273" t="str" cm="1">
        <f t="array" ref="F273">_xlfn.IFS( Table1[[#This Row],[Age]]&lt;18, "&lt;18", Table1[[#This Row],[Age]]&lt;= 29, "18-29", Table1[[#This Row],[Age]]&lt;= 44, "30-44",  Table1[[#This Row],[Age]]&lt;=59, "45-59", TRUE, "60+")</f>
        <v>45-59</v>
      </c>
      <c r="G273" t="s">
        <v>152</v>
      </c>
      <c r="H273" t="s">
        <v>36</v>
      </c>
      <c r="I273" t="s">
        <v>30</v>
      </c>
      <c r="J273">
        <v>1</v>
      </c>
      <c r="K273" t="s">
        <v>37</v>
      </c>
      <c r="L273" t="str" cm="1">
        <f t="array" ref="L273">_xlfn.IFS(Table1[[#This Row],[Customer Tenure in months]]&lt;=6, "0-6 months", Table1[[#This Row],[Customer Tenure in months]] &lt;=12, "7-12 months", Table1[[#This Row],[Customer Tenure in months]] &lt;=24, "1-2 years", TRUE, "2+ years")</f>
        <v>2+ years</v>
      </c>
      <c r="M273">
        <v>51</v>
      </c>
      <c r="N273" t="s">
        <v>62</v>
      </c>
      <c r="O273" s="1">
        <v>24000</v>
      </c>
      <c r="P273">
        <v>3</v>
      </c>
      <c r="Q273" s="1">
        <v>72000</v>
      </c>
      <c r="R273">
        <v>136.97</v>
      </c>
      <c r="S273" t="s">
        <v>1091</v>
      </c>
      <c r="T273" t="s">
        <v>39</v>
      </c>
    </row>
    <row r="274" spans="1:20" x14ac:dyDescent="0.35">
      <c r="A274" s="22" t="s">
        <v>376</v>
      </c>
      <c r="B274" cm="1">
        <f t="array" ref="B274">IF(MATCH(Table1[[#This Row],[Customer ID]], Table1[Customer ID], 0) = ROW() - ROW(Table1[#Headers]), 1, 0)</f>
        <v>1</v>
      </c>
      <c r="C274" t="s">
        <v>377</v>
      </c>
      <c r="D274" s="2">
        <v>45713</v>
      </c>
      <c r="E274">
        <v>27</v>
      </c>
      <c r="F274" t="str" cm="1">
        <f t="array" ref="F274">_xlfn.IFS( Table1[[#This Row],[Age]]&lt;18, "&lt;18", Table1[[#This Row],[Age]]&lt;= 29, "18-29", Table1[[#This Row],[Age]]&lt;= 44, "30-44",  Table1[[#This Row],[Age]]&lt;=59, "45-59", TRUE, "60+")</f>
        <v>18-29</v>
      </c>
      <c r="G274" t="s">
        <v>82</v>
      </c>
      <c r="H274" t="s">
        <v>29</v>
      </c>
      <c r="I274" t="s">
        <v>30</v>
      </c>
      <c r="J274">
        <v>1</v>
      </c>
      <c r="K274" t="s">
        <v>37</v>
      </c>
      <c r="L274" t="str" cm="1">
        <f t="array" ref="L274">_xlfn.IFS(Table1[[#This Row],[Customer Tenure in months]]&lt;=6, "0-6 months", Table1[[#This Row],[Customer Tenure in months]] &lt;=12, "7-12 months", Table1[[#This Row],[Customer Tenure in months]] &lt;=24, "1-2 years", TRUE, "2+ years")</f>
        <v>2+ years</v>
      </c>
      <c r="M274">
        <v>25</v>
      </c>
      <c r="N274" t="s">
        <v>23</v>
      </c>
      <c r="O274" s="1">
        <v>35000</v>
      </c>
      <c r="P274">
        <v>11</v>
      </c>
      <c r="Q274" s="1">
        <v>385000</v>
      </c>
      <c r="R274">
        <v>129.16</v>
      </c>
      <c r="S274" t="s">
        <v>1091</v>
      </c>
      <c r="T274" t="s">
        <v>39</v>
      </c>
    </row>
    <row r="275" spans="1:20" x14ac:dyDescent="0.35">
      <c r="A275" s="22" t="s">
        <v>376</v>
      </c>
      <c r="B275" cm="1">
        <f t="array" ref="B275">IF(MATCH(Table1[[#This Row],[Customer ID]], Table1[Customer ID], 0) = ROW() - ROW(Table1[#Headers]), 1, 0)</f>
        <v>0</v>
      </c>
      <c r="C275" t="s">
        <v>377</v>
      </c>
      <c r="D275" s="2">
        <v>45713</v>
      </c>
      <c r="E275">
        <v>27</v>
      </c>
      <c r="F275" t="str" cm="1">
        <f t="array" ref="F275">_xlfn.IFS( Table1[[#This Row],[Age]]&lt;18, "&lt;18", Table1[[#This Row],[Age]]&lt;= 29, "18-29", Table1[[#This Row],[Age]]&lt;= 44, "30-44",  Table1[[#This Row],[Age]]&lt;=59, "45-59", TRUE, "60+")</f>
        <v>18-29</v>
      </c>
      <c r="G275" t="s">
        <v>82</v>
      </c>
      <c r="H275" t="s">
        <v>41</v>
      </c>
      <c r="I275" t="s">
        <v>30</v>
      </c>
      <c r="J275">
        <v>1</v>
      </c>
      <c r="K275" t="s">
        <v>37</v>
      </c>
      <c r="L275" t="str" cm="1">
        <f t="array" ref="L275">_xlfn.IFS(Table1[[#This Row],[Customer Tenure in months]]&lt;=6, "0-6 months", Table1[[#This Row],[Customer Tenure in months]] &lt;=12, "7-12 months", Table1[[#This Row],[Customer Tenure in months]] &lt;=24, "1-2 years", TRUE, "2+ years")</f>
        <v>2+ years</v>
      </c>
      <c r="M275">
        <v>25</v>
      </c>
      <c r="N275" t="s">
        <v>62</v>
      </c>
      <c r="O275" s="1">
        <v>24000</v>
      </c>
      <c r="P275">
        <v>4</v>
      </c>
      <c r="Q275" s="1">
        <v>96000</v>
      </c>
      <c r="R275">
        <v>195.48</v>
      </c>
      <c r="S275" t="s">
        <v>1091</v>
      </c>
      <c r="T275" t="s">
        <v>39</v>
      </c>
    </row>
    <row r="276" spans="1:20" x14ac:dyDescent="0.35">
      <c r="A276" s="22" t="s">
        <v>376</v>
      </c>
      <c r="B276" cm="1">
        <f t="array" ref="B276">IF(MATCH(Table1[[#This Row],[Customer ID]], Table1[Customer ID], 0) = ROW() - ROW(Table1[#Headers]), 1, 0)</f>
        <v>0</v>
      </c>
      <c r="C276" t="s">
        <v>377</v>
      </c>
      <c r="D276" s="2">
        <v>45713</v>
      </c>
      <c r="E276">
        <v>27</v>
      </c>
      <c r="F276" t="str" cm="1">
        <f t="array" ref="F276">_xlfn.IFS( Table1[[#This Row],[Age]]&lt;18, "&lt;18", Table1[[#This Row],[Age]]&lt;= 29, "18-29", Table1[[#This Row],[Age]]&lt;= 44, "30-44",  Table1[[#This Row],[Age]]&lt;=59, "45-59", TRUE, "60+")</f>
        <v>18-29</v>
      </c>
      <c r="G276" t="s">
        <v>82</v>
      </c>
      <c r="H276" t="s">
        <v>29</v>
      </c>
      <c r="I276" t="s">
        <v>30</v>
      </c>
      <c r="J276">
        <v>1</v>
      </c>
      <c r="K276" t="s">
        <v>37</v>
      </c>
      <c r="L276" t="str" cm="1">
        <f t="array" ref="L276">_xlfn.IFS(Table1[[#This Row],[Customer Tenure in months]]&lt;=6, "0-6 months", Table1[[#This Row],[Customer Tenure in months]] &lt;=12, "7-12 months", Table1[[#This Row],[Customer Tenure in months]] &lt;=24, "1-2 years", TRUE, "2+ years")</f>
        <v>2+ years</v>
      </c>
      <c r="M276">
        <v>25</v>
      </c>
      <c r="N276" t="s">
        <v>193</v>
      </c>
      <c r="O276" s="1">
        <v>6500</v>
      </c>
      <c r="P276">
        <v>8</v>
      </c>
      <c r="Q276" s="1">
        <v>52000</v>
      </c>
      <c r="R276">
        <v>183.87</v>
      </c>
      <c r="S276" t="s">
        <v>1091</v>
      </c>
      <c r="T276" t="s">
        <v>39</v>
      </c>
    </row>
    <row r="277" spans="1:20" x14ac:dyDescent="0.35">
      <c r="A277" s="22" t="s">
        <v>378</v>
      </c>
      <c r="B277" cm="1">
        <f t="array" ref="B277">IF(MATCH(Table1[[#This Row],[Customer ID]], Table1[Customer ID], 0) = ROW() - ROW(Table1[#Headers]), 1, 0)</f>
        <v>1</v>
      </c>
      <c r="C277" t="s">
        <v>379</v>
      </c>
      <c r="D277" s="2">
        <v>45682</v>
      </c>
      <c r="E277">
        <v>76</v>
      </c>
      <c r="F277" t="str" cm="1">
        <f t="array" ref="F277">_xlfn.IFS( Table1[[#This Row],[Age]]&lt;18, "&lt;18", Table1[[#This Row],[Age]]&lt;= 29, "18-29", Table1[[#This Row],[Age]]&lt;= 44, "30-44",  Table1[[#This Row],[Age]]&lt;=59, "45-59", TRUE, "60+")</f>
        <v>60+</v>
      </c>
      <c r="G277" t="s">
        <v>192</v>
      </c>
      <c r="H277" t="s">
        <v>41</v>
      </c>
      <c r="I277" t="s">
        <v>21</v>
      </c>
      <c r="J277">
        <v>3</v>
      </c>
      <c r="K277" t="s">
        <v>50</v>
      </c>
      <c r="L277" t="str" cm="1">
        <f t="array" ref="L277">_xlfn.IFS(Table1[[#This Row],[Customer Tenure in months]]&lt;=6, "0-6 months", Table1[[#This Row],[Customer Tenure in months]] &lt;=12, "7-12 months", Table1[[#This Row],[Customer Tenure in months]] &lt;=24, "1-2 years", TRUE, "2+ years")</f>
        <v>2+ years</v>
      </c>
      <c r="M277">
        <v>60</v>
      </c>
      <c r="N277" t="s">
        <v>42</v>
      </c>
      <c r="O277" s="1">
        <v>9000</v>
      </c>
      <c r="P277">
        <v>19</v>
      </c>
      <c r="Q277" s="1">
        <v>171000</v>
      </c>
      <c r="R277">
        <v>192.31</v>
      </c>
      <c r="S277" t="s">
        <v>1091</v>
      </c>
      <c r="T277" t="s">
        <v>39</v>
      </c>
    </row>
    <row r="278" spans="1:20" x14ac:dyDescent="0.35">
      <c r="A278" s="22" t="s">
        <v>378</v>
      </c>
      <c r="B278" cm="1">
        <f t="array" ref="B278">IF(MATCH(Table1[[#This Row],[Customer ID]], Table1[Customer ID], 0) = ROW() - ROW(Table1[#Headers]), 1, 0)</f>
        <v>0</v>
      </c>
      <c r="C278" t="s">
        <v>379</v>
      </c>
      <c r="D278" s="2">
        <v>45682</v>
      </c>
      <c r="E278">
        <v>76</v>
      </c>
      <c r="F278" t="str" cm="1">
        <f t="array" ref="F278">_xlfn.IFS( Table1[[#This Row],[Age]]&lt;18, "&lt;18", Table1[[#This Row],[Age]]&lt;= 29, "18-29", Table1[[#This Row],[Age]]&lt;= 44, "30-44",  Table1[[#This Row],[Age]]&lt;=59, "45-59", TRUE, "60+")</f>
        <v>60+</v>
      </c>
      <c r="G278" t="s">
        <v>192</v>
      </c>
      <c r="H278" t="s">
        <v>29</v>
      </c>
      <c r="I278" t="s">
        <v>21</v>
      </c>
      <c r="J278">
        <v>3</v>
      </c>
      <c r="K278" t="s">
        <v>50</v>
      </c>
      <c r="L278" t="str" cm="1">
        <f t="array" ref="L278">_xlfn.IFS(Table1[[#This Row],[Customer Tenure in months]]&lt;=6, "0-6 months", Table1[[#This Row],[Customer Tenure in months]] &lt;=12, "7-12 months", Table1[[#This Row],[Customer Tenure in months]] &lt;=24, "1-2 years", TRUE, "2+ years")</f>
        <v>2+ years</v>
      </c>
      <c r="M278">
        <v>60</v>
      </c>
      <c r="N278" t="s">
        <v>164</v>
      </c>
      <c r="O278" s="1">
        <v>600</v>
      </c>
      <c r="P278">
        <v>13</v>
      </c>
      <c r="Q278" s="1">
        <v>7800</v>
      </c>
      <c r="R278">
        <v>150.57</v>
      </c>
      <c r="S278" t="s">
        <v>1091</v>
      </c>
      <c r="T278" t="s">
        <v>39</v>
      </c>
    </row>
    <row r="279" spans="1:20" x14ac:dyDescent="0.35">
      <c r="A279" s="22" t="s">
        <v>378</v>
      </c>
      <c r="B279" cm="1">
        <f t="array" ref="B279">IF(MATCH(Table1[[#This Row],[Customer ID]], Table1[Customer ID], 0) = ROW() - ROW(Table1[#Headers]), 1, 0)</f>
        <v>0</v>
      </c>
      <c r="C279" t="s">
        <v>379</v>
      </c>
      <c r="D279" s="2">
        <v>45682</v>
      </c>
      <c r="E279">
        <v>76</v>
      </c>
      <c r="F279" t="str" cm="1">
        <f t="array" ref="F279">_xlfn.IFS( Table1[[#This Row],[Age]]&lt;18, "&lt;18", Table1[[#This Row],[Age]]&lt;= 29, "18-29", Table1[[#This Row],[Age]]&lt;= 44, "30-44",  Table1[[#This Row],[Age]]&lt;=59, "45-59", TRUE, "60+")</f>
        <v>60+</v>
      </c>
      <c r="G279" t="s">
        <v>192</v>
      </c>
      <c r="H279" t="s">
        <v>20</v>
      </c>
      <c r="I279" t="s">
        <v>21</v>
      </c>
      <c r="J279">
        <v>3</v>
      </c>
      <c r="K279" t="s">
        <v>50</v>
      </c>
      <c r="L279" t="str" cm="1">
        <f t="array" ref="L279">_xlfn.IFS(Table1[[#This Row],[Customer Tenure in months]]&lt;=6, "0-6 months", Table1[[#This Row],[Customer Tenure in months]] &lt;=12, "7-12 months", Table1[[#This Row],[Customer Tenure in months]] &lt;=24, "1-2 years", TRUE, "2+ years")</f>
        <v>2+ years</v>
      </c>
      <c r="M279">
        <v>60</v>
      </c>
      <c r="N279" t="s">
        <v>58</v>
      </c>
      <c r="O279" s="1">
        <v>16000</v>
      </c>
      <c r="P279">
        <v>19</v>
      </c>
      <c r="Q279" s="1">
        <v>304000</v>
      </c>
      <c r="R279">
        <v>60.21</v>
      </c>
      <c r="S279" t="s">
        <v>1091</v>
      </c>
      <c r="T279" t="s">
        <v>39</v>
      </c>
    </row>
    <row r="280" spans="1:20" x14ac:dyDescent="0.35">
      <c r="A280" s="22" t="s">
        <v>380</v>
      </c>
      <c r="B280" cm="1">
        <f t="array" ref="B280">IF(MATCH(Table1[[#This Row],[Customer ID]], Table1[Customer ID], 0) = ROW() - ROW(Table1[#Headers]), 1, 0)</f>
        <v>1</v>
      </c>
      <c r="C280" t="s">
        <v>381</v>
      </c>
      <c r="D280" s="2">
        <v>45713</v>
      </c>
      <c r="E280">
        <v>65</v>
      </c>
      <c r="F280" t="str" cm="1">
        <f t="array" ref="F280">_xlfn.IFS( Table1[[#This Row],[Age]]&lt;18, "&lt;18", Table1[[#This Row],[Age]]&lt;= 29, "18-29", Table1[[#This Row],[Age]]&lt;= 44, "30-44",  Table1[[#This Row],[Age]]&lt;=59, "45-59", TRUE, "60+")</f>
        <v>60+</v>
      </c>
      <c r="G280" t="s">
        <v>86</v>
      </c>
      <c r="H280" t="s">
        <v>41</v>
      </c>
      <c r="I280" t="s">
        <v>30</v>
      </c>
      <c r="J280">
        <v>1</v>
      </c>
      <c r="K280" t="s">
        <v>37</v>
      </c>
      <c r="L280" t="str" cm="1">
        <f t="array" ref="L280">_xlfn.IFS(Table1[[#This Row],[Customer Tenure in months]]&lt;=6, "0-6 months", Table1[[#This Row],[Customer Tenure in months]] &lt;=12, "7-12 months", Table1[[#This Row],[Customer Tenure in months]] &lt;=24, "1-2 years", TRUE, "2+ years")</f>
        <v>2+ years</v>
      </c>
      <c r="M280">
        <v>25</v>
      </c>
      <c r="N280" t="s">
        <v>71</v>
      </c>
      <c r="O280" s="1">
        <v>14500</v>
      </c>
      <c r="P280">
        <v>3</v>
      </c>
      <c r="Q280" s="1">
        <v>43500</v>
      </c>
      <c r="R280">
        <v>46.81</v>
      </c>
      <c r="S280" t="s">
        <v>1091</v>
      </c>
      <c r="T280" t="s">
        <v>39</v>
      </c>
    </row>
    <row r="281" spans="1:20" x14ac:dyDescent="0.35">
      <c r="A281" s="22" t="s">
        <v>380</v>
      </c>
      <c r="B281" cm="1">
        <f t="array" ref="B281">IF(MATCH(Table1[[#This Row],[Customer ID]], Table1[Customer ID], 0) = ROW() - ROW(Table1[#Headers]), 1, 0)</f>
        <v>0</v>
      </c>
      <c r="C281" t="s">
        <v>381</v>
      </c>
      <c r="D281" s="2">
        <v>45713</v>
      </c>
      <c r="E281">
        <v>65</v>
      </c>
      <c r="F281" t="str" cm="1">
        <f t="array" ref="F281">_xlfn.IFS( Table1[[#This Row],[Age]]&lt;18, "&lt;18", Table1[[#This Row],[Age]]&lt;= 29, "18-29", Table1[[#This Row],[Age]]&lt;= 44, "30-44",  Table1[[#This Row],[Age]]&lt;=59, "45-59", TRUE, "60+")</f>
        <v>60+</v>
      </c>
      <c r="G281" t="s">
        <v>86</v>
      </c>
      <c r="H281" t="s">
        <v>29</v>
      </c>
      <c r="I281" t="s">
        <v>30</v>
      </c>
      <c r="J281">
        <v>1</v>
      </c>
      <c r="K281" t="s">
        <v>37</v>
      </c>
      <c r="L281" t="str" cm="1">
        <f t="array" ref="L281">_xlfn.IFS(Table1[[#This Row],[Customer Tenure in months]]&lt;=6, "0-6 months", Table1[[#This Row],[Customer Tenure in months]] &lt;=12, "7-12 months", Table1[[#This Row],[Customer Tenure in months]] &lt;=24, "1-2 years", TRUE, "2+ years")</f>
        <v>2+ years</v>
      </c>
      <c r="M281">
        <v>25</v>
      </c>
      <c r="N281" t="s">
        <v>56</v>
      </c>
      <c r="O281" s="1">
        <v>3500</v>
      </c>
      <c r="P281">
        <v>20</v>
      </c>
      <c r="Q281" s="1">
        <v>70000</v>
      </c>
      <c r="R281">
        <v>121.23</v>
      </c>
      <c r="S281" t="s">
        <v>1091</v>
      </c>
      <c r="T281" t="s">
        <v>39</v>
      </c>
    </row>
    <row r="282" spans="1:20" x14ac:dyDescent="0.35">
      <c r="A282" s="22" t="s">
        <v>382</v>
      </c>
      <c r="B282" cm="1">
        <f t="array" ref="B282">IF(MATCH(Table1[[#This Row],[Customer ID]], Table1[Customer ID], 0) = ROW() - ROW(Table1[#Headers]), 1, 0)</f>
        <v>1</v>
      </c>
      <c r="C282" t="s">
        <v>383</v>
      </c>
      <c r="D282" s="2">
        <v>45713</v>
      </c>
      <c r="E282">
        <v>57</v>
      </c>
      <c r="F282" t="str" cm="1">
        <f t="array" ref="F282">_xlfn.IFS( Table1[[#This Row],[Age]]&lt;18, "&lt;18", Table1[[#This Row],[Age]]&lt;= 29, "18-29", Table1[[#This Row],[Age]]&lt;= 44, "30-44",  Table1[[#This Row],[Age]]&lt;=59, "45-59", TRUE, "60+")</f>
        <v>45-59</v>
      </c>
      <c r="G282" t="s">
        <v>118</v>
      </c>
      <c r="H282" t="s">
        <v>29</v>
      </c>
      <c r="I282" t="s">
        <v>30</v>
      </c>
      <c r="J282">
        <v>4</v>
      </c>
      <c r="K282" t="s">
        <v>114</v>
      </c>
      <c r="L282" t="str" cm="1">
        <f t="array" ref="L282">_xlfn.IFS(Table1[[#This Row],[Customer Tenure in months]]&lt;=6, "0-6 months", Table1[[#This Row],[Customer Tenure in months]] &lt;=12, "7-12 months", Table1[[#This Row],[Customer Tenure in months]] &lt;=24, "1-2 years", TRUE, "2+ years")</f>
        <v>2+ years</v>
      </c>
      <c r="M282">
        <v>51</v>
      </c>
      <c r="N282" t="s">
        <v>87</v>
      </c>
      <c r="O282" s="1">
        <v>7500</v>
      </c>
      <c r="P282">
        <v>20</v>
      </c>
      <c r="Q282" s="1">
        <v>150000</v>
      </c>
      <c r="R282">
        <v>17.600000000000001</v>
      </c>
      <c r="S282" t="s">
        <v>25</v>
      </c>
      <c r="T282" t="s">
        <v>24</v>
      </c>
    </row>
    <row r="283" spans="1:20" x14ac:dyDescent="0.35">
      <c r="A283" s="22" t="s">
        <v>382</v>
      </c>
      <c r="B283" cm="1">
        <f t="array" ref="B283">IF(MATCH(Table1[[#This Row],[Customer ID]], Table1[Customer ID], 0) = ROW() - ROW(Table1[#Headers]), 1, 0)</f>
        <v>0</v>
      </c>
      <c r="C283" t="s">
        <v>383</v>
      </c>
      <c r="D283" s="2">
        <v>45713</v>
      </c>
      <c r="E283">
        <v>57</v>
      </c>
      <c r="F283" t="str" cm="1">
        <f t="array" ref="F283">_xlfn.IFS( Table1[[#This Row],[Age]]&lt;18, "&lt;18", Table1[[#This Row],[Age]]&lt;= 29, "18-29", Table1[[#This Row],[Age]]&lt;= 44, "30-44",  Table1[[#This Row],[Age]]&lt;=59, "45-59", TRUE, "60+")</f>
        <v>45-59</v>
      </c>
      <c r="G283" t="s">
        <v>118</v>
      </c>
      <c r="H283" t="s">
        <v>41</v>
      </c>
      <c r="I283" t="s">
        <v>30</v>
      </c>
      <c r="J283">
        <v>4</v>
      </c>
      <c r="K283" t="s">
        <v>114</v>
      </c>
      <c r="L283" t="str" cm="1">
        <f t="array" ref="L283">_xlfn.IFS(Table1[[#This Row],[Customer Tenure in months]]&lt;=6, "0-6 months", Table1[[#This Row],[Customer Tenure in months]] &lt;=12, "7-12 months", Table1[[#This Row],[Customer Tenure in months]] &lt;=24, "1-2 years", TRUE, "2+ years")</f>
        <v>2+ years</v>
      </c>
      <c r="M283">
        <v>51</v>
      </c>
      <c r="N283" t="s">
        <v>65</v>
      </c>
      <c r="O283" s="1">
        <v>30000</v>
      </c>
      <c r="P283">
        <v>3</v>
      </c>
      <c r="Q283" s="1">
        <v>90000</v>
      </c>
      <c r="R283">
        <v>159.71</v>
      </c>
      <c r="S283" t="s">
        <v>25</v>
      </c>
      <c r="T283" t="s">
        <v>24</v>
      </c>
    </row>
    <row r="284" spans="1:20" x14ac:dyDescent="0.35">
      <c r="A284" s="22" t="s">
        <v>384</v>
      </c>
      <c r="B284" cm="1">
        <f t="array" ref="B284">IF(MATCH(Table1[[#This Row],[Customer ID]], Table1[Customer ID], 0) = ROW() - ROW(Table1[#Headers]), 1, 0)</f>
        <v>1</v>
      </c>
      <c r="C284" t="s">
        <v>385</v>
      </c>
      <c r="D284" s="2">
        <v>45713</v>
      </c>
      <c r="E284">
        <v>50</v>
      </c>
      <c r="F284" t="str" cm="1">
        <f t="array" ref="F284">_xlfn.IFS( Table1[[#This Row],[Age]]&lt;18, "&lt;18", Table1[[#This Row],[Age]]&lt;= 29, "18-29", Table1[[#This Row],[Age]]&lt;= 44, "30-44",  Table1[[#This Row],[Age]]&lt;=59, "45-59", TRUE, "60+")</f>
        <v>45-59</v>
      </c>
      <c r="G284" t="s">
        <v>54</v>
      </c>
      <c r="H284" t="s">
        <v>41</v>
      </c>
      <c r="I284" t="s">
        <v>30</v>
      </c>
      <c r="J284">
        <v>4</v>
      </c>
      <c r="K284" t="s">
        <v>114</v>
      </c>
      <c r="L284" t="str" cm="1">
        <f t="array" ref="L284">_xlfn.IFS(Table1[[#This Row],[Customer Tenure in months]]&lt;=6, "0-6 months", Table1[[#This Row],[Customer Tenure in months]] &lt;=12, "7-12 months", Table1[[#This Row],[Customer Tenure in months]] &lt;=24, "1-2 years", TRUE, "2+ years")</f>
        <v>2+ years</v>
      </c>
      <c r="M284">
        <v>46</v>
      </c>
      <c r="N284" t="s">
        <v>42</v>
      </c>
      <c r="O284" s="1">
        <v>9000</v>
      </c>
      <c r="P284">
        <v>15</v>
      </c>
      <c r="Q284" s="1">
        <v>135000</v>
      </c>
      <c r="R284">
        <v>188.62</v>
      </c>
      <c r="S284" t="s">
        <v>1091</v>
      </c>
      <c r="T284" t="s">
        <v>39</v>
      </c>
    </row>
    <row r="285" spans="1:20" x14ac:dyDescent="0.35">
      <c r="A285" s="22" t="s">
        <v>386</v>
      </c>
      <c r="B285" cm="1">
        <f t="array" ref="B285">IF(MATCH(Table1[[#This Row],[Customer ID]], Table1[Customer ID], 0) = ROW() - ROW(Table1[#Headers]), 1, 0)</f>
        <v>1</v>
      </c>
      <c r="C285" t="s">
        <v>387</v>
      </c>
      <c r="D285" s="2">
        <v>45713</v>
      </c>
      <c r="E285">
        <v>50</v>
      </c>
      <c r="F285" t="str" cm="1">
        <f t="array" ref="F285">_xlfn.IFS( Table1[[#This Row],[Age]]&lt;18, "&lt;18", Table1[[#This Row],[Age]]&lt;= 29, "18-29", Table1[[#This Row],[Age]]&lt;= 44, "30-44",  Table1[[#This Row],[Age]]&lt;=59, "45-59", TRUE, "60+")</f>
        <v>45-59</v>
      </c>
      <c r="G285" t="s">
        <v>95</v>
      </c>
      <c r="H285" t="s">
        <v>29</v>
      </c>
      <c r="I285" t="s">
        <v>21</v>
      </c>
      <c r="J285">
        <v>4</v>
      </c>
      <c r="K285" t="s">
        <v>114</v>
      </c>
      <c r="L285" t="str" cm="1">
        <f t="array" ref="L285">_xlfn.IFS(Table1[[#This Row],[Customer Tenure in months]]&lt;=6, "0-6 months", Table1[[#This Row],[Customer Tenure in months]] &lt;=12, "7-12 months", Table1[[#This Row],[Customer Tenure in months]] &lt;=24, "1-2 years", TRUE, "2+ years")</f>
        <v>0-6 months</v>
      </c>
      <c r="M285">
        <v>6</v>
      </c>
      <c r="N285" t="s">
        <v>83</v>
      </c>
      <c r="O285" s="1">
        <v>1000</v>
      </c>
      <c r="P285">
        <v>3</v>
      </c>
      <c r="Q285" s="1">
        <v>3000</v>
      </c>
      <c r="R285">
        <v>71.11</v>
      </c>
      <c r="S285" t="s">
        <v>1091</v>
      </c>
      <c r="T285" t="s">
        <v>39</v>
      </c>
    </row>
    <row r="286" spans="1:20" x14ac:dyDescent="0.35">
      <c r="A286" s="22" t="s">
        <v>386</v>
      </c>
      <c r="B286" cm="1">
        <f t="array" ref="B286">IF(MATCH(Table1[[#This Row],[Customer ID]], Table1[Customer ID], 0) = ROW() - ROW(Table1[#Headers]), 1, 0)</f>
        <v>0</v>
      </c>
      <c r="C286" t="s">
        <v>387</v>
      </c>
      <c r="D286" s="2">
        <v>45713</v>
      </c>
      <c r="E286">
        <v>50</v>
      </c>
      <c r="F286" t="str" cm="1">
        <f t="array" ref="F286">_xlfn.IFS( Table1[[#This Row],[Age]]&lt;18, "&lt;18", Table1[[#This Row],[Age]]&lt;= 29, "18-29", Table1[[#This Row],[Age]]&lt;= 44, "30-44",  Table1[[#This Row],[Age]]&lt;=59, "45-59", TRUE, "60+")</f>
        <v>45-59</v>
      </c>
      <c r="G286" t="s">
        <v>95</v>
      </c>
      <c r="H286" t="s">
        <v>41</v>
      </c>
      <c r="I286" t="s">
        <v>21</v>
      </c>
      <c r="J286">
        <v>4</v>
      </c>
      <c r="K286" t="s">
        <v>114</v>
      </c>
      <c r="L286" t="str" cm="1">
        <f t="array" ref="L286">_xlfn.IFS(Table1[[#This Row],[Customer Tenure in months]]&lt;=6, "0-6 months", Table1[[#This Row],[Customer Tenure in months]] &lt;=12, "7-12 months", Table1[[#This Row],[Customer Tenure in months]] &lt;=24, "1-2 years", TRUE, "2+ years")</f>
        <v>0-6 months</v>
      </c>
      <c r="M286">
        <v>6</v>
      </c>
      <c r="N286" t="s">
        <v>62</v>
      </c>
      <c r="O286" s="1">
        <v>24000</v>
      </c>
      <c r="P286">
        <v>11</v>
      </c>
      <c r="Q286" s="1">
        <v>264000</v>
      </c>
      <c r="R286">
        <v>119.81</v>
      </c>
      <c r="S286" t="s">
        <v>1091</v>
      </c>
      <c r="T286" t="s">
        <v>39</v>
      </c>
    </row>
    <row r="287" spans="1:20" x14ac:dyDescent="0.35">
      <c r="A287" s="22" t="s">
        <v>386</v>
      </c>
      <c r="B287" cm="1">
        <f t="array" ref="B287">IF(MATCH(Table1[[#This Row],[Customer ID]], Table1[Customer ID], 0) = ROW() - ROW(Table1[#Headers]), 1, 0)</f>
        <v>0</v>
      </c>
      <c r="C287" t="s">
        <v>387</v>
      </c>
      <c r="D287" s="2">
        <v>45713</v>
      </c>
      <c r="E287">
        <v>50</v>
      </c>
      <c r="F287" t="str" cm="1">
        <f t="array" ref="F287">_xlfn.IFS( Table1[[#This Row],[Age]]&lt;18, "&lt;18", Table1[[#This Row],[Age]]&lt;= 29, "18-29", Table1[[#This Row],[Age]]&lt;= 44, "30-44",  Table1[[#This Row],[Age]]&lt;=59, "45-59", TRUE, "60+")</f>
        <v>45-59</v>
      </c>
      <c r="G287" t="s">
        <v>95</v>
      </c>
      <c r="H287" t="s">
        <v>36</v>
      </c>
      <c r="I287" t="s">
        <v>21</v>
      </c>
      <c r="J287">
        <v>4</v>
      </c>
      <c r="K287" t="s">
        <v>114</v>
      </c>
      <c r="L287" t="str" cm="1">
        <f t="array" ref="L287">_xlfn.IFS(Table1[[#This Row],[Customer Tenure in months]]&lt;=6, "0-6 months", Table1[[#This Row],[Customer Tenure in months]] &lt;=12, "7-12 months", Table1[[#This Row],[Customer Tenure in months]] &lt;=24, "1-2 years", TRUE, "2+ years")</f>
        <v>0-6 months</v>
      </c>
      <c r="M287">
        <v>6</v>
      </c>
      <c r="N287" t="s">
        <v>105</v>
      </c>
      <c r="O287" s="1">
        <v>75000</v>
      </c>
      <c r="P287">
        <v>14</v>
      </c>
      <c r="Q287" s="1">
        <v>1050000</v>
      </c>
      <c r="R287">
        <v>2.96</v>
      </c>
      <c r="S287" t="s">
        <v>1091</v>
      </c>
      <c r="T287" t="s">
        <v>39</v>
      </c>
    </row>
    <row r="288" spans="1:20" x14ac:dyDescent="0.35">
      <c r="A288" s="22" t="s">
        <v>388</v>
      </c>
      <c r="B288" cm="1">
        <f t="array" ref="B288">IF(MATCH(Table1[[#This Row],[Customer ID]], Table1[Customer ID], 0) = ROW() - ROW(Table1[#Headers]), 1, 0)</f>
        <v>1</v>
      </c>
      <c r="C288" t="s">
        <v>389</v>
      </c>
      <c r="D288" s="2">
        <v>45713</v>
      </c>
      <c r="E288">
        <v>26</v>
      </c>
      <c r="F288" t="str" cm="1">
        <f t="array" ref="F288">_xlfn.IFS( Table1[[#This Row],[Age]]&lt;18, "&lt;18", Table1[[#This Row],[Age]]&lt;= 29, "18-29", Table1[[#This Row],[Age]]&lt;= 44, "30-44",  Table1[[#This Row],[Age]]&lt;=59, "45-59", TRUE, "60+")</f>
        <v>18-29</v>
      </c>
      <c r="G288" t="s">
        <v>70</v>
      </c>
      <c r="H288" t="s">
        <v>29</v>
      </c>
      <c r="I288" t="s">
        <v>21</v>
      </c>
      <c r="J288">
        <v>2</v>
      </c>
      <c r="K288" t="s">
        <v>22</v>
      </c>
      <c r="L288" t="str" cm="1">
        <f t="array" ref="L288">_xlfn.IFS(Table1[[#This Row],[Customer Tenure in months]]&lt;=6, "0-6 months", Table1[[#This Row],[Customer Tenure in months]] &lt;=12, "7-12 months", Table1[[#This Row],[Customer Tenure in months]] &lt;=24, "1-2 years", TRUE, "2+ years")</f>
        <v>2+ years</v>
      </c>
      <c r="M288">
        <v>44</v>
      </c>
      <c r="N288" t="s">
        <v>83</v>
      </c>
      <c r="O288" s="1">
        <v>1000</v>
      </c>
      <c r="P288">
        <v>9</v>
      </c>
      <c r="Q288" s="1">
        <v>9000</v>
      </c>
      <c r="R288">
        <v>33.86</v>
      </c>
      <c r="S288" t="s">
        <v>96</v>
      </c>
      <c r="T288" t="s">
        <v>24</v>
      </c>
    </row>
    <row r="289" spans="1:20" x14ac:dyDescent="0.35">
      <c r="A289" s="22" t="s">
        <v>388</v>
      </c>
      <c r="B289" cm="1">
        <f t="array" ref="B289">IF(MATCH(Table1[[#This Row],[Customer ID]], Table1[Customer ID], 0) = ROW() - ROW(Table1[#Headers]), 1, 0)</f>
        <v>0</v>
      </c>
      <c r="C289" t="s">
        <v>389</v>
      </c>
      <c r="D289" s="2">
        <v>45713</v>
      </c>
      <c r="E289">
        <v>26</v>
      </c>
      <c r="F289" t="str" cm="1">
        <f t="array" ref="F289">_xlfn.IFS( Table1[[#This Row],[Age]]&lt;18, "&lt;18", Table1[[#This Row],[Age]]&lt;= 29, "18-29", Table1[[#This Row],[Age]]&lt;= 44, "30-44",  Table1[[#This Row],[Age]]&lt;=59, "45-59", TRUE, "60+")</f>
        <v>18-29</v>
      </c>
      <c r="G289" t="s">
        <v>70</v>
      </c>
      <c r="H289" t="s">
        <v>41</v>
      </c>
      <c r="I289" t="s">
        <v>21</v>
      </c>
      <c r="J289">
        <v>2</v>
      </c>
      <c r="K289" t="s">
        <v>22</v>
      </c>
      <c r="L289" t="str" cm="1">
        <f t="array" ref="L289">_xlfn.IFS(Table1[[#This Row],[Customer Tenure in months]]&lt;=6, "0-6 months", Table1[[#This Row],[Customer Tenure in months]] &lt;=12, "7-12 months", Table1[[#This Row],[Customer Tenure in months]] &lt;=24, "1-2 years", TRUE, "2+ years")</f>
        <v>2+ years</v>
      </c>
      <c r="M289">
        <v>44</v>
      </c>
      <c r="N289" t="s">
        <v>71</v>
      </c>
      <c r="O289" s="1">
        <v>14500</v>
      </c>
      <c r="P289">
        <v>3</v>
      </c>
      <c r="Q289" s="1">
        <v>43500</v>
      </c>
      <c r="R289">
        <v>60.3</v>
      </c>
      <c r="S289" t="s">
        <v>96</v>
      </c>
      <c r="T289" t="s">
        <v>24</v>
      </c>
    </row>
    <row r="290" spans="1:20" x14ac:dyDescent="0.35">
      <c r="A290" s="22" t="s">
        <v>390</v>
      </c>
      <c r="B290" cm="1">
        <f t="array" ref="B290">IF(MATCH(Table1[[#This Row],[Customer ID]], Table1[Customer ID], 0) = ROW() - ROW(Table1[#Headers]), 1, 0)</f>
        <v>1</v>
      </c>
      <c r="C290" t="s">
        <v>391</v>
      </c>
      <c r="D290" s="2">
        <v>45713</v>
      </c>
      <c r="E290">
        <v>48</v>
      </c>
      <c r="F290" t="str" cm="1">
        <f t="array" ref="F290">_xlfn.IFS( Table1[[#This Row],[Age]]&lt;18, "&lt;18", Table1[[#This Row],[Age]]&lt;= 29, "18-29", Table1[[#This Row],[Age]]&lt;= 44, "30-44",  Table1[[#This Row],[Age]]&lt;=59, "45-59", TRUE, "60+")</f>
        <v>45-59</v>
      </c>
      <c r="G290" t="s">
        <v>70</v>
      </c>
      <c r="H290" t="s">
        <v>29</v>
      </c>
      <c r="I290" t="s">
        <v>30</v>
      </c>
      <c r="J290">
        <v>4</v>
      </c>
      <c r="K290" t="s">
        <v>114</v>
      </c>
      <c r="L290" t="str" cm="1">
        <f t="array" ref="L290">_xlfn.IFS(Table1[[#This Row],[Customer Tenure in months]]&lt;=6, "0-6 months", Table1[[#This Row],[Customer Tenure in months]] &lt;=12, "7-12 months", Table1[[#This Row],[Customer Tenure in months]] &lt;=24, "1-2 years", TRUE, "2+ years")</f>
        <v>2+ years</v>
      </c>
      <c r="M290">
        <v>39</v>
      </c>
      <c r="N290" t="s">
        <v>56</v>
      </c>
      <c r="O290" s="1">
        <v>3500</v>
      </c>
      <c r="P290">
        <v>13</v>
      </c>
      <c r="Q290" s="1">
        <v>45500</v>
      </c>
      <c r="R290">
        <v>168.4</v>
      </c>
      <c r="S290" t="s">
        <v>96</v>
      </c>
      <c r="T290" t="s">
        <v>24</v>
      </c>
    </row>
    <row r="291" spans="1:20" x14ac:dyDescent="0.35">
      <c r="A291" s="22" t="s">
        <v>392</v>
      </c>
      <c r="B291" cm="1">
        <f t="array" ref="B291">IF(MATCH(Table1[[#This Row],[Customer ID]], Table1[Customer ID], 0) = ROW() - ROW(Table1[#Headers]), 1, 0)</f>
        <v>1</v>
      </c>
      <c r="C291" t="s">
        <v>393</v>
      </c>
      <c r="D291" s="2">
        <v>45713</v>
      </c>
      <c r="E291">
        <v>72</v>
      </c>
      <c r="F291" t="str" cm="1">
        <f t="array" ref="F291">_xlfn.IFS( Table1[[#This Row],[Age]]&lt;18, "&lt;18", Table1[[#This Row],[Age]]&lt;= 29, "18-29", Table1[[#This Row],[Age]]&lt;= 44, "30-44",  Table1[[#This Row],[Age]]&lt;=59, "45-59", TRUE, "60+")</f>
        <v>60+</v>
      </c>
      <c r="G291" t="s">
        <v>157</v>
      </c>
      <c r="H291" t="s">
        <v>20</v>
      </c>
      <c r="I291" t="s">
        <v>30</v>
      </c>
      <c r="J291">
        <v>3</v>
      </c>
      <c r="K291" t="s">
        <v>50</v>
      </c>
      <c r="L291" t="str" cm="1">
        <f t="array" ref="L291">_xlfn.IFS(Table1[[#This Row],[Customer Tenure in months]]&lt;=6, "0-6 months", Table1[[#This Row],[Customer Tenure in months]] &lt;=12, "7-12 months", Table1[[#This Row],[Customer Tenure in months]] &lt;=24, "1-2 years", TRUE, "2+ years")</f>
        <v>2+ years</v>
      </c>
      <c r="M291">
        <v>53</v>
      </c>
      <c r="N291" t="s">
        <v>46</v>
      </c>
      <c r="O291" s="1">
        <v>4500</v>
      </c>
      <c r="P291">
        <v>11</v>
      </c>
      <c r="Q291" s="1">
        <v>49500</v>
      </c>
      <c r="R291">
        <v>192.93</v>
      </c>
      <c r="S291" t="s">
        <v>1091</v>
      </c>
      <c r="T291" t="s">
        <v>39</v>
      </c>
    </row>
    <row r="292" spans="1:20" x14ac:dyDescent="0.35">
      <c r="A292" s="22" t="s">
        <v>392</v>
      </c>
      <c r="B292" cm="1">
        <f t="array" ref="B292">IF(MATCH(Table1[[#This Row],[Customer ID]], Table1[Customer ID], 0) = ROW() - ROW(Table1[#Headers]), 1, 0)</f>
        <v>0</v>
      </c>
      <c r="C292" t="s">
        <v>393</v>
      </c>
      <c r="D292" s="2">
        <v>45713</v>
      </c>
      <c r="E292">
        <v>72</v>
      </c>
      <c r="F292" t="str" cm="1">
        <f t="array" ref="F292">_xlfn.IFS( Table1[[#This Row],[Age]]&lt;18, "&lt;18", Table1[[#This Row],[Age]]&lt;= 29, "18-29", Table1[[#This Row],[Age]]&lt;= 44, "30-44",  Table1[[#This Row],[Age]]&lt;=59, "45-59", TRUE, "60+")</f>
        <v>60+</v>
      </c>
      <c r="G292" t="s">
        <v>157</v>
      </c>
      <c r="H292" t="s">
        <v>29</v>
      </c>
      <c r="I292" t="s">
        <v>30</v>
      </c>
      <c r="J292">
        <v>3</v>
      </c>
      <c r="K292" t="s">
        <v>50</v>
      </c>
      <c r="L292" t="str" cm="1">
        <f t="array" ref="L292">_xlfn.IFS(Table1[[#This Row],[Customer Tenure in months]]&lt;=6, "0-6 months", Table1[[#This Row],[Customer Tenure in months]] &lt;=12, "7-12 months", Table1[[#This Row],[Customer Tenure in months]] &lt;=24, "1-2 years", TRUE, "2+ years")</f>
        <v>2+ years</v>
      </c>
      <c r="M292">
        <v>53</v>
      </c>
      <c r="N292" t="s">
        <v>40</v>
      </c>
      <c r="O292" s="1">
        <v>500</v>
      </c>
      <c r="P292">
        <v>16</v>
      </c>
      <c r="Q292" s="1">
        <v>8000</v>
      </c>
      <c r="R292">
        <v>147.11000000000001</v>
      </c>
      <c r="S292" t="s">
        <v>1091</v>
      </c>
      <c r="T292" t="s">
        <v>39</v>
      </c>
    </row>
    <row r="293" spans="1:20" x14ac:dyDescent="0.35">
      <c r="A293" s="22" t="s">
        <v>392</v>
      </c>
      <c r="B293" cm="1">
        <f t="array" ref="B293">IF(MATCH(Table1[[#This Row],[Customer ID]], Table1[Customer ID], 0) = ROW() - ROW(Table1[#Headers]), 1, 0)</f>
        <v>0</v>
      </c>
      <c r="C293" t="s">
        <v>393</v>
      </c>
      <c r="D293" s="2">
        <v>45713</v>
      </c>
      <c r="E293">
        <v>72</v>
      </c>
      <c r="F293" t="str" cm="1">
        <f t="array" ref="F293">_xlfn.IFS( Table1[[#This Row],[Age]]&lt;18, "&lt;18", Table1[[#This Row],[Age]]&lt;= 29, "18-29", Table1[[#This Row],[Age]]&lt;= 44, "30-44",  Table1[[#This Row],[Age]]&lt;=59, "45-59", TRUE, "60+")</f>
        <v>60+</v>
      </c>
      <c r="G293" t="s">
        <v>157</v>
      </c>
      <c r="H293" t="s">
        <v>36</v>
      </c>
      <c r="I293" t="s">
        <v>30</v>
      </c>
      <c r="J293">
        <v>3</v>
      </c>
      <c r="K293" t="s">
        <v>50</v>
      </c>
      <c r="L293" t="str" cm="1">
        <f t="array" ref="L293">_xlfn.IFS(Table1[[#This Row],[Customer Tenure in months]]&lt;=6, "0-6 months", Table1[[#This Row],[Customer Tenure in months]] &lt;=12, "7-12 months", Table1[[#This Row],[Customer Tenure in months]] &lt;=24, "1-2 years", TRUE, "2+ years")</f>
        <v>2+ years</v>
      </c>
      <c r="M293">
        <v>53</v>
      </c>
      <c r="N293" t="s">
        <v>71</v>
      </c>
      <c r="O293" s="1">
        <v>14500</v>
      </c>
      <c r="P293">
        <v>9</v>
      </c>
      <c r="Q293" s="1">
        <v>130500</v>
      </c>
      <c r="R293">
        <v>65.510000000000005</v>
      </c>
      <c r="S293" t="s">
        <v>1091</v>
      </c>
      <c r="T293" t="s">
        <v>39</v>
      </c>
    </row>
    <row r="294" spans="1:20" x14ac:dyDescent="0.35">
      <c r="A294" s="22" t="s">
        <v>394</v>
      </c>
      <c r="B294" cm="1">
        <f t="array" ref="B294">IF(MATCH(Table1[[#This Row],[Customer ID]], Table1[Customer ID], 0) = ROW() - ROW(Table1[#Headers]), 1, 0)</f>
        <v>1</v>
      </c>
      <c r="C294" t="s">
        <v>395</v>
      </c>
      <c r="D294" s="2">
        <v>45713</v>
      </c>
      <c r="E294">
        <v>62</v>
      </c>
      <c r="F294" t="str" cm="1">
        <f t="array" ref="F294">_xlfn.IFS( Table1[[#This Row],[Age]]&lt;18, "&lt;18", Table1[[#This Row],[Age]]&lt;= 29, "18-29", Table1[[#This Row],[Age]]&lt;= 44, "30-44",  Table1[[#This Row],[Age]]&lt;=59, "45-59", TRUE, "60+")</f>
        <v>60+</v>
      </c>
      <c r="G294" t="s">
        <v>176</v>
      </c>
      <c r="H294" t="s">
        <v>20</v>
      </c>
      <c r="I294" t="s">
        <v>21</v>
      </c>
      <c r="J294">
        <v>5</v>
      </c>
      <c r="K294" t="s">
        <v>55</v>
      </c>
      <c r="L294" t="str" cm="1">
        <f t="array" ref="L294">_xlfn.IFS(Table1[[#This Row],[Customer Tenure in months]]&lt;=6, "0-6 months", Table1[[#This Row],[Customer Tenure in months]] &lt;=12, "7-12 months", Table1[[#This Row],[Customer Tenure in months]] &lt;=24, "1-2 years", TRUE, "2+ years")</f>
        <v>2+ years</v>
      </c>
      <c r="M294">
        <v>38</v>
      </c>
      <c r="N294" t="s">
        <v>51</v>
      </c>
      <c r="O294" s="1">
        <v>9000</v>
      </c>
      <c r="P294">
        <v>3</v>
      </c>
      <c r="Q294" s="1">
        <v>27000</v>
      </c>
      <c r="R294">
        <v>166.34</v>
      </c>
      <c r="S294" t="s">
        <v>284</v>
      </c>
      <c r="T294" t="s">
        <v>24</v>
      </c>
    </row>
    <row r="295" spans="1:20" x14ac:dyDescent="0.35">
      <c r="A295" s="22" t="s">
        <v>394</v>
      </c>
      <c r="B295" cm="1">
        <f t="array" ref="B295">IF(MATCH(Table1[[#This Row],[Customer ID]], Table1[Customer ID], 0) = ROW() - ROW(Table1[#Headers]), 1, 0)</f>
        <v>0</v>
      </c>
      <c r="C295" t="s">
        <v>395</v>
      </c>
      <c r="D295" s="2">
        <v>45713</v>
      </c>
      <c r="E295">
        <v>62</v>
      </c>
      <c r="F295" t="str" cm="1">
        <f t="array" ref="F295">_xlfn.IFS( Table1[[#This Row],[Age]]&lt;18, "&lt;18", Table1[[#This Row],[Age]]&lt;= 29, "18-29", Table1[[#This Row],[Age]]&lt;= 44, "30-44",  Table1[[#This Row],[Age]]&lt;=59, "45-59", TRUE, "60+")</f>
        <v>60+</v>
      </c>
      <c r="G295" t="s">
        <v>176</v>
      </c>
      <c r="H295" t="s">
        <v>29</v>
      </c>
      <c r="I295" t="s">
        <v>21</v>
      </c>
      <c r="J295">
        <v>5</v>
      </c>
      <c r="K295" t="s">
        <v>55</v>
      </c>
      <c r="L295" t="str" cm="1">
        <f t="array" ref="L295">_xlfn.IFS(Table1[[#This Row],[Customer Tenure in months]]&lt;=6, "0-6 months", Table1[[#This Row],[Customer Tenure in months]] &lt;=12, "7-12 months", Table1[[#This Row],[Customer Tenure in months]] &lt;=24, "1-2 years", TRUE, "2+ years")</f>
        <v>2+ years</v>
      </c>
      <c r="M295">
        <v>38</v>
      </c>
      <c r="N295" t="s">
        <v>87</v>
      </c>
      <c r="O295" s="1">
        <v>7500</v>
      </c>
      <c r="P295">
        <v>5</v>
      </c>
      <c r="Q295" s="1">
        <v>37500</v>
      </c>
      <c r="R295">
        <v>134.76</v>
      </c>
      <c r="S295" t="s">
        <v>284</v>
      </c>
      <c r="T295" t="s">
        <v>24</v>
      </c>
    </row>
    <row r="296" spans="1:20" x14ac:dyDescent="0.35">
      <c r="A296" s="22" t="s">
        <v>396</v>
      </c>
      <c r="B296" cm="1">
        <f t="array" ref="B296">IF(MATCH(Table1[[#This Row],[Customer ID]], Table1[Customer ID], 0) = ROW() - ROW(Table1[#Headers]), 1, 0)</f>
        <v>1</v>
      </c>
      <c r="C296" t="s">
        <v>397</v>
      </c>
      <c r="D296" s="2">
        <v>45713</v>
      </c>
      <c r="E296">
        <v>46</v>
      </c>
      <c r="F296" t="str" cm="1">
        <f t="array" ref="F296">_xlfn.IFS( Table1[[#This Row],[Age]]&lt;18, "&lt;18", Table1[[#This Row],[Age]]&lt;= 29, "18-29", Table1[[#This Row],[Age]]&lt;= 44, "30-44",  Table1[[#This Row],[Age]]&lt;=59, "45-59", TRUE, "60+")</f>
        <v>45-59</v>
      </c>
      <c r="G296" t="s">
        <v>143</v>
      </c>
      <c r="H296" t="s">
        <v>29</v>
      </c>
      <c r="I296" t="s">
        <v>21</v>
      </c>
      <c r="J296">
        <v>4</v>
      </c>
      <c r="K296" t="s">
        <v>114</v>
      </c>
      <c r="L296" t="str" cm="1">
        <f t="array" ref="L296">_xlfn.IFS(Table1[[#This Row],[Customer Tenure in months]]&lt;=6, "0-6 months", Table1[[#This Row],[Customer Tenure in months]] &lt;=12, "7-12 months", Table1[[#This Row],[Customer Tenure in months]] &lt;=24, "1-2 years", TRUE, "2+ years")</f>
        <v>2+ years</v>
      </c>
      <c r="M296">
        <v>46</v>
      </c>
      <c r="N296" t="s">
        <v>193</v>
      </c>
      <c r="O296" s="1">
        <v>6500</v>
      </c>
      <c r="P296">
        <v>14</v>
      </c>
      <c r="Q296" s="1">
        <v>91000</v>
      </c>
      <c r="R296">
        <v>184.74</v>
      </c>
      <c r="S296" t="s">
        <v>25</v>
      </c>
      <c r="T296" t="s">
        <v>24</v>
      </c>
    </row>
    <row r="297" spans="1:20" x14ac:dyDescent="0.35">
      <c r="A297" s="22" t="s">
        <v>396</v>
      </c>
      <c r="B297" cm="1">
        <f t="array" ref="B297">IF(MATCH(Table1[[#This Row],[Customer ID]], Table1[Customer ID], 0) = ROW() - ROW(Table1[#Headers]), 1, 0)</f>
        <v>0</v>
      </c>
      <c r="C297" t="s">
        <v>397</v>
      </c>
      <c r="D297" s="2">
        <v>45713</v>
      </c>
      <c r="E297">
        <v>46</v>
      </c>
      <c r="F297" t="str" cm="1">
        <f t="array" ref="F297">_xlfn.IFS( Table1[[#This Row],[Age]]&lt;18, "&lt;18", Table1[[#This Row],[Age]]&lt;= 29, "18-29", Table1[[#This Row],[Age]]&lt;= 44, "30-44",  Table1[[#This Row],[Age]]&lt;=59, "45-59", TRUE, "60+")</f>
        <v>45-59</v>
      </c>
      <c r="G297" t="s">
        <v>143</v>
      </c>
      <c r="H297" t="s">
        <v>36</v>
      </c>
      <c r="I297" t="s">
        <v>21</v>
      </c>
      <c r="J297">
        <v>4</v>
      </c>
      <c r="K297" t="s">
        <v>114</v>
      </c>
      <c r="L297" t="str" cm="1">
        <f t="array" ref="L297">_xlfn.IFS(Table1[[#This Row],[Customer Tenure in months]]&lt;=6, "0-6 months", Table1[[#This Row],[Customer Tenure in months]] &lt;=12, "7-12 months", Table1[[#This Row],[Customer Tenure in months]] &lt;=24, "1-2 years", TRUE, "2+ years")</f>
        <v>2+ years</v>
      </c>
      <c r="M297">
        <v>46</v>
      </c>
      <c r="N297" t="s">
        <v>42</v>
      </c>
      <c r="O297" s="1">
        <v>9000</v>
      </c>
      <c r="P297">
        <v>12</v>
      </c>
      <c r="Q297" s="1">
        <v>108000</v>
      </c>
      <c r="R297">
        <v>158.25</v>
      </c>
      <c r="S297" t="s">
        <v>25</v>
      </c>
      <c r="T297" t="s">
        <v>24</v>
      </c>
    </row>
    <row r="298" spans="1:20" x14ac:dyDescent="0.35">
      <c r="A298" s="22" t="s">
        <v>398</v>
      </c>
      <c r="B298" cm="1">
        <f t="array" ref="B298">IF(MATCH(Table1[[#This Row],[Customer ID]], Table1[Customer ID], 0) = ROW() - ROW(Table1[#Headers]), 1, 0)</f>
        <v>1</v>
      </c>
      <c r="C298" t="s">
        <v>399</v>
      </c>
      <c r="D298" s="2">
        <v>45741</v>
      </c>
      <c r="E298">
        <v>26</v>
      </c>
      <c r="F298" t="str" cm="1">
        <f t="array" ref="F298">_xlfn.IFS( Table1[[#This Row],[Age]]&lt;18, "&lt;18", Table1[[#This Row],[Age]]&lt;= 29, "18-29", Table1[[#This Row],[Age]]&lt;= 44, "30-44",  Table1[[#This Row],[Age]]&lt;=59, "45-59", TRUE, "60+")</f>
        <v>18-29</v>
      </c>
      <c r="G298" t="s">
        <v>95</v>
      </c>
      <c r="H298" t="s">
        <v>29</v>
      </c>
      <c r="I298" t="s">
        <v>21</v>
      </c>
      <c r="J298">
        <v>2</v>
      </c>
      <c r="K298" t="s">
        <v>22</v>
      </c>
      <c r="L298" t="str" cm="1">
        <f t="array" ref="L298">_xlfn.IFS(Table1[[#This Row],[Customer Tenure in months]]&lt;=6, "0-6 months", Table1[[#This Row],[Customer Tenure in months]] &lt;=12, "7-12 months", Table1[[#This Row],[Customer Tenure in months]] &lt;=24, "1-2 years", TRUE, "2+ years")</f>
        <v>2+ years</v>
      </c>
      <c r="M298">
        <v>43</v>
      </c>
      <c r="N298" t="s">
        <v>56</v>
      </c>
      <c r="O298" s="1">
        <v>3500</v>
      </c>
      <c r="P298">
        <v>14</v>
      </c>
      <c r="Q298" s="1">
        <v>49000</v>
      </c>
      <c r="R298">
        <v>193.16</v>
      </c>
      <c r="S298" t="s">
        <v>1091</v>
      </c>
      <c r="T298" t="s">
        <v>39</v>
      </c>
    </row>
    <row r="299" spans="1:20" x14ac:dyDescent="0.35">
      <c r="A299" s="22" t="s">
        <v>400</v>
      </c>
      <c r="B299" cm="1">
        <f t="array" ref="B299">IF(MATCH(Table1[[#This Row],[Customer ID]], Table1[Customer ID], 0) = ROW() - ROW(Table1[#Headers]), 1, 0)</f>
        <v>1</v>
      </c>
      <c r="C299" t="s">
        <v>401</v>
      </c>
      <c r="D299" s="2">
        <v>45713</v>
      </c>
      <c r="E299">
        <v>17</v>
      </c>
      <c r="F299" t="str" cm="1">
        <f t="array" ref="F299">_xlfn.IFS( Table1[[#This Row],[Age]]&lt;18, "&lt;18", Table1[[#This Row],[Age]]&lt;= 29, "18-29", Table1[[#This Row],[Age]]&lt;= 44, "30-44",  Table1[[#This Row],[Age]]&lt;=59, "45-59", TRUE, "60+")</f>
        <v>&lt;18</v>
      </c>
      <c r="G299" t="s">
        <v>95</v>
      </c>
      <c r="H299" t="s">
        <v>20</v>
      </c>
      <c r="I299" t="s">
        <v>30</v>
      </c>
      <c r="J299">
        <v>4</v>
      </c>
      <c r="K299" t="s">
        <v>114</v>
      </c>
      <c r="L299" t="str" cm="1">
        <f t="array" ref="L299">_xlfn.IFS(Table1[[#This Row],[Customer Tenure in months]]&lt;=6, "0-6 months", Table1[[#This Row],[Customer Tenure in months]] &lt;=12, "7-12 months", Table1[[#This Row],[Customer Tenure in months]] &lt;=24, "1-2 years", TRUE, "2+ years")</f>
        <v>1-2 years</v>
      </c>
      <c r="M299">
        <v>15</v>
      </c>
      <c r="N299" t="s">
        <v>46</v>
      </c>
      <c r="O299" s="1">
        <v>4500</v>
      </c>
      <c r="P299">
        <v>10</v>
      </c>
      <c r="Q299" s="1">
        <v>45000</v>
      </c>
      <c r="R299">
        <v>96.81</v>
      </c>
      <c r="S299" t="s">
        <v>1091</v>
      </c>
      <c r="T299" t="s">
        <v>39</v>
      </c>
    </row>
    <row r="300" spans="1:20" x14ac:dyDescent="0.35">
      <c r="A300" s="22" t="s">
        <v>400</v>
      </c>
      <c r="B300" cm="1">
        <f t="array" ref="B300">IF(MATCH(Table1[[#This Row],[Customer ID]], Table1[Customer ID], 0) = ROW() - ROW(Table1[#Headers]), 1, 0)</f>
        <v>0</v>
      </c>
      <c r="C300" t="s">
        <v>401</v>
      </c>
      <c r="D300" s="2">
        <v>45713</v>
      </c>
      <c r="E300">
        <v>17</v>
      </c>
      <c r="F300" t="str" cm="1">
        <f t="array" ref="F300">_xlfn.IFS( Table1[[#This Row],[Age]]&lt;18, "&lt;18", Table1[[#This Row],[Age]]&lt;= 29, "18-29", Table1[[#This Row],[Age]]&lt;= 44, "30-44",  Table1[[#This Row],[Age]]&lt;=59, "45-59", TRUE, "60+")</f>
        <v>&lt;18</v>
      </c>
      <c r="G300" t="s">
        <v>95</v>
      </c>
      <c r="H300" t="s">
        <v>29</v>
      </c>
      <c r="I300" t="s">
        <v>30</v>
      </c>
      <c r="J300">
        <v>4</v>
      </c>
      <c r="K300" t="s">
        <v>114</v>
      </c>
      <c r="L300" t="str" cm="1">
        <f t="array" ref="L300">_xlfn.IFS(Table1[[#This Row],[Customer Tenure in months]]&lt;=6, "0-6 months", Table1[[#This Row],[Customer Tenure in months]] &lt;=12, "7-12 months", Table1[[#This Row],[Customer Tenure in months]] &lt;=24, "1-2 years", TRUE, "2+ years")</f>
        <v>1-2 years</v>
      </c>
      <c r="M300">
        <v>15</v>
      </c>
      <c r="N300" t="s">
        <v>31</v>
      </c>
      <c r="O300" s="1">
        <v>5500</v>
      </c>
      <c r="P300">
        <v>3</v>
      </c>
      <c r="Q300" s="1">
        <v>16500</v>
      </c>
      <c r="R300">
        <v>184.15</v>
      </c>
      <c r="S300" t="s">
        <v>1091</v>
      </c>
      <c r="T300" t="s">
        <v>39</v>
      </c>
    </row>
    <row r="301" spans="1:20" x14ac:dyDescent="0.35">
      <c r="A301" s="22" t="s">
        <v>402</v>
      </c>
      <c r="B301" cm="1">
        <f t="array" ref="B301">IF(MATCH(Table1[[#This Row],[Customer ID]], Table1[Customer ID], 0) = ROW() - ROW(Table1[#Headers]), 1, 0)</f>
        <v>1</v>
      </c>
      <c r="C301" t="s">
        <v>403</v>
      </c>
      <c r="D301" s="2">
        <v>45713</v>
      </c>
      <c r="E301">
        <v>34</v>
      </c>
      <c r="F301" t="str" cm="1">
        <f t="array" ref="F301">_xlfn.IFS( Table1[[#This Row],[Age]]&lt;18, "&lt;18", Table1[[#This Row],[Age]]&lt;= 29, "18-29", Table1[[#This Row],[Age]]&lt;= 44, "30-44",  Table1[[#This Row],[Age]]&lt;=59, "45-59", TRUE, "60+")</f>
        <v>30-44</v>
      </c>
      <c r="G301" t="s">
        <v>152</v>
      </c>
      <c r="H301" t="s">
        <v>29</v>
      </c>
      <c r="I301" t="s">
        <v>30</v>
      </c>
      <c r="J301">
        <v>2</v>
      </c>
      <c r="K301" t="s">
        <v>22</v>
      </c>
      <c r="L301" t="str" cm="1">
        <f t="array" ref="L301">_xlfn.IFS(Table1[[#This Row],[Customer Tenure in months]]&lt;=6, "0-6 months", Table1[[#This Row],[Customer Tenure in months]] &lt;=12, "7-12 months", Table1[[#This Row],[Customer Tenure in months]] &lt;=24, "1-2 years", TRUE, "2+ years")</f>
        <v>1-2 years</v>
      </c>
      <c r="M301">
        <v>22</v>
      </c>
      <c r="N301" t="s">
        <v>31</v>
      </c>
      <c r="O301" s="1">
        <v>5500</v>
      </c>
      <c r="P301">
        <v>15</v>
      </c>
      <c r="Q301" s="1">
        <v>82500</v>
      </c>
      <c r="R301">
        <v>144.54</v>
      </c>
      <c r="S301" t="s">
        <v>1091</v>
      </c>
      <c r="T301" t="s">
        <v>39</v>
      </c>
    </row>
    <row r="302" spans="1:20" x14ac:dyDescent="0.35">
      <c r="A302" s="22" t="s">
        <v>402</v>
      </c>
      <c r="B302" cm="1">
        <f t="array" ref="B302">IF(MATCH(Table1[[#This Row],[Customer ID]], Table1[Customer ID], 0) = ROW() - ROW(Table1[#Headers]), 1, 0)</f>
        <v>0</v>
      </c>
      <c r="C302" t="s">
        <v>403</v>
      </c>
      <c r="D302" s="2">
        <v>45713</v>
      </c>
      <c r="E302">
        <v>34</v>
      </c>
      <c r="F302" t="str" cm="1">
        <f t="array" ref="F302">_xlfn.IFS( Table1[[#This Row],[Age]]&lt;18, "&lt;18", Table1[[#This Row],[Age]]&lt;= 29, "18-29", Table1[[#This Row],[Age]]&lt;= 44, "30-44",  Table1[[#This Row],[Age]]&lt;=59, "45-59", TRUE, "60+")</f>
        <v>30-44</v>
      </c>
      <c r="G302" t="s">
        <v>152</v>
      </c>
      <c r="H302" t="s">
        <v>41</v>
      </c>
      <c r="I302" t="s">
        <v>30</v>
      </c>
      <c r="J302">
        <v>2</v>
      </c>
      <c r="K302" t="s">
        <v>22</v>
      </c>
      <c r="L302" t="str" cm="1">
        <f t="array" ref="L302">_xlfn.IFS(Table1[[#This Row],[Customer Tenure in months]]&lt;=6, "0-6 months", Table1[[#This Row],[Customer Tenure in months]] &lt;=12, "7-12 months", Table1[[#This Row],[Customer Tenure in months]] &lt;=24, "1-2 years", TRUE, "2+ years")</f>
        <v>1-2 years</v>
      </c>
      <c r="M302">
        <v>22</v>
      </c>
      <c r="N302" t="s">
        <v>65</v>
      </c>
      <c r="O302" s="1">
        <v>30000</v>
      </c>
      <c r="P302">
        <v>2</v>
      </c>
      <c r="Q302" s="1">
        <v>60000</v>
      </c>
      <c r="R302">
        <v>13.9</v>
      </c>
      <c r="S302" t="s">
        <v>1091</v>
      </c>
      <c r="T302" t="s">
        <v>39</v>
      </c>
    </row>
    <row r="303" spans="1:20" x14ac:dyDescent="0.35">
      <c r="A303" s="22" t="s">
        <v>404</v>
      </c>
      <c r="B303" cm="1">
        <f t="array" ref="B303">IF(MATCH(Table1[[#This Row],[Customer ID]], Table1[Customer ID], 0) = ROW() - ROW(Table1[#Headers]), 1, 0)</f>
        <v>1</v>
      </c>
      <c r="C303" t="s">
        <v>405</v>
      </c>
      <c r="D303" s="2">
        <v>45713</v>
      </c>
      <c r="E303">
        <v>18</v>
      </c>
      <c r="F303" t="str" cm="1">
        <f t="array" ref="F303">_xlfn.IFS( Table1[[#This Row],[Age]]&lt;18, "&lt;18", Table1[[#This Row],[Age]]&lt;= 29, "18-29", Table1[[#This Row],[Age]]&lt;= 44, "30-44",  Table1[[#This Row],[Age]]&lt;=59, "45-59", TRUE, "60+")</f>
        <v>18-29</v>
      </c>
      <c r="G303" t="s">
        <v>157</v>
      </c>
      <c r="H303" t="s">
        <v>20</v>
      </c>
      <c r="I303" t="s">
        <v>21</v>
      </c>
      <c r="J303">
        <v>2</v>
      </c>
      <c r="K303" t="s">
        <v>22</v>
      </c>
      <c r="L303" t="str" cm="1">
        <f t="array" ref="L303">_xlfn.IFS(Table1[[#This Row],[Customer Tenure in months]]&lt;=6, "0-6 months", Table1[[#This Row],[Customer Tenure in months]] &lt;=12, "7-12 months", Table1[[#This Row],[Customer Tenure in months]] &lt;=24, "1-2 years", TRUE, "2+ years")</f>
        <v>2+ years</v>
      </c>
      <c r="M303">
        <v>44</v>
      </c>
      <c r="N303" t="s">
        <v>46</v>
      </c>
      <c r="O303" s="1">
        <v>4500</v>
      </c>
      <c r="P303">
        <v>13</v>
      </c>
      <c r="Q303" s="1">
        <v>58500</v>
      </c>
      <c r="R303">
        <v>46.76</v>
      </c>
      <c r="S303" t="s">
        <v>1091</v>
      </c>
      <c r="T303" t="s">
        <v>39</v>
      </c>
    </row>
    <row r="304" spans="1:20" x14ac:dyDescent="0.35">
      <c r="A304" s="22" t="s">
        <v>404</v>
      </c>
      <c r="B304" cm="1">
        <f t="array" ref="B304">IF(MATCH(Table1[[#This Row],[Customer ID]], Table1[Customer ID], 0) = ROW() - ROW(Table1[#Headers]), 1, 0)</f>
        <v>0</v>
      </c>
      <c r="C304" t="s">
        <v>405</v>
      </c>
      <c r="D304" s="2">
        <v>45713</v>
      </c>
      <c r="E304">
        <v>18</v>
      </c>
      <c r="F304" t="str" cm="1">
        <f t="array" ref="F304">_xlfn.IFS( Table1[[#This Row],[Age]]&lt;18, "&lt;18", Table1[[#This Row],[Age]]&lt;= 29, "18-29", Table1[[#This Row],[Age]]&lt;= 44, "30-44",  Table1[[#This Row],[Age]]&lt;=59, "45-59", TRUE, "60+")</f>
        <v>18-29</v>
      </c>
      <c r="G304" t="s">
        <v>157</v>
      </c>
      <c r="H304" t="s">
        <v>29</v>
      </c>
      <c r="I304" t="s">
        <v>21</v>
      </c>
      <c r="J304">
        <v>2</v>
      </c>
      <c r="K304" t="s">
        <v>22</v>
      </c>
      <c r="L304" t="str" cm="1">
        <f t="array" ref="L304">_xlfn.IFS(Table1[[#This Row],[Customer Tenure in months]]&lt;=6, "0-6 months", Table1[[#This Row],[Customer Tenure in months]] &lt;=12, "7-12 months", Table1[[#This Row],[Customer Tenure in months]] &lt;=24, "1-2 years", TRUE, "2+ years")</f>
        <v>2+ years</v>
      </c>
      <c r="M304">
        <v>44</v>
      </c>
      <c r="N304" t="s">
        <v>164</v>
      </c>
      <c r="O304" s="1">
        <v>600</v>
      </c>
      <c r="P304">
        <v>14</v>
      </c>
      <c r="Q304" s="1">
        <v>8400</v>
      </c>
      <c r="R304">
        <v>37.68</v>
      </c>
      <c r="S304" t="s">
        <v>1091</v>
      </c>
      <c r="T304" t="s">
        <v>39</v>
      </c>
    </row>
    <row r="305" spans="1:20" x14ac:dyDescent="0.35">
      <c r="A305" s="22" t="s">
        <v>406</v>
      </c>
      <c r="B305" cm="1">
        <f t="array" ref="B305">IF(MATCH(Table1[[#This Row],[Customer ID]], Table1[Customer ID], 0) = ROW() - ROW(Table1[#Headers]), 1, 0)</f>
        <v>1</v>
      </c>
      <c r="C305" t="s">
        <v>407</v>
      </c>
      <c r="D305" s="2">
        <v>45741</v>
      </c>
      <c r="E305">
        <v>29</v>
      </c>
      <c r="F305" t="str" cm="1">
        <f t="array" ref="F305">_xlfn.IFS( Table1[[#This Row],[Age]]&lt;18, "&lt;18", Table1[[#This Row],[Age]]&lt;= 29, "18-29", Table1[[#This Row],[Age]]&lt;= 44, "30-44",  Table1[[#This Row],[Age]]&lt;=59, "45-59", TRUE, "60+")</f>
        <v>18-29</v>
      </c>
      <c r="G305" t="s">
        <v>86</v>
      </c>
      <c r="H305" t="s">
        <v>29</v>
      </c>
      <c r="I305" t="s">
        <v>21</v>
      </c>
      <c r="J305">
        <v>2</v>
      </c>
      <c r="K305" t="s">
        <v>22</v>
      </c>
      <c r="L305" t="str" cm="1">
        <f t="array" ref="L305">_xlfn.IFS(Table1[[#This Row],[Customer Tenure in months]]&lt;=6, "0-6 months", Table1[[#This Row],[Customer Tenure in months]] &lt;=12, "7-12 months", Table1[[#This Row],[Customer Tenure in months]] &lt;=24, "1-2 years", TRUE, "2+ years")</f>
        <v>1-2 years</v>
      </c>
      <c r="M305">
        <v>24</v>
      </c>
      <c r="N305" t="s">
        <v>56</v>
      </c>
      <c r="O305" s="1">
        <v>3500</v>
      </c>
      <c r="P305">
        <v>20</v>
      </c>
      <c r="Q305" s="1">
        <v>70000</v>
      </c>
      <c r="R305">
        <v>119.6</v>
      </c>
      <c r="S305" t="s">
        <v>1091</v>
      </c>
      <c r="T305" t="s">
        <v>39</v>
      </c>
    </row>
    <row r="306" spans="1:20" x14ac:dyDescent="0.35">
      <c r="A306" s="22" t="s">
        <v>406</v>
      </c>
      <c r="B306" cm="1">
        <f t="array" ref="B306">IF(MATCH(Table1[[#This Row],[Customer ID]], Table1[Customer ID], 0) = ROW() - ROW(Table1[#Headers]), 1, 0)</f>
        <v>0</v>
      </c>
      <c r="C306" t="s">
        <v>407</v>
      </c>
      <c r="D306" s="2">
        <v>45741</v>
      </c>
      <c r="E306">
        <v>29</v>
      </c>
      <c r="F306" t="str" cm="1">
        <f t="array" ref="F306">_xlfn.IFS( Table1[[#This Row],[Age]]&lt;18, "&lt;18", Table1[[#This Row],[Age]]&lt;= 29, "18-29", Table1[[#This Row],[Age]]&lt;= 44, "30-44",  Table1[[#This Row],[Age]]&lt;=59, "45-59", TRUE, "60+")</f>
        <v>18-29</v>
      </c>
      <c r="G306" t="s">
        <v>86</v>
      </c>
      <c r="H306" t="s">
        <v>36</v>
      </c>
      <c r="I306" t="s">
        <v>21</v>
      </c>
      <c r="J306">
        <v>2</v>
      </c>
      <c r="K306" t="s">
        <v>22</v>
      </c>
      <c r="L306" t="str" cm="1">
        <f t="array" ref="L306">_xlfn.IFS(Table1[[#This Row],[Customer Tenure in months]]&lt;=6, "0-6 months", Table1[[#This Row],[Customer Tenure in months]] &lt;=12, "7-12 months", Table1[[#This Row],[Customer Tenure in months]] &lt;=24, "1-2 years", TRUE, "2+ years")</f>
        <v>1-2 years</v>
      </c>
      <c r="M306">
        <v>24</v>
      </c>
      <c r="N306" t="s">
        <v>105</v>
      </c>
      <c r="O306" s="1">
        <v>75000</v>
      </c>
      <c r="P306">
        <v>12</v>
      </c>
      <c r="Q306" s="1">
        <v>900000</v>
      </c>
      <c r="R306">
        <v>117.61</v>
      </c>
      <c r="S306" t="s">
        <v>1091</v>
      </c>
      <c r="T306" t="s">
        <v>39</v>
      </c>
    </row>
    <row r="307" spans="1:20" x14ac:dyDescent="0.35">
      <c r="A307" s="22" t="s">
        <v>408</v>
      </c>
      <c r="B307" cm="1">
        <f t="array" ref="B307">IF(MATCH(Table1[[#This Row],[Customer ID]], Table1[Customer ID], 0) = ROW() - ROW(Table1[#Headers]), 1, 0)</f>
        <v>1</v>
      </c>
      <c r="C307" t="s">
        <v>409</v>
      </c>
      <c r="D307" s="2">
        <v>45682</v>
      </c>
      <c r="E307">
        <v>74</v>
      </c>
      <c r="F307" t="str" cm="1">
        <f t="array" ref="F307">_xlfn.IFS( Table1[[#This Row],[Age]]&lt;18, "&lt;18", Table1[[#This Row],[Age]]&lt;= 29, "18-29", Table1[[#This Row],[Age]]&lt;= 44, "30-44",  Table1[[#This Row],[Age]]&lt;=59, "45-59", TRUE, "60+")</f>
        <v>60+</v>
      </c>
      <c r="G307" t="s">
        <v>131</v>
      </c>
      <c r="H307" t="s">
        <v>36</v>
      </c>
      <c r="I307" t="s">
        <v>30</v>
      </c>
      <c r="J307">
        <v>2</v>
      </c>
      <c r="K307" t="s">
        <v>22</v>
      </c>
      <c r="L307" t="str" cm="1">
        <f t="array" ref="L307">_xlfn.IFS(Table1[[#This Row],[Customer Tenure in months]]&lt;=6, "0-6 months", Table1[[#This Row],[Customer Tenure in months]] &lt;=12, "7-12 months", Table1[[#This Row],[Customer Tenure in months]] &lt;=24, "1-2 years", TRUE, "2+ years")</f>
        <v>2+ years</v>
      </c>
      <c r="M307">
        <v>59</v>
      </c>
      <c r="N307" t="s">
        <v>38</v>
      </c>
      <c r="O307" s="1">
        <v>20000</v>
      </c>
      <c r="P307">
        <v>5</v>
      </c>
      <c r="Q307" s="1">
        <v>100000</v>
      </c>
      <c r="R307">
        <v>37.020000000000003</v>
      </c>
      <c r="S307" t="s">
        <v>1091</v>
      </c>
      <c r="T307" t="s">
        <v>39</v>
      </c>
    </row>
    <row r="308" spans="1:20" x14ac:dyDescent="0.35">
      <c r="A308" s="22" t="s">
        <v>410</v>
      </c>
      <c r="B308" cm="1">
        <f t="array" ref="B308">IF(MATCH(Table1[[#This Row],[Customer ID]], Table1[Customer ID], 0) = ROW() - ROW(Table1[#Headers]), 1, 0)</f>
        <v>1</v>
      </c>
      <c r="C308" t="s">
        <v>411</v>
      </c>
      <c r="D308" s="2">
        <v>45713</v>
      </c>
      <c r="E308">
        <v>65</v>
      </c>
      <c r="F308" t="str" cm="1">
        <f t="array" ref="F308">_xlfn.IFS( Table1[[#This Row],[Age]]&lt;18, "&lt;18", Table1[[#This Row],[Age]]&lt;= 29, "18-29", Table1[[#This Row],[Age]]&lt;= 44, "30-44",  Table1[[#This Row],[Age]]&lt;=59, "45-59", TRUE, "60+")</f>
        <v>60+</v>
      </c>
      <c r="G308" t="s">
        <v>110</v>
      </c>
      <c r="H308" t="s">
        <v>20</v>
      </c>
      <c r="I308" t="s">
        <v>21</v>
      </c>
      <c r="J308">
        <v>4</v>
      </c>
      <c r="K308" t="s">
        <v>114</v>
      </c>
      <c r="L308" t="str" cm="1">
        <f t="array" ref="L308">_xlfn.IFS(Table1[[#This Row],[Customer Tenure in months]]&lt;=6, "0-6 months", Table1[[#This Row],[Customer Tenure in months]] &lt;=12, "7-12 months", Table1[[#This Row],[Customer Tenure in months]] &lt;=24, "1-2 years", TRUE, "2+ years")</f>
        <v>2+ years</v>
      </c>
      <c r="M308">
        <v>37</v>
      </c>
      <c r="N308" t="s">
        <v>23</v>
      </c>
      <c r="O308" s="1">
        <v>35000</v>
      </c>
      <c r="P308">
        <v>6</v>
      </c>
      <c r="Q308" s="1">
        <v>210000</v>
      </c>
      <c r="R308">
        <v>58.12</v>
      </c>
      <c r="S308" t="s">
        <v>284</v>
      </c>
      <c r="T308" t="s">
        <v>24</v>
      </c>
    </row>
    <row r="309" spans="1:20" x14ac:dyDescent="0.35">
      <c r="A309" s="22" t="s">
        <v>410</v>
      </c>
      <c r="B309" cm="1">
        <f t="array" ref="B309">IF(MATCH(Table1[[#This Row],[Customer ID]], Table1[Customer ID], 0) = ROW() - ROW(Table1[#Headers]), 1, 0)</f>
        <v>0</v>
      </c>
      <c r="C309" t="s">
        <v>411</v>
      </c>
      <c r="D309" s="2">
        <v>45713</v>
      </c>
      <c r="E309">
        <v>65</v>
      </c>
      <c r="F309" t="str" cm="1">
        <f t="array" ref="F309">_xlfn.IFS( Table1[[#This Row],[Age]]&lt;18, "&lt;18", Table1[[#This Row],[Age]]&lt;= 29, "18-29", Table1[[#This Row],[Age]]&lt;= 44, "30-44",  Table1[[#This Row],[Age]]&lt;=59, "45-59", TRUE, "60+")</f>
        <v>60+</v>
      </c>
      <c r="G309" t="s">
        <v>110</v>
      </c>
      <c r="H309" t="s">
        <v>36</v>
      </c>
      <c r="I309" t="s">
        <v>21</v>
      </c>
      <c r="J309">
        <v>4</v>
      </c>
      <c r="K309" t="s">
        <v>114</v>
      </c>
      <c r="L309" t="str" cm="1">
        <f t="array" ref="L309">_xlfn.IFS(Table1[[#This Row],[Customer Tenure in months]]&lt;=6, "0-6 months", Table1[[#This Row],[Customer Tenure in months]] &lt;=12, "7-12 months", Table1[[#This Row],[Customer Tenure in months]] &lt;=24, "1-2 years", TRUE, "2+ years")</f>
        <v>2+ years</v>
      </c>
      <c r="M309">
        <v>37</v>
      </c>
      <c r="N309" t="s">
        <v>115</v>
      </c>
      <c r="O309" s="1">
        <v>25000</v>
      </c>
      <c r="P309">
        <v>20</v>
      </c>
      <c r="Q309" s="1">
        <v>500000</v>
      </c>
      <c r="R309">
        <v>168.48</v>
      </c>
      <c r="S309" t="s">
        <v>284</v>
      </c>
      <c r="T309" t="s">
        <v>24</v>
      </c>
    </row>
    <row r="310" spans="1:20" x14ac:dyDescent="0.35">
      <c r="A310" s="22" t="s">
        <v>410</v>
      </c>
      <c r="B310" cm="1">
        <f t="array" ref="B310">IF(MATCH(Table1[[#This Row],[Customer ID]], Table1[Customer ID], 0) = ROW() - ROW(Table1[#Headers]), 1, 0)</f>
        <v>0</v>
      </c>
      <c r="C310" t="s">
        <v>411</v>
      </c>
      <c r="D310" s="2">
        <v>45713</v>
      </c>
      <c r="E310">
        <v>65</v>
      </c>
      <c r="F310" t="str" cm="1">
        <f t="array" ref="F310">_xlfn.IFS( Table1[[#This Row],[Age]]&lt;18, "&lt;18", Table1[[#This Row],[Age]]&lt;= 29, "18-29", Table1[[#This Row],[Age]]&lt;= 44, "30-44",  Table1[[#This Row],[Age]]&lt;=59, "45-59", TRUE, "60+")</f>
        <v>60+</v>
      </c>
      <c r="G310" t="s">
        <v>110</v>
      </c>
      <c r="H310" t="s">
        <v>41</v>
      </c>
      <c r="I310" t="s">
        <v>21</v>
      </c>
      <c r="J310">
        <v>4</v>
      </c>
      <c r="K310" t="s">
        <v>114</v>
      </c>
      <c r="L310" t="str" cm="1">
        <f t="array" ref="L310">_xlfn.IFS(Table1[[#This Row],[Customer Tenure in months]]&lt;=6, "0-6 months", Table1[[#This Row],[Customer Tenure in months]] &lt;=12, "7-12 months", Table1[[#This Row],[Customer Tenure in months]] &lt;=24, "1-2 years", TRUE, "2+ years")</f>
        <v>2+ years</v>
      </c>
      <c r="M310">
        <v>37</v>
      </c>
      <c r="N310" t="s">
        <v>42</v>
      </c>
      <c r="O310" s="1">
        <v>9000</v>
      </c>
      <c r="P310">
        <v>1</v>
      </c>
      <c r="Q310" s="1">
        <v>9000</v>
      </c>
      <c r="R310">
        <v>173.17</v>
      </c>
      <c r="S310" t="s">
        <v>284</v>
      </c>
      <c r="T310" t="s">
        <v>24</v>
      </c>
    </row>
    <row r="311" spans="1:20" x14ac:dyDescent="0.35">
      <c r="A311" s="22" t="s">
        <v>412</v>
      </c>
      <c r="B311" cm="1">
        <f t="array" ref="B311">IF(MATCH(Table1[[#This Row],[Customer ID]], Table1[Customer ID], 0) = ROW() - ROW(Table1[#Headers]), 1, 0)</f>
        <v>1</v>
      </c>
      <c r="C311" t="s">
        <v>413</v>
      </c>
      <c r="D311" s="2">
        <v>45713</v>
      </c>
      <c r="E311">
        <v>33</v>
      </c>
      <c r="F311" t="str" cm="1">
        <f t="array" ref="F311">_xlfn.IFS( Table1[[#This Row],[Age]]&lt;18, "&lt;18", Table1[[#This Row],[Age]]&lt;= 29, "18-29", Table1[[#This Row],[Age]]&lt;= 44, "30-44",  Table1[[#This Row],[Age]]&lt;=59, "45-59", TRUE, "60+")</f>
        <v>30-44</v>
      </c>
      <c r="G311" t="s">
        <v>121</v>
      </c>
      <c r="H311" t="s">
        <v>29</v>
      </c>
      <c r="I311" t="s">
        <v>30</v>
      </c>
      <c r="J311">
        <v>4</v>
      </c>
      <c r="K311" t="s">
        <v>114</v>
      </c>
      <c r="L311" t="str" cm="1">
        <f t="array" ref="L311">_xlfn.IFS(Table1[[#This Row],[Customer Tenure in months]]&lt;=6, "0-6 months", Table1[[#This Row],[Customer Tenure in months]] &lt;=12, "7-12 months", Table1[[#This Row],[Customer Tenure in months]] &lt;=24, "1-2 years", TRUE, "2+ years")</f>
        <v>2+ years</v>
      </c>
      <c r="M311">
        <v>36</v>
      </c>
      <c r="N311" t="s">
        <v>164</v>
      </c>
      <c r="O311" s="1">
        <v>600</v>
      </c>
      <c r="P311">
        <v>1</v>
      </c>
      <c r="Q311" s="1">
        <v>600</v>
      </c>
      <c r="R311">
        <v>16.989999999999998</v>
      </c>
      <c r="S311" t="s">
        <v>1091</v>
      </c>
      <c r="T311" t="s">
        <v>39</v>
      </c>
    </row>
    <row r="312" spans="1:20" x14ac:dyDescent="0.35">
      <c r="A312" s="22" t="s">
        <v>412</v>
      </c>
      <c r="B312" cm="1">
        <f t="array" ref="B312">IF(MATCH(Table1[[#This Row],[Customer ID]], Table1[Customer ID], 0) = ROW() - ROW(Table1[#Headers]), 1, 0)</f>
        <v>0</v>
      </c>
      <c r="C312" t="s">
        <v>413</v>
      </c>
      <c r="D312" s="2">
        <v>45713</v>
      </c>
      <c r="E312">
        <v>33</v>
      </c>
      <c r="F312" t="str" cm="1">
        <f t="array" ref="F312">_xlfn.IFS( Table1[[#This Row],[Age]]&lt;18, "&lt;18", Table1[[#This Row],[Age]]&lt;= 29, "18-29", Table1[[#This Row],[Age]]&lt;= 44, "30-44",  Table1[[#This Row],[Age]]&lt;=59, "45-59", TRUE, "60+")</f>
        <v>30-44</v>
      </c>
      <c r="G312" t="s">
        <v>121</v>
      </c>
      <c r="H312" t="s">
        <v>20</v>
      </c>
      <c r="I312" t="s">
        <v>30</v>
      </c>
      <c r="J312">
        <v>4</v>
      </c>
      <c r="K312" t="s">
        <v>114</v>
      </c>
      <c r="L312" t="str" cm="1">
        <f t="array" ref="L312">_xlfn.IFS(Table1[[#This Row],[Customer Tenure in months]]&lt;=6, "0-6 months", Table1[[#This Row],[Customer Tenure in months]] &lt;=12, "7-12 months", Table1[[#This Row],[Customer Tenure in months]] &lt;=24, "1-2 years", TRUE, "2+ years")</f>
        <v>2+ years</v>
      </c>
      <c r="M312">
        <v>36</v>
      </c>
      <c r="N312" t="s">
        <v>46</v>
      </c>
      <c r="O312" s="1">
        <v>4500</v>
      </c>
      <c r="P312">
        <v>9</v>
      </c>
      <c r="Q312" s="1">
        <v>40500</v>
      </c>
      <c r="R312">
        <v>58.77</v>
      </c>
      <c r="S312" t="s">
        <v>1091</v>
      </c>
      <c r="T312" t="s">
        <v>39</v>
      </c>
    </row>
    <row r="313" spans="1:20" x14ac:dyDescent="0.35">
      <c r="A313" s="22" t="s">
        <v>414</v>
      </c>
      <c r="B313" cm="1">
        <f t="array" ref="B313">IF(MATCH(Table1[[#This Row],[Customer ID]], Table1[Customer ID], 0) = ROW() - ROW(Table1[#Headers]), 1, 0)</f>
        <v>1</v>
      </c>
      <c r="C313" t="s">
        <v>415</v>
      </c>
      <c r="D313" s="2">
        <v>45713</v>
      </c>
      <c r="E313">
        <v>52</v>
      </c>
      <c r="F313" t="str" cm="1">
        <f t="array" ref="F313">_xlfn.IFS( Table1[[#This Row],[Age]]&lt;18, "&lt;18", Table1[[#This Row],[Age]]&lt;= 29, "18-29", Table1[[#This Row],[Age]]&lt;= 44, "30-44",  Table1[[#This Row],[Age]]&lt;=59, "45-59", TRUE, "60+")</f>
        <v>45-59</v>
      </c>
      <c r="G313" t="s">
        <v>28</v>
      </c>
      <c r="H313" t="s">
        <v>41</v>
      </c>
      <c r="I313" t="s">
        <v>30</v>
      </c>
      <c r="J313">
        <v>5</v>
      </c>
      <c r="K313" t="s">
        <v>55</v>
      </c>
      <c r="L313" t="str" cm="1">
        <f t="array" ref="L313">_xlfn.IFS(Table1[[#This Row],[Customer Tenure in months]]&lt;=6, "0-6 months", Table1[[#This Row],[Customer Tenure in months]] &lt;=12, "7-12 months", Table1[[#This Row],[Customer Tenure in months]] &lt;=24, "1-2 years", TRUE, "2+ years")</f>
        <v>2+ years</v>
      </c>
      <c r="M313">
        <v>37</v>
      </c>
      <c r="N313" t="s">
        <v>62</v>
      </c>
      <c r="O313" s="1">
        <v>24000</v>
      </c>
      <c r="P313">
        <v>2</v>
      </c>
      <c r="Q313" s="1">
        <v>48000</v>
      </c>
      <c r="R313">
        <v>164.61</v>
      </c>
      <c r="S313" t="s">
        <v>1091</v>
      </c>
      <c r="T313" t="s">
        <v>39</v>
      </c>
    </row>
    <row r="314" spans="1:20" x14ac:dyDescent="0.35">
      <c r="A314" s="22" t="s">
        <v>414</v>
      </c>
      <c r="B314" cm="1">
        <f t="array" ref="B314">IF(MATCH(Table1[[#This Row],[Customer ID]], Table1[Customer ID], 0) = ROW() - ROW(Table1[#Headers]), 1, 0)</f>
        <v>0</v>
      </c>
      <c r="C314" t="s">
        <v>415</v>
      </c>
      <c r="D314" s="2">
        <v>45713</v>
      </c>
      <c r="E314">
        <v>52</v>
      </c>
      <c r="F314" t="str" cm="1">
        <f t="array" ref="F314">_xlfn.IFS( Table1[[#This Row],[Age]]&lt;18, "&lt;18", Table1[[#This Row],[Age]]&lt;= 29, "18-29", Table1[[#This Row],[Age]]&lt;= 44, "30-44",  Table1[[#This Row],[Age]]&lt;=59, "45-59", TRUE, "60+")</f>
        <v>45-59</v>
      </c>
      <c r="G314" t="s">
        <v>28</v>
      </c>
      <c r="H314" t="s">
        <v>20</v>
      </c>
      <c r="I314" t="s">
        <v>30</v>
      </c>
      <c r="J314">
        <v>5</v>
      </c>
      <c r="K314" t="s">
        <v>55</v>
      </c>
      <c r="L314" t="str" cm="1">
        <f t="array" ref="L314">_xlfn.IFS(Table1[[#This Row],[Customer Tenure in months]]&lt;=6, "0-6 months", Table1[[#This Row],[Customer Tenure in months]] &lt;=12, "7-12 months", Table1[[#This Row],[Customer Tenure in months]] &lt;=24, "1-2 years", TRUE, "2+ years")</f>
        <v>2+ years</v>
      </c>
      <c r="M314">
        <v>37</v>
      </c>
      <c r="N314" t="s">
        <v>23</v>
      </c>
      <c r="O314" s="1">
        <v>35000</v>
      </c>
      <c r="P314">
        <v>14</v>
      </c>
      <c r="Q314" s="1">
        <v>490000</v>
      </c>
      <c r="R314">
        <v>109.5</v>
      </c>
      <c r="S314" t="s">
        <v>1091</v>
      </c>
      <c r="T314" t="s">
        <v>39</v>
      </c>
    </row>
    <row r="315" spans="1:20" x14ac:dyDescent="0.35">
      <c r="A315" s="22" t="s">
        <v>414</v>
      </c>
      <c r="B315" cm="1">
        <f t="array" ref="B315">IF(MATCH(Table1[[#This Row],[Customer ID]], Table1[Customer ID], 0) = ROW() - ROW(Table1[#Headers]), 1, 0)</f>
        <v>0</v>
      </c>
      <c r="C315" t="s">
        <v>415</v>
      </c>
      <c r="D315" s="2">
        <v>45713</v>
      </c>
      <c r="E315">
        <v>52</v>
      </c>
      <c r="F315" t="str" cm="1">
        <f t="array" ref="F315">_xlfn.IFS( Table1[[#This Row],[Age]]&lt;18, "&lt;18", Table1[[#This Row],[Age]]&lt;= 29, "18-29", Table1[[#This Row],[Age]]&lt;= 44, "30-44",  Table1[[#This Row],[Age]]&lt;=59, "45-59", TRUE, "60+")</f>
        <v>45-59</v>
      </c>
      <c r="G315" t="s">
        <v>28</v>
      </c>
      <c r="H315" t="s">
        <v>36</v>
      </c>
      <c r="I315" t="s">
        <v>30</v>
      </c>
      <c r="J315">
        <v>5</v>
      </c>
      <c r="K315" t="s">
        <v>55</v>
      </c>
      <c r="L315" t="str" cm="1">
        <f t="array" ref="L315">_xlfn.IFS(Table1[[#This Row],[Customer Tenure in months]]&lt;=6, "0-6 months", Table1[[#This Row],[Customer Tenure in months]] &lt;=12, "7-12 months", Table1[[#This Row],[Customer Tenure in months]] &lt;=24, "1-2 years", TRUE, "2+ years")</f>
        <v>2+ years</v>
      </c>
      <c r="M315">
        <v>37</v>
      </c>
      <c r="N315" t="s">
        <v>38</v>
      </c>
      <c r="O315" s="1">
        <v>20000</v>
      </c>
      <c r="P315">
        <v>8</v>
      </c>
      <c r="Q315" s="1">
        <v>160000</v>
      </c>
      <c r="R315">
        <v>147.33000000000001</v>
      </c>
      <c r="S315" t="s">
        <v>1091</v>
      </c>
      <c r="T315" t="s">
        <v>39</v>
      </c>
    </row>
    <row r="316" spans="1:20" x14ac:dyDescent="0.35">
      <c r="A316" s="22" t="s">
        <v>416</v>
      </c>
      <c r="B316" cm="1">
        <f t="array" ref="B316">IF(MATCH(Table1[[#This Row],[Customer ID]], Table1[Customer ID], 0) = ROW() - ROW(Table1[#Headers]), 1, 0)</f>
        <v>1</v>
      </c>
      <c r="C316" t="s">
        <v>417</v>
      </c>
      <c r="D316" s="2">
        <v>45682</v>
      </c>
      <c r="E316">
        <v>20</v>
      </c>
      <c r="F316" t="str" cm="1">
        <f t="array" ref="F316">_xlfn.IFS( Table1[[#This Row],[Age]]&lt;18, "&lt;18", Table1[[#This Row],[Age]]&lt;= 29, "18-29", Table1[[#This Row],[Age]]&lt;= 44, "30-44",  Table1[[#This Row],[Age]]&lt;=59, "45-59", TRUE, "60+")</f>
        <v>18-29</v>
      </c>
      <c r="G316" t="s">
        <v>198</v>
      </c>
      <c r="H316" t="s">
        <v>29</v>
      </c>
      <c r="I316" t="s">
        <v>30</v>
      </c>
      <c r="J316">
        <v>4</v>
      </c>
      <c r="K316" t="s">
        <v>114</v>
      </c>
      <c r="L316" t="str" cm="1">
        <f t="array" ref="L316">_xlfn.IFS(Table1[[#This Row],[Customer Tenure in months]]&lt;=6, "0-6 months", Table1[[#This Row],[Customer Tenure in months]] &lt;=12, "7-12 months", Table1[[#This Row],[Customer Tenure in months]] &lt;=24, "1-2 years", TRUE, "2+ years")</f>
        <v>1-2 years</v>
      </c>
      <c r="M316">
        <v>23</v>
      </c>
      <c r="N316" t="s">
        <v>46</v>
      </c>
      <c r="O316" s="1">
        <v>4500</v>
      </c>
      <c r="P316">
        <v>19</v>
      </c>
      <c r="Q316" s="1">
        <v>85500</v>
      </c>
      <c r="R316">
        <v>162.24</v>
      </c>
      <c r="S316" t="s">
        <v>1091</v>
      </c>
      <c r="T316" t="s">
        <v>39</v>
      </c>
    </row>
    <row r="317" spans="1:20" x14ac:dyDescent="0.35">
      <c r="A317" s="22" t="s">
        <v>418</v>
      </c>
      <c r="B317" cm="1">
        <f t="array" ref="B317">IF(MATCH(Table1[[#This Row],[Customer ID]], Table1[Customer ID], 0) = ROW() - ROW(Table1[#Headers]), 1, 0)</f>
        <v>1</v>
      </c>
      <c r="C317" t="s">
        <v>419</v>
      </c>
      <c r="D317" s="2">
        <v>45713</v>
      </c>
      <c r="E317">
        <v>70</v>
      </c>
      <c r="F317" t="str" cm="1">
        <f t="array" ref="F317">_xlfn.IFS( Table1[[#This Row],[Age]]&lt;18, "&lt;18", Table1[[#This Row],[Age]]&lt;= 29, "18-29", Table1[[#This Row],[Age]]&lt;= 44, "30-44",  Table1[[#This Row],[Age]]&lt;=59, "45-59", TRUE, "60+")</f>
        <v>60+</v>
      </c>
      <c r="G317" t="s">
        <v>28</v>
      </c>
      <c r="H317" t="s">
        <v>36</v>
      </c>
      <c r="I317" t="s">
        <v>21</v>
      </c>
      <c r="J317">
        <v>2</v>
      </c>
      <c r="K317" t="s">
        <v>22</v>
      </c>
      <c r="L317" t="str" cm="1">
        <f t="array" ref="L317">_xlfn.IFS(Table1[[#This Row],[Customer Tenure in months]]&lt;=6, "0-6 months", Table1[[#This Row],[Customer Tenure in months]] &lt;=12, "7-12 months", Table1[[#This Row],[Customer Tenure in months]] &lt;=24, "1-2 years", TRUE, "2+ years")</f>
        <v>2+ years</v>
      </c>
      <c r="M317">
        <v>51</v>
      </c>
      <c r="N317" t="s">
        <v>65</v>
      </c>
      <c r="O317" s="1">
        <v>30000</v>
      </c>
      <c r="P317">
        <v>10</v>
      </c>
      <c r="Q317" s="1">
        <v>300000</v>
      </c>
      <c r="R317">
        <v>65.069999999999993</v>
      </c>
      <c r="S317" t="s">
        <v>1091</v>
      </c>
      <c r="T317" t="s">
        <v>39</v>
      </c>
    </row>
    <row r="318" spans="1:20" x14ac:dyDescent="0.35">
      <c r="A318" s="22" t="s">
        <v>418</v>
      </c>
      <c r="B318" cm="1">
        <f t="array" ref="B318">IF(MATCH(Table1[[#This Row],[Customer ID]], Table1[Customer ID], 0) = ROW() - ROW(Table1[#Headers]), 1, 0)</f>
        <v>0</v>
      </c>
      <c r="C318" t="s">
        <v>419</v>
      </c>
      <c r="D318" s="2">
        <v>45713</v>
      </c>
      <c r="E318">
        <v>70</v>
      </c>
      <c r="F318" t="str" cm="1">
        <f t="array" ref="F318">_xlfn.IFS( Table1[[#This Row],[Age]]&lt;18, "&lt;18", Table1[[#This Row],[Age]]&lt;= 29, "18-29", Table1[[#This Row],[Age]]&lt;= 44, "30-44",  Table1[[#This Row],[Age]]&lt;=59, "45-59", TRUE, "60+")</f>
        <v>60+</v>
      </c>
      <c r="G318" t="s">
        <v>28</v>
      </c>
      <c r="H318" t="s">
        <v>29</v>
      </c>
      <c r="I318" t="s">
        <v>21</v>
      </c>
      <c r="J318">
        <v>2</v>
      </c>
      <c r="K318" t="s">
        <v>22</v>
      </c>
      <c r="L318" t="str" cm="1">
        <f t="array" ref="L318">_xlfn.IFS(Table1[[#This Row],[Customer Tenure in months]]&lt;=6, "0-6 months", Table1[[#This Row],[Customer Tenure in months]] &lt;=12, "7-12 months", Table1[[#This Row],[Customer Tenure in months]] &lt;=24, "1-2 years", TRUE, "2+ years")</f>
        <v>2+ years</v>
      </c>
      <c r="M318">
        <v>51</v>
      </c>
      <c r="N318" t="s">
        <v>40</v>
      </c>
      <c r="O318" s="1">
        <v>500</v>
      </c>
      <c r="P318">
        <v>17</v>
      </c>
      <c r="Q318" s="1">
        <v>8500</v>
      </c>
      <c r="R318">
        <v>114.76</v>
      </c>
      <c r="S318" t="s">
        <v>1091</v>
      </c>
      <c r="T318" t="s">
        <v>39</v>
      </c>
    </row>
    <row r="319" spans="1:20" x14ac:dyDescent="0.35">
      <c r="A319" s="22" t="s">
        <v>418</v>
      </c>
      <c r="B319" cm="1">
        <f t="array" ref="B319">IF(MATCH(Table1[[#This Row],[Customer ID]], Table1[Customer ID], 0) = ROW() - ROW(Table1[#Headers]), 1, 0)</f>
        <v>0</v>
      </c>
      <c r="C319" t="s">
        <v>419</v>
      </c>
      <c r="D319" s="2">
        <v>45713</v>
      </c>
      <c r="E319">
        <v>70</v>
      </c>
      <c r="F319" t="str" cm="1">
        <f t="array" ref="F319">_xlfn.IFS( Table1[[#This Row],[Age]]&lt;18, "&lt;18", Table1[[#This Row],[Age]]&lt;= 29, "18-29", Table1[[#This Row],[Age]]&lt;= 44, "30-44",  Table1[[#This Row],[Age]]&lt;=59, "45-59", TRUE, "60+")</f>
        <v>60+</v>
      </c>
      <c r="G319" t="s">
        <v>28</v>
      </c>
      <c r="H319" t="s">
        <v>20</v>
      </c>
      <c r="I319" t="s">
        <v>21</v>
      </c>
      <c r="J319">
        <v>2</v>
      </c>
      <c r="K319" t="s">
        <v>22</v>
      </c>
      <c r="L319" t="str" cm="1">
        <f t="array" ref="L319">_xlfn.IFS(Table1[[#This Row],[Customer Tenure in months]]&lt;=6, "0-6 months", Table1[[#This Row],[Customer Tenure in months]] &lt;=12, "7-12 months", Table1[[#This Row],[Customer Tenure in months]] &lt;=24, "1-2 years", TRUE, "2+ years")</f>
        <v>2+ years</v>
      </c>
      <c r="M319">
        <v>51</v>
      </c>
      <c r="N319" t="s">
        <v>58</v>
      </c>
      <c r="O319" s="1">
        <v>16000</v>
      </c>
      <c r="P319">
        <v>14</v>
      </c>
      <c r="Q319" s="1">
        <v>224000</v>
      </c>
      <c r="R319">
        <v>27.55</v>
      </c>
      <c r="S319" t="s">
        <v>1091</v>
      </c>
      <c r="T319" t="s">
        <v>39</v>
      </c>
    </row>
    <row r="320" spans="1:20" x14ac:dyDescent="0.35">
      <c r="A320" s="22" t="s">
        <v>420</v>
      </c>
      <c r="B320" cm="1">
        <f t="array" ref="B320">IF(MATCH(Table1[[#This Row],[Customer ID]], Table1[Customer ID], 0) = ROW() - ROW(Table1[#Headers]), 1, 0)</f>
        <v>1</v>
      </c>
      <c r="C320" t="s">
        <v>421</v>
      </c>
      <c r="D320" s="2">
        <v>45713</v>
      </c>
      <c r="E320">
        <v>51</v>
      </c>
      <c r="F320" t="str" cm="1">
        <f t="array" ref="F320">_xlfn.IFS( Table1[[#This Row],[Age]]&lt;18, "&lt;18", Table1[[#This Row],[Age]]&lt;= 29, "18-29", Table1[[#This Row],[Age]]&lt;= 44, "30-44",  Table1[[#This Row],[Age]]&lt;=59, "45-59", TRUE, "60+")</f>
        <v>45-59</v>
      </c>
      <c r="G320" t="s">
        <v>140</v>
      </c>
      <c r="H320" t="s">
        <v>29</v>
      </c>
      <c r="I320" t="s">
        <v>21</v>
      </c>
      <c r="J320">
        <v>3</v>
      </c>
      <c r="K320" t="s">
        <v>50</v>
      </c>
      <c r="L320" t="str" cm="1">
        <f t="array" ref="L320">_xlfn.IFS(Table1[[#This Row],[Customer Tenure in months]]&lt;=6, "0-6 months", Table1[[#This Row],[Customer Tenure in months]] &lt;=12, "7-12 months", Table1[[#This Row],[Customer Tenure in months]] &lt;=24, "1-2 years", TRUE, "2+ years")</f>
        <v>1-2 years</v>
      </c>
      <c r="M320">
        <v>16</v>
      </c>
      <c r="N320" t="s">
        <v>40</v>
      </c>
      <c r="O320" s="1">
        <v>500</v>
      </c>
      <c r="P320">
        <v>13</v>
      </c>
      <c r="Q320" s="1">
        <v>6500</v>
      </c>
      <c r="R320">
        <v>125.75</v>
      </c>
      <c r="S320" t="s">
        <v>1091</v>
      </c>
      <c r="T320" t="s">
        <v>39</v>
      </c>
    </row>
    <row r="321" spans="1:20" x14ac:dyDescent="0.35">
      <c r="A321" s="22" t="s">
        <v>420</v>
      </c>
      <c r="B321" cm="1">
        <f t="array" ref="B321">IF(MATCH(Table1[[#This Row],[Customer ID]], Table1[Customer ID], 0) = ROW() - ROW(Table1[#Headers]), 1, 0)</f>
        <v>0</v>
      </c>
      <c r="C321" t="s">
        <v>421</v>
      </c>
      <c r="D321" s="2">
        <v>45713</v>
      </c>
      <c r="E321">
        <v>51</v>
      </c>
      <c r="F321" t="str" cm="1">
        <f t="array" ref="F321">_xlfn.IFS( Table1[[#This Row],[Age]]&lt;18, "&lt;18", Table1[[#This Row],[Age]]&lt;= 29, "18-29", Table1[[#This Row],[Age]]&lt;= 44, "30-44",  Table1[[#This Row],[Age]]&lt;=59, "45-59", TRUE, "60+")</f>
        <v>45-59</v>
      </c>
      <c r="G321" t="s">
        <v>140</v>
      </c>
      <c r="H321" t="s">
        <v>20</v>
      </c>
      <c r="I321" t="s">
        <v>21</v>
      </c>
      <c r="J321">
        <v>3</v>
      </c>
      <c r="K321" t="s">
        <v>50</v>
      </c>
      <c r="L321" t="str" cm="1">
        <f t="array" ref="L321">_xlfn.IFS(Table1[[#This Row],[Customer Tenure in months]]&lt;=6, "0-6 months", Table1[[#This Row],[Customer Tenure in months]] &lt;=12, "7-12 months", Table1[[#This Row],[Customer Tenure in months]] &lt;=24, "1-2 years", TRUE, "2+ years")</f>
        <v>1-2 years</v>
      </c>
      <c r="M321">
        <v>16</v>
      </c>
      <c r="N321" t="s">
        <v>23</v>
      </c>
      <c r="O321" s="1">
        <v>35000</v>
      </c>
      <c r="P321">
        <v>3</v>
      </c>
      <c r="Q321" s="1">
        <v>105000</v>
      </c>
      <c r="R321">
        <v>15.57</v>
      </c>
      <c r="S321" t="s">
        <v>1091</v>
      </c>
      <c r="T321" t="s">
        <v>39</v>
      </c>
    </row>
    <row r="322" spans="1:20" x14ac:dyDescent="0.35">
      <c r="A322" s="22" t="s">
        <v>420</v>
      </c>
      <c r="B322" cm="1">
        <f t="array" ref="B322">IF(MATCH(Table1[[#This Row],[Customer ID]], Table1[Customer ID], 0) = ROW() - ROW(Table1[#Headers]), 1, 0)</f>
        <v>0</v>
      </c>
      <c r="C322" t="s">
        <v>421</v>
      </c>
      <c r="D322" s="2">
        <v>45713</v>
      </c>
      <c r="E322">
        <v>51</v>
      </c>
      <c r="F322" t="str" cm="1">
        <f t="array" ref="F322">_xlfn.IFS( Table1[[#This Row],[Age]]&lt;18, "&lt;18", Table1[[#This Row],[Age]]&lt;= 29, "18-29", Table1[[#This Row],[Age]]&lt;= 44, "30-44",  Table1[[#This Row],[Age]]&lt;=59, "45-59", TRUE, "60+")</f>
        <v>45-59</v>
      </c>
      <c r="G322" t="s">
        <v>140</v>
      </c>
      <c r="H322" t="s">
        <v>41</v>
      </c>
      <c r="I322" t="s">
        <v>21</v>
      </c>
      <c r="J322">
        <v>3</v>
      </c>
      <c r="K322" t="s">
        <v>50</v>
      </c>
      <c r="L322" t="str" cm="1">
        <f t="array" ref="L322">_xlfn.IFS(Table1[[#This Row],[Customer Tenure in months]]&lt;=6, "0-6 months", Table1[[#This Row],[Customer Tenure in months]] &lt;=12, "7-12 months", Table1[[#This Row],[Customer Tenure in months]] &lt;=24, "1-2 years", TRUE, "2+ years")</f>
        <v>1-2 years</v>
      </c>
      <c r="M322">
        <v>16</v>
      </c>
      <c r="N322" t="s">
        <v>71</v>
      </c>
      <c r="O322" s="1">
        <v>14500</v>
      </c>
      <c r="P322">
        <v>9</v>
      </c>
      <c r="Q322" s="1">
        <v>130500</v>
      </c>
      <c r="R322">
        <v>103.36</v>
      </c>
      <c r="S322" t="s">
        <v>1091</v>
      </c>
      <c r="T322" t="s">
        <v>39</v>
      </c>
    </row>
    <row r="323" spans="1:20" x14ac:dyDescent="0.35">
      <c r="A323" s="22" t="s">
        <v>422</v>
      </c>
      <c r="B323" cm="1">
        <f t="array" ref="B323">IF(MATCH(Table1[[#This Row],[Customer ID]], Table1[Customer ID], 0) = ROW() - ROW(Table1[#Headers]), 1, 0)</f>
        <v>1</v>
      </c>
      <c r="C323" t="s">
        <v>423</v>
      </c>
      <c r="D323" s="2">
        <v>45682</v>
      </c>
      <c r="E323">
        <v>74</v>
      </c>
      <c r="F323" t="str" cm="1">
        <f t="array" ref="F323">_xlfn.IFS( Table1[[#This Row],[Age]]&lt;18, "&lt;18", Table1[[#This Row],[Age]]&lt;= 29, "18-29", Table1[[#This Row],[Age]]&lt;= 44, "30-44",  Table1[[#This Row],[Age]]&lt;=59, "45-59", TRUE, "60+")</f>
        <v>60+</v>
      </c>
      <c r="G323" t="s">
        <v>90</v>
      </c>
      <c r="H323" t="s">
        <v>36</v>
      </c>
      <c r="I323" t="s">
        <v>30</v>
      </c>
      <c r="J323">
        <v>1</v>
      </c>
      <c r="K323" t="s">
        <v>37</v>
      </c>
      <c r="L323" t="str" cm="1">
        <f t="array" ref="L323">_xlfn.IFS(Table1[[#This Row],[Customer Tenure in months]]&lt;=6, "0-6 months", Table1[[#This Row],[Customer Tenure in months]] &lt;=12, "7-12 months", Table1[[#This Row],[Customer Tenure in months]] &lt;=24, "1-2 years", TRUE, "2+ years")</f>
        <v>2+ years</v>
      </c>
      <c r="M323">
        <v>38</v>
      </c>
      <c r="N323" t="s">
        <v>105</v>
      </c>
      <c r="O323" s="1">
        <v>75000</v>
      </c>
      <c r="P323">
        <v>14</v>
      </c>
      <c r="Q323" s="1">
        <v>1050000</v>
      </c>
      <c r="R323">
        <v>43.96</v>
      </c>
      <c r="S323" t="s">
        <v>1091</v>
      </c>
      <c r="T323" t="s">
        <v>39</v>
      </c>
    </row>
    <row r="324" spans="1:20" x14ac:dyDescent="0.35">
      <c r="A324" s="22" t="s">
        <v>422</v>
      </c>
      <c r="B324" cm="1">
        <f t="array" ref="B324">IF(MATCH(Table1[[#This Row],[Customer ID]], Table1[Customer ID], 0) = ROW() - ROW(Table1[#Headers]), 1, 0)</f>
        <v>0</v>
      </c>
      <c r="C324" t="s">
        <v>423</v>
      </c>
      <c r="D324" s="2">
        <v>45682</v>
      </c>
      <c r="E324">
        <v>74</v>
      </c>
      <c r="F324" t="str" cm="1">
        <f t="array" ref="F324">_xlfn.IFS( Table1[[#This Row],[Age]]&lt;18, "&lt;18", Table1[[#This Row],[Age]]&lt;= 29, "18-29", Table1[[#This Row],[Age]]&lt;= 44, "30-44",  Table1[[#This Row],[Age]]&lt;=59, "45-59", TRUE, "60+")</f>
        <v>60+</v>
      </c>
      <c r="G324" t="s">
        <v>90</v>
      </c>
      <c r="H324" t="s">
        <v>41</v>
      </c>
      <c r="I324" t="s">
        <v>30</v>
      </c>
      <c r="J324">
        <v>1</v>
      </c>
      <c r="K324" t="s">
        <v>37</v>
      </c>
      <c r="L324" t="str" cm="1">
        <f t="array" ref="L324">_xlfn.IFS(Table1[[#This Row],[Customer Tenure in months]]&lt;=6, "0-6 months", Table1[[#This Row],[Customer Tenure in months]] &lt;=12, "7-12 months", Table1[[#This Row],[Customer Tenure in months]] &lt;=24, "1-2 years", TRUE, "2+ years")</f>
        <v>2+ years</v>
      </c>
      <c r="M324">
        <v>38</v>
      </c>
      <c r="N324" t="s">
        <v>38</v>
      </c>
      <c r="O324" s="1">
        <v>20000</v>
      </c>
      <c r="P324">
        <v>11</v>
      </c>
      <c r="Q324" s="1">
        <v>220000</v>
      </c>
      <c r="R324">
        <v>99.2</v>
      </c>
      <c r="S324" t="s">
        <v>1091</v>
      </c>
      <c r="T324" t="s">
        <v>39</v>
      </c>
    </row>
    <row r="325" spans="1:20" x14ac:dyDescent="0.35">
      <c r="A325" s="22" t="s">
        <v>424</v>
      </c>
      <c r="B325" cm="1">
        <f t="array" ref="B325">IF(MATCH(Table1[[#This Row],[Customer ID]], Table1[Customer ID], 0) = ROW() - ROW(Table1[#Headers]), 1, 0)</f>
        <v>1</v>
      </c>
      <c r="C325" t="s">
        <v>425</v>
      </c>
      <c r="D325" s="2">
        <v>45741</v>
      </c>
      <c r="E325">
        <v>59</v>
      </c>
      <c r="F325" t="str" cm="1">
        <f t="array" ref="F325">_xlfn.IFS( Table1[[#This Row],[Age]]&lt;18, "&lt;18", Table1[[#This Row],[Age]]&lt;= 29, "18-29", Table1[[#This Row],[Age]]&lt;= 44, "30-44",  Table1[[#This Row],[Age]]&lt;=59, "45-59", TRUE, "60+")</f>
        <v>45-59</v>
      </c>
      <c r="G325" t="s">
        <v>140</v>
      </c>
      <c r="H325" t="s">
        <v>41</v>
      </c>
      <c r="I325" t="s">
        <v>30</v>
      </c>
      <c r="J325">
        <v>1</v>
      </c>
      <c r="K325" t="s">
        <v>37</v>
      </c>
      <c r="L325" t="str" cm="1">
        <f t="array" ref="L325">_xlfn.IFS(Table1[[#This Row],[Customer Tenure in months]]&lt;=6, "0-6 months", Table1[[#This Row],[Customer Tenure in months]] &lt;=12, "7-12 months", Table1[[#This Row],[Customer Tenure in months]] &lt;=24, "1-2 years", TRUE, "2+ years")</f>
        <v>2+ years</v>
      </c>
      <c r="M325">
        <v>51</v>
      </c>
      <c r="N325" t="s">
        <v>38</v>
      </c>
      <c r="O325" s="1">
        <v>20000</v>
      </c>
      <c r="P325">
        <v>1</v>
      </c>
      <c r="Q325" s="1">
        <v>20000</v>
      </c>
      <c r="R325">
        <v>88.54</v>
      </c>
      <c r="S325" t="s">
        <v>284</v>
      </c>
      <c r="T325" t="s">
        <v>24</v>
      </c>
    </row>
    <row r="326" spans="1:20" x14ac:dyDescent="0.35">
      <c r="A326" s="22" t="s">
        <v>424</v>
      </c>
      <c r="B326" cm="1">
        <f t="array" ref="B326">IF(MATCH(Table1[[#This Row],[Customer ID]], Table1[Customer ID], 0) = ROW() - ROW(Table1[#Headers]), 1, 0)</f>
        <v>0</v>
      </c>
      <c r="C326" t="s">
        <v>425</v>
      </c>
      <c r="D326" s="2">
        <v>45741</v>
      </c>
      <c r="E326">
        <v>59</v>
      </c>
      <c r="F326" t="str" cm="1">
        <f t="array" ref="F326">_xlfn.IFS( Table1[[#This Row],[Age]]&lt;18, "&lt;18", Table1[[#This Row],[Age]]&lt;= 29, "18-29", Table1[[#This Row],[Age]]&lt;= 44, "30-44",  Table1[[#This Row],[Age]]&lt;=59, "45-59", TRUE, "60+")</f>
        <v>45-59</v>
      </c>
      <c r="G326" t="s">
        <v>140</v>
      </c>
      <c r="H326" t="s">
        <v>29</v>
      </c>
      <c r="I326" t="s">
        <v>30</v>
      </c>
      <c r="J326">
        <v>1</v>
      </c>
      <c r="K326" t="s">
        <v>37</v>
      </c>
      <c r="L326" t="str" cm="1">
        <f t="array" ref="L326">_xlfn.IFS(Table1[[#This Row],[Customer Tenure in months]]&lt;=6, "0-6 months", Table1[[#This Row],[Customer Tenure in months]] &lt;=12, "7-12 months", Table1[[#This Row],[Customer Tenure in months]] &lt;=24, "1-2 years", TRUE, "2+ years")</f>
        <v>2+ years</v>
      </c>
      <c r="M326">
        <v>51</v>
      </c>
      <c r="N326" t="s">
        <v>87</v>
      </c>
      <c r="O326" s="1">
        <v>7500</v>
      </c>
      <c r="P326">
        <v>5</v>
      </c>
      <c r="Q326" s="1">
        <v>37500</v>
      </c>
      <c r="R326">
        <v>40.86</v>
      </c>
      <c r="S326" t="s">
        <v>284</v>
      </c>
      <c r="T326" t="s">
        <v>24</v>
      </c>
    </row>
    <row r="327" spans="1:20" x14ac:dyDescent="0.35">
      <c r="A327" s="22" t="s">
        <v>426</v>
      </c>
      <c r="B327" cm="1">
        <f t="array" ref="B327">IF(MATCH(Table1[[#This Row],[Customer ID]], Table1[Customer ID], 0) = ROW() - ROW(Table1[#Headers]), 1, 0)</f>
        <v>1</v>
      </c>
      <c r="C327" t="s">
        <v>427</v>
      </c>
      <c r="D327" s="2">
        <v>45741</v>
      </c>
      <c r="E327">
        <v>36</v>
      </c>
      <c r="F327" t="str" cm="1">
        <f t="array" ref="F327">_xlfn.IFS( Table1[[#This Row],[Age]]&lt;18, "&lt;18", Table1[[#This Row],[Age]]&lt;= 29, "18-29", Table1[[#This Row],[Age]]&lt;= 44, "30-44",  Table1[[#This Row],[Age]]&lt;=59, "45-59", TRUE, "60+")</f>
        <v>30-44</v>
      </c>
      <c r="G327" t="s">
        <v>192</v>
      </c>
      <c r="H327" t="s">
        <v>20</v>
      </c>
      <c r="I327" t="s">
        <v>21</v>
      </c>
      <c r="J327">
        <v>3</v>
      </c>
      <c r="K327" t="s">
        <v>50</v>
      </c>
      <c r="L327" t="str" cm="1">
        <f t="array" ref="L327">_xlfn.IFS(Table1[[#This Row],[Customer Tenure in months]]&lt;=6, "0-6 months", Table1[[#This Row],[Customer Tenure in months]] &lt;=12, "7-12 months", Table1[[#This Row],[Customer Tenure in months]] &lt;=24, "1-2 years", TRUE, "2+ years")</f>
        <v>2+ years</v>
      </c>
      <c r="M327">
        <v>42</v>
      </c>
      <c r="N327" t="s">
        <v>51</v>
      </c>
      <c r="O327" s="1">
        <v>9000</v>
      </c>
      <c r="P327">
        <v>8</v>
      </c>
      <c r="Q327" s="1">
        <v>72000</v>
      </c>
      <c r="R327">
        <v>145.33000000000001</v>
      </c>
      <c r="S327" t="s">
        <v>284</v>
      </c>
      <c r="T327" t="s">
        <v>24</v>
      </c>
    </row>
    <row r="328" spans="1:20" x14ac:dyDescent="0.35">
      <c r="A328" s="22" t="s">
        <v>426</v>
      </c>
      <c r="B328" cm="1">
        <f t="array" ref="B328">IF(MATCH(Table1[[#This Row],[Customer ID]], Table1[Customer ID], 0) = ROW() - ROW(Table1[#Headers]), 1, 0)</f>
        <v>0</v>
      </c>
      <c r="C328" t="s">
        <v>427</v>
      </c>
      <c r="D328" s="2">
        <v>45741</v>
      </c>
      <c r="E328">
        <v>36</v>
      </c>
      <c r="F328" t="str" cm="1">
        <f t="array" ref="F328">_xlfn.IFS( Table1[[#This Row],[Age]]&lt;18, "&lt;18", Table1[[#This Row],[Age]]&lt;= 29, "18-29", Table1[[#This Row],[Age]]&lt;= 44, "30-44",  Table1[[#This Row],[Age]]&lt;=59, "45-59", TRUE, "60+")</f>
        <v>30-44</v>
      </c>
      <c r="G328" t="s">
        <v>192</v>
      </c>
      <c r="H328" t="s">
        <v>41</v>
      </c>
      <c r="I328" t="s">
        <v>21</v>
      </c>
      <c r="J328">
        <v>3</v>
      </c>
      <c r="K328" t="s">
        <v>50</v>
      </c>
      <c r="L328" t="str" cm="1">
        <f t="array" ref="L328">_xlfn.IFS(Table1[[#This Row],[Customer Tenure in months]]&lt;=6, "0-6 months", Table1[[#This Row],[Customer Tenure in months]] &lt;=12, "7-12 months", Table1[[#This Row],[Customer Tenure in months]] &lt;=24, "1-2 years", TRUE, "2+ years")</f>
        <v>2+ years</v>
      </c>
      <c r="M328">
        <v>42</v>
      </c>
      <c r="N328" t="s">
        <v>71</v>
      </c>
      <c r="O328" s="1">
        <v>14500</v>
      </c>
      <c r="P328">
        <v>4</v>
      </c>
      <c r="Q328" s="1">
        <v>58000</v>
      </c>
      <c r="R328">
        <v>131.27000000000001</v>
      </c>
      <c r="S328" t="s">
        <v>284</v>
      </c>
      <c r="T328" t="s">
        <v>24</v>
      </c>
    </row>
    <row r="329" spans="1:20" x14ac:dyDescent="0.35">
      <c r="A329" s="22" t="s">
        <v>426</v>
      </c>
      <c r="B329" cm="1">
        <f t="array" ref="B329">IF(MATCH(Table1[[#This Row],[Customer ID]], Table1[Customer ID], 0) = ROW() - ROW(Table1[#Headers]), 1, 0)</f>
        <v>0</v>
      </c>
      <c r="C329" t="s">
        <v>427</v>
      </c>
      <c r="D329" s="2">
        <v>45741</v>
      </c>
      <c r="E329">
        <v>36</v>
      </c>
      <c r="F329" t="str" cm="1">
        <f t="array" ref="F329">_xlfn.IFS( Table1[[#This Row],[Age]]&lt;18, "&lt;18", Table1[[#This Row],[Age]]&lt;= 29, "18-29", Table1[[#This Row],[Age]]&lt;= 44, "30-44",  Table1[[#This Row],[Age]]&lt;=59, "45-59", TRUE, "60+")</f>
        <v>30-44</v>
      </c>
      <c r="G329" t="s">
        <v>192</v>
      </c>
      <c r="H329" t="s">
        <v>29</v>
      </c>
      <c r="I329" t="s">
        <v>21</v>
      </c>
      <c r="J329">
        <v>3</v>
      </c>
      <c r="K329" t="s">
        <v>50</v>
      </c>
      <c r="L329" t="str" cm="1">
        <f t="array" ref="L329">_xlfn.IFS(Table1[[#This Row],[Customer Tenure in months]]&lt;=6, "0-6 months", Table1[[#This Row],[Customer Tenure in months]] &lt;=12, "7-12 months", Table1[[#This Row],[Customer Tenure in months]] &lt;=24, "1-2 years", TRUE, "2+ years")</f>
        <v>2+ years</v>
      </c>
      <c r="M329">
        <v>42</v>
      </c>
      <c r="N329" t="s">
        <v>102</v>
      </c>
      <c r="O329" s="1">
        <v>900</v>
      </c>
      <c r="P329">
        <v>3</v>
      </c>
      <c r="Q329" s="1">
        <v>2700</v>
      </c>
      <c r="R329">
        <v>43.08</v>
      </c>
      <c r="S329" t="s">
        <v>284</v>
      </c>
      <c r="T329" t="s">
        <v>24</v>
      </c>
    </row>
    <row r="330" spans="1:20" x14ac:dyDescent="0.35">
      <c r="A330" s="22" t="s">
        <v>428</v>
      </c>
      <c r="B330" cm="1">
        <f t="array" ref="B330">IF(MATCH(Table1[[#This Row],[Customer ID]], Table1[Customer ID], 0) = ROW() - ROW(Table1[#Headers]), 1, 0)</f>
        <v>1</v>
      </c>
      <c r="C330" t="s">
        <v>429</v>
      </c>
      <c r="D330" s="2">
        <v>45682</v>
      </c>
      <c r="E330">
        <v>44</v>
      </c>
      <c r="F330" t="str" cm="1">
        <f t="array" ref="F330">_xlfn.IFS( Table1[[#This Row],[Age]]&lt;18, "&lt;18", Table1[[#This Row],[Age]]&lt;= 29, "18-29", Table1[[#This Row],[Age]]&lt;= 44, "30-44",  Table1[[#This Row],[Age]]&lt;=59, "45-59", TRUE, "60+")</f>
        <v>30-44</v>
      </c>
      <c r="G330" t="s">
        <v>75</v>
      </c>
      <c r="H330" t="s">
        <v>20</v>
      </c>
      <c r="I330" t="s">
        <v>30</v>
      </c>
      <c r="J330">
        <v>3</v>
      </c>
      <c r="K330" t="s">
        <v>50</v>
      </c>
      <c r="L330" t="str" cm="1">
        <f t="array" ref="L330">_xlfn.IFS(Table1[[#This Row],[Customer Tenure in months]]&lt;=6, "0-6 months", Table1[[#This Row],[Customer Tenure in months]] &lt;=12, "7-12 months", Table1[[#This Row],[Customer Tenure in months]] &lt;=24, "1-2 years", TRUE, "2+ years")</f>
        <v>0-6 months</v>
      </c>
      <c r="M330">
        <v>1</v>
      </c>
      <c r="N330" t="s">
        <v>58</v>
      </c>
      <c r="O330" s="1">
        <v>16000</v>
      </c>
      <c r="P330">
        <v>3</v>
      </c>
      <c r="Q330" s="1">
        <v>48000</v>
      </c>
      <c r="R330">
        <v>46.17</v>
      </c>
      <c r="S330" t="s">
        <v>1091</v>
      </c>
      <c r="T330" t="s">
        <v>39</v>
      </c>
    </row>
    <row r="331" spans="1:20" x14ac:dyDescent="0.35">
      <c r="A331" s="22" t="s">
        <v>428</v>
      </c>
      <c r="B331" cm="1">
        <f t="array" ref="B331">IF(MATCH(Table1[[#This Row],[Customer ID]], Table1[Customer ID], 0) = ROW() - ROW(Table1[#Headers]), 1, 0)</f>
        <v>0</v>
      </c>
      <c r="C331" t="s">
        <v>429</v>
      </c>
      <c r="D331" s="2">
        <v>45682</v>
      </c>
      <c r="E331">
        <v>44</v>
      </c>
      <c r="F331" t="str" cm="1">
        <f t="array" ref="F331">_xlfn.IFS( Table1[[#This Row],[Age]]&lt;18, "&lt;18", Table1[[#This Row],[Age]]&lt;= 29, "18-29", Table1[[#This Row],[Age]]&lt;= 44, "30-44",  Table1[[#This Row],[Age]]&lt;=59, "45-59", TRUE, "60+")</f>
        <v>30-44</v>
      </c>
      <c r="G331" t="s">
        <v>75</v>
      </c>
      <c r="H331" t="s">
        <v>29</v>
      </c>
      <c r="I331" t="s">
        <v>30</v>
      </c>
      <c r="J331">
        <v>3</v>
      </c>
      <c r="K331" t="s">
        <v>50</v>
      </c>
      <c r="L331" t="str" cm="1">
        <f t="array" ref="L331">_xlfn.IFS(Table1[[#This Row],[Customer Tenure in months]]&lt;=6, "0-6 months", Table1[[#This Row],[Customer Tenure in months]] &lt;=12, "7-12 months", Table1[[#This Row],[Customer Tenure in months]] &lt;=24, "1-2 years", TRUE, "2+ years")</f>
        <v>0-6 months</v>
      </c>
      <c r="M331">
        <v>1</v>
      </c>
      <c r="N331" t="s">
        <v>83</v>
      </c>
      <c r="O331" s="1">
        <v>1000</v>
      </c>
      <c r="P331">
        <v>12</v>
      </c>
      <c r="Q331" s="1">
        <v>12000</v>
      </c>
      <c r="R331">
        <v>21.09</v>
      </c>
      <c r="S331" t="s">
        <v>1091</v>
      </c>
      <c r="T331" t="s">
        <v>39</v>
      </c>
    </row>
    <row r="332" spans="1:20" x14ac:dyDescent="0.35">
      <c r="A332" s="22" t="s">
        <v>430</v>
      </c>
      <c r="B332" cm="1">
        <f t="array" ref="B332">IF(MATCH(Table1[[#This Row],[Customer ID]], Table1[Customer ID], 0) = ROW() - ROW(Table1[#Headers]), 1, 0)</f>
        <v>1</v>
      </c>
      <c r="C332" t="s">
        <v>431</v>
      </c>
      <c r="D332" s="2">
        <v>45713</v>
      </c>
      <c r="E332">
        <v>33</v>
      </c>
      <c r="F332" t="str" cm="1">
        <f t="array" ref="F332">_xlfn.IFS( Table1[[#This Row],[Age]]&lt;18, "&lt;18", Table1[[#This Row],[Age]]&lt;= 29, "18-29", Table1[[#This Row],[Age]]&lt;= 44, "30-44",  Table1[[#This Row],[Age]]&lt;=59, "45-59", TRUE, "60+")</f>
        <v>30-44</v>
      </c>
      <c r="G332" t="s">
        <v>61</v>
      </c>
      <c r="H332" t="s">
        <v>20</v>
      </c>
      <c r="I332" t="s">
        <v>21</v>
      </c>
      <c r="J332">
        <v>1</v>
      </c>
      <c r="K332" t="s">
        <v>37</v>
      </c>
      <c r="L332" t="str" cm="1">
        <f t="array" ref="L332">_xlfn.IFS(Table1[[#This Row],[Customer Tenure in months]]&lt;=6, "0-6 months", Table1[[#This Row],[Customer Tenure in months]] &lt;=12, "7-12 months", Table1[[#This Row],[Customer Tenure in months]] &lt;=24, "1-2 years", TRUE, "2+ years")</f>
        <v>2+ years</v>
      </c>
      <c r="M332">
        <v>42</v>
      </c>
      <c r="N332" t="s">
        <v>23</v>
      </c>
      <c r="O332" s="1">
        <v>35000</v>
      </c>
      <c r="P332">
        <v>7</v>
      </c>
      <c r="Q332" s="1">
        <v>245000</v>
      </c>
      <c r="R332">
        <v>70.56</v>
      </c>
      <c r="S332" t="s">
        <v>1091</v>
      </c>
      <c r="T332" t="s">
        <v>39</v>
      </c>
    </row>
    <row r="333" spans="1:20" x14ac:dyDescent="0.35">
      <c r="A333" s="22" t="s">
        <v>432</v>
      </c>
      <c r="B333" cm="1">
        <f t="array" ref="B333">IF(MATCH(Table1[[#This Row],[Customer ID]], Table1[Customer ID], 0) = ROW() - ROW(Table1[#Headers]), 1, 0)</f>
        <v>1</v>
      </c>
      <c r="C333" t="s">
        <v>433</v>
      </c>
      <c r="D333" s="2">
        <v>45682</v>
      </c>
      <c r="E333">
        <v>68</v>
      </c>
      <c r="F333" t="str" cm="1">
        <f t="array" ref="F333">_xlfn.IFS( Table1[[#This Row],[Age]]&lt;18, "&lt;18", Table1[[#This Row],[Age]]&lt;= 29, "18-29", Table1[[#This Row],[Age]]&lt;= 44, "30-44",  Table1[[#This Row],[Age]]&lt;=59, "45-59", TRUE, "60+")</f>
        <v>60+</v>
      </c>
      <c r="G333" t="s">
        <v>198</v>
      </c>
      <c r="H333" t="s">
        <v>29</v>
      </c>
      <c r="I333" t="s">
        <v>21</v>
      </c>
      <c r="J333">
        <v>2</v>
      </c>
      <c r="K333" t="s">
        <v>22</v>
      </c>
      <c r="L333" t="str" cm="1">
        <f t="array" ref="L333">_xlfn.IFS(Table1[[#This Row],[Customer Tenure in months]]&lt;=6, "0-6 months", Table1[[#This Row],[Customer Tenure in months]] &lt;=12, "7-12 months", Table1[[#This Row],[Customer Tenure in months]] &lt;=24, "1-2 years", TRUE, "2+ years")</f>
        <v>0-6 months</v>
      </c>
      <c r="M333">
        <v>6</v>
      </c>
      <c r="N333" t="s">
        <v>56</v>
      </c>
      <c r="O333" s="1">
        <v>3500</v>
      </c>
      <c r="P333">
        <v>8</v>
      </c>
      <c r="Q333" s="1">
        <v>28000</v>
      </c>
      <c r="R333">
        <v>158.32</v>
      </c>
      <c r="S333" t="s">
        <v>1091</v>
      </c>
      <c r="T333" t="s">
        <v>39</v>
      </c>
    </row>
    <row r="334" spans="1:20" x14ac:dyDescent="0.35">
      <c r="A334" s="22" t="s">
        <v>432</v>
      </c>
      <c r="B334" cm="1">
        <f t="array" ref="B334">IF(MATCH(Table1[[#This Row],[Customer ID]], Table1[Customer ID], 0) = ROW() - ROW(Table1[#Headers]), 1, 0)</f>
        <v>0</v>
      </c>
      <c r="C334" t="s">
        <v>433</v>
      </c>
      <c r="D334" s="2">
        <v>45682</v>
      </c>
      <c r="E334">
        <v>68</v>
      </c>
      <c r="F334" t="str" cm="1">
        <f t="array" ref="F334">_xlfn.IFS( Table1[[#This Row],[Age]]&lt;18, "&lt;18", Table1[[#This Row],[Age]]&lt;= 29, "18-29", Table1[[#This Row],[Age]]&lt;= 44, "30-44",  Table1[[#This Row],[Age]]&lt;=59, "45-59", TRUE, "60+")</f>
        <v>60+</v>
      </c>
      <c r="G334" t="s">
        <v>198</v>
      </c>
      <c r="H334" t="s">
        <v>20</v>
      </c>
      <c r="I334" t="s">
        <v>21</v>
      </c>
      <c r="J334">
        <v>2</v>
      </c>
      <c r="K334" t="s">
        <v>22</v>
      </c>
      <c r="L334" t="str" cm="1">
        <f t="array" ref="L334">_xlfn.IFS(Table1[[#This Row],[Customer Tenure in months]]&lt;=6, "0-6 months", Table1[[#This Row],[Customer Tenure in months]] &lt;=12, "7-12 months", Table1[[#This Row],[Customer Tenure in months]] &lt;=24, "1-2 years", TRUE, "2+ years")</f>
        <v>0-6 months</v>
      </c>
      <c r="M334">
        <v>6</v>
      </c>
      <c r="N334" t="s">
        <v>51</v>
      </c>
      <c r="O334" s="1">
        <v>9000</v>
      </c>
      <c r="P334">
        <v>8</v>
      </c>
      <c r="Q334" s="1">
        <v>72000</v>
      </c>
      <c r="R334">
        <v>129.1</v>
      </c>
      <c r="S334" t="s">
        <v>1091</v>
      </c>
      <c r="T334" t="s">
        <v>39</v>
      </c>
    </row>
    <row r="335" spans="1:20" x14ac:dyDescent="0.35">
      <c r="A335" s="22" t="s">
        <v>432</v>
      </c>
      <c r="B335" cm="1">
        <f t="array" ref="B335">IF(MATCH(Table1[[#This Row],[Customer ID]], Table1[Customer ID], 0) = ROW() - ROW(Table1[#Headers]), 1, 0)</f>
        <v>0</v>
      </c>
      <c r="C335" t="s">
        <v>433</v>
      </c>
      <c r="D335" s="2">
        <v>45682</v>
      </c>
      <c r="E335">
        <v>68</v>
      </c>
      <c r="F335" t="str" cm="1">
        <f t="array" ref="F335">_xlfn.IFS( Table1[[#This Row],[Age]]&lt;18, "&lt;18", Table1[[#This Row],[Age]]&lt;= 29, "18-29", Table1[[#This Row],[Age]]&lt;= 44, "30-44",  Table1[[#This Row],[Age]]&lt;=59, "45-59", TRUE, "60+")</f>
        <v>60+</v>
      </c>
      <c r="G335" t="s">
        <v>198</v>
      </c>
      <c r="H335" t="s">
        <v>36</v>
      </c>
      <c r="I335" t="s">
        <v>21</v>
      </c>
      <c r="J335">
        <v>2</v>
      </c>
      <c r="K335" t="s">
        <v>22</v>
      </c>
      <c r="L335" t="str" cm="1">
        <f t="array" ref="L335">_xlfn.IFS(Table1[[#This Row],[Customer Tenure in months]]&lt;=6, "0-6 months", Table1[[#This Row],[Customer Tenure in months]] &lt;=12, "7-12 months", Table1[[#This Row],[Customer Tenure in months]] &lt;=24, "1-2 years", TRUE, "2+ years")</f>
        <v>0-6 months</v>
      </c>
      <c r="M335">
        <v>6</v>
      </c>
      <c r="N335" t="s">
        <v>62</v>
      </c>
      <c r="O335" s="1">
        <v>24000</v>
      </c>
      <c r="P335">
        <v>1</v>
      </c>
      <c r="Q335" s="1">
        <v>24000</v>
      </c>
      <c r="R335">
        <v>155.9</v>
      </c>
      <c r="S335" t="s">
        <v>1091</v>
      </c>
      <c r="T335" t="s">
        <v>39</v>
      </c>
    </row>
    <row r="336" spans="1:20" x14ac:dyDescent="0.35">
      <c r="A336" s="22" t="s">
        <v>434</v>
      </c>
      <c r="B336" cm="1">
        <f t="array" ref="B336">IF(MATCH(Table1[[#This Row],[Customer ID]], Table1[Customer ID], 0) = ROW() - ROW(Table1[#Headers]), 1, 0)</f>
        <v>1</v>
      </c>
      <c r="C336" t="s">
        <v>435</v>
      </c>
      <c r="D336" s="2">
        <v>45713</v>
      </c>
      <c r="E336">
        <v>42</v>
      </c>
      <c r="F336" t="str" cm="1">
        <f t="array" ref="F336">_xlfn.IFS( Table1[[#This Row],[Age]]&lt;18, "&lt;18", Table1[[#This Row],[Age]]&lt;= 29, "18-29", Table1[[#This Row],[Age]]&lt;= 44, "30-44",  Table1[[#This Row],[Age]]&lt;=59, "45-59", TRUE, "60+")</f>
        <v>30-44</v>
      </c>
      <c r="G336" t="s">
        <v>75</v>
      </c>
      <c r="H336" t="s">
        <v>29</v>
      </c>
      <c r="I336" t="s">
        <v>21</v>
      </c>
      <c r="J336">
        <v>3</v>
      </c>
      <c r="K336" t="s">
        <v>50</v>
      </c>
      <c r="L336" t="str" cm="1">
        <f t="array" ref="L336">_xlfn.IFS(Table1[[#This Row],[Customer Tenure in months]]&lt;=6, "0-6 months", Table1[[#This Row],[Customer Tenure in months]] &lt;=12, "7-12 months", Table1[[#This Row],[Customer Tenure in months]] &lt;=24, "1-2 years", TRUE, "2+ years")</f>
        <v>2+ years</v>
      </c>
      <c r="M336">
        <v>48</v>
      </c>
      <c r="N336" t="s">
        <v>87</v>
      </c>
      <c r="O336" s="1">
        <v>7500</v>
      </c>
      <c r="P336">
        <v>16</v>
      </c>
      <c r="Q336" s="1">
        <v>120000</v>
      </c>
      <c r="R336">
        <v>22.99</v>
      </c>
      <c r="S336" t="s">
        <v>1091</v>
      </c>
      <c r="T336" t="s">
        <v>39</v>
      </c>
    </row>
    <row r="337" spans="1:20" x14ac:dyDescent="0.35">
      <c r="A337" s="22" t="s">
        <v>436</v>
      </c>
      <c r="B337" cm="1">
        <f t="array" ref="B337">IF(MATCH(Table1[[#This Row],[Customer ID]], Table1[Customer ID], 0) = ROW() - ROW(Table1[#Headers]), 1, 0)</f>
        <v>1</v>
      </c>
      <c r="C337" t="s">
        <v>437</v>
      </c>
      <c r="D337" s="2">
        <v>45713</v>
      </c>
      <c r="E337">
        <v>17</v>
      </c>
      <c r="F337" t="str" cm="1">
        <f t="array" ref="F337">_xlfn.IFS( Table1[[#This Row],[Age]]&lt;18, "&lt;18", Table1[[#This Row],[Age]]&lt;= 29, "18-29", Table1[[#This Row],[Age]]&lt;= 44, "30-44",  Table1[[#This Row],[Age]]&lt;=59, "45-59", TRUE, "60+")</f>
        <v>&lt;18</v>
      </c>
      <c r="G337" t="s">
        <v>45</v>
      </c>
      <c r="H337" t="s">
        <v>20</v>
      </c>
      <c r="I337" t="s">
        <v>30</v>
      </c>
      <c r="J337">
        <v>5</v>
      </c>
      <c r="K337" t="s">
        <v>55</v>
      </c>
      <c r="L337" t="str" cm="1">
        <f t="array" ref="L337">_xlfn.IFS(Table1[[#This Row],[Customer Tenure in months]]&lt;=6, "0-6 months", Table1[[#This Row],[Customer Tenure in months]] &lt;=12, "7-12 months", Table1[[#This Row],[Customer Tenure in months]] &lt;=24, "1-2 years", TRUE, "2+ years")</f>
        <v>7-12 months</v>
      </c>
      <c r="M337">
        <v>9</v>
      </c>
      <c r="N337" t="s">
        <v>46</v>
      </c>
      <c r="O337" s="1">
        <v>4500</v>
      </c>
      <c r="P337">
        <v>1</v>
      </c>
      <c r="Q337" s="1">
        <v>4500</v>
      </c>
      <c r="R337">
        <v>117.68</v>
      </c>
      <c r="S337" t="s">
        <v>1091</v>
      </c>
      <c r="T337" t="s">
        <v>39</v>
      </c>
    </row>
    <row r="338" spans="1:20" x14ac:dyDescent="0.35">
      <c r="A338" s="22" t="s">
        <v>436</v>
      </c>
      <c r="B338" cm="1">
        <f t="array" ref="B338">IF(MATCH(Table1[[#This Row],[Customer ID]], Table1[Customer ID], 0) = ROW() - ROW(Table1[#Headers]), 1, 0)</f>
        <v>0</v>
      </c>
      <c r="C338" t="s">
        <v>437</v>
      </c>
      <c r="D338" s="2">
        <v>45713</v>
      </c>
      <c r="E338">
        <v>17</v>
      </c>
      <c r="F338" t="str" cm="1">
        <f t="array" ref="F338">_xlfn.IFS( Table1[[#This Row],[Age]]&lt;18, "&lt;18", Table1[[#This Row],[Age]]&lt;= 29, "18-29", Table1[[#This Row],[Age]]&lt;= 44, "30-44",  Table1[[#This Row],[Age]]&lt;=59, "45-59", TRUE, "60+")</f>
        <v>&lt;18</v>
      </c>
      <c r="G338" t="s">
        <v>45</v>
      </c>
      <c r="H338" t="s">
        <v>29</v>
      </c>
      <c r="I338" t="s">
        <v>30</v>
      </c>
      <c r="J338">
        <v>5</v>
      </c>
      <c r="K338" t="s">
        <v>55</v>
      </c>
      <c r="L338" t="str" cm="1">
        <f t="array" ref="L338">_xlfn.IFS(Table1[[#This Row],[Customer Tenure in months]]&lt;=6, "0-6 months", Table1[[#This Row],[Customer Tenure in months]] &lt;=12, "7-12 months", Table1[[#This Row],[Customer Tenure in months]] &lt;=24, "1-2 years", TRUE, "2+ years")</f>
        <v>7-12 months</v>
      </c>
      <c r="M338">
        <v>9</v>
      </c>
      <c r="N338" t="s">
        <v>40</v>
      </c>
      <c r="O338" s="1">
        <v>500</v>
      </c>
      <c r="P338">
        <v>2</v>
      </c>
      <c r="Q338" s="1">
        <v>1000</v>
      </c>
      <c r="R338">
        <v>43.54</v>
      </c>
      <c r="S338" t="s">
        <v>1091</v>
      </c>
      <c r="T338" t="s">
        <v>39</v>
      </c>
    </row>
    <row r="339" spans="1:20" x14ac:dyDescent="0.35">
      <c r="A339" s="22" t="s">
        <v>438</v>
      </c>
      <c r="B339" cm="1">
        <f t="array" ref="B339">IF(MATCH(Table1[[#This Row],[Customer ID]], Table1[Customer ID], 0) = ROW() - ROW(Table1[#Headers]), 1, 0)</f>
        <v>1</v>
      </c>
      <c r="C339" t="s">
        <v>439</v>
      </c>
      <c r="D339" s="2">
        <v>45713</v>
      </c>
      <c r="E339">
        <v>80</v>
      </c>
      <c r="F339" t="str" cm="1">
        <f t="array" ref="F339">_xlfn.IFS( Table1[[#This Row],[Age]]&lt;18, "&lt;18", Table1[[#This Row],[Age]]&lt;= 29, "18-29", Table1[[#This Row],[Age]]&lt;= 44, "30-44",  Table1[[#This Row],[Age]]&lt;=59, "45-59", TRUE, "60+")</f>
        <v>60+</v>
      </c>
      <c r="G339" t="s">
        <v>101</v>
      </c>
      <c r="H339" t="s">
        <v>29</v>
      </c>
      <c r="I339" t="s">
        <v>30</v>
      </c>
      <c r="J339">
        <v>1</v>
      </c>
      <c r="K339" t="s">
        <v>37</v>
      </c>
      <c r="L339" t="str" cm="1">
        <f t="array" ref="L339">_xlfn.IFS(Table1[[#This Row],[Customer Tenure in months]]&lt;=6, "0-6 months", Table1[[#This Row],[Customer Tenure in months]] &lt;=12, "7-12 months", Table1[[#This Row],[Customer Tenure in months]] &lt;=24, "1-2 years", TRUE, "2+ years")</f>
        <v>2+ years</v>
      </c>
      <c r="M339">
        <v>28</v>
      </c>
      <c r="N339" t="s">
        <v>51</v>
      </c>
      <c r="O339" s="1">
        <v>9000</v>
      </c>
      <c r="P339">
        <v>7</v>
      </c>
      <c r="Q339" s="1">
        <v>63000</v>
      </c>
      <c r="R339">
        <v>16.260000000000002</v>
      </c>
      <c r="S339" t="s">
        <v>1091</v>
      </c>
      <c r="T339" t="s">
        <v>39</v>
      </c>
    </row>
    <row r="340" spans="1:20" x14ac:dyDescent="0.35">
      <c r="A340" s="22" t="s">
        <v>438</v>
      </c>
      <c r="B340" cm="1">
        <f t="array" ref="B340">IF(MATCH(Table1[[#This Row],[Customer ID]], Table1[Customer ID], 0) = ROW() - ROW(Table1[#Headers]), 1, 0)</f>
        <v>0</v>
      </c>
      <c r="C340" t="s">
        <v>439</v>
      </c>
      <c r="D340" s="2">
        <v>45713</v>
      </c>
      <c r="E340">
        <v>80</v>
      </c>
      <c r="F340" t="str" cm="1">
        <f t="array" ref="F340">_xlfn.IFS( Table1[[#This Row],[Age]]&lt;18, "&lt;18", Table1[[#This Row],[Age]]&lt;= 29, "18-29", Table1[[#This Row],[Age]]&lt;= 44, "30-44",  Table1[[#This Row],[Age]]&lt;=59, "45-59", TRUE, "60+")</f>
        <v>60+</v>
      </c>
      <c r="G340" t="s">
        <v>101</v>
      </c>
      <c r="H340" t="s">
        <v>29</v>
      </c>
      <c r="I340" t="s">
        <v>30</v>
      </c>
      <c r="J340">
        <v>1</v>
      </c>
      <c r="K340" t="s">
        <v>37</v>
      </c>
      <c r="L340" t="str" cm="1">
        <f t="array" ref="L340">_xlfn.IFS(Table1[[#This Row],[Customer Tenure in months]]&lt;=6, "0-6 months", Table1[[#This Row],[Customer Tenure in months]] &lt;=12, "7-12 months", Table1[[#This Row],[Customer Tenure in months]] &lt;=24, "1-2 years", TRUE, "2+ years")</f>
        <v>2+ years</v>
      </c>
      <c r="M340">
        <v>28</v>
      </c>
      <c r="N340" t="s">
        <v>164</v>
      </c>
      <c r="O340" s="1">
        <v>600</v>
      </c>
      <c r="P340">
        <v>13</v>
      </c>
      <c r="Q340" s="1">
        <v>7800</v>
      </c>
      <c r="R340">
        <v>107.51</v>
      </c>
      <c r="S340" t="s">
        <v>1091</v>
      </c>
      <c r="T340" t="s">
        <v>39</v>
      </c>
    </row>
    <row r="341" spans="1:20" x14ac:dyDescent="0.35">
      <c r="A341" s="22" t="s">
        <v>438</v>
      </c>
      <c r="B341" cm="1">
        <f t="array" ref="B341">IF(MATCH(Table1[[#This Row],[Customer ID]], Table1[Customer ID], 0) = ROW() - ROW(Table1[#Headers]), 1, 0)</f>
        <v>0</v>
      </c>
      <c r="C341" t="s">
        <v>439</v>
      </c>
      <c r="D341" s="2">
        <v>45713</v>
      </c>
      <c r="E341">
        <v>80</v>
      </c>
      <c r="F341" t="str" cm="1">
        <f t="array" ref="F341">_xlfn.IFS( Table1[[#This Row],[Age]]&lt;18, "&lt;18", Table1[[#This Row],[Age]]&lt;= 29, "18-29", Table1[[#This Row],[Age]]&lt;= 44, "30-44",  Table1[[#This Row],[Age]]&lt;=59, "45-59", TRUE, "60+")</f>
        <v>60+</v>
      </c>
      <c r="G341" t="s">
        <v>101</v>
      </c>
      <c r="H341" t="s">
        <v>41</v>
      </c>
      <c r="I341" t="s">
        <v>30</v>
      </c>
      <c r="J341">
        <v>1</v>
      </c>
      <c r="K341" t="s">
        <v>37</v>
      </c>
      <c r="L341" t="str" cm="1">
        <f t="array" ref="L341">_xlfn.IFS(Table1[[#This Row],[Customer Tenure in months]]&lt;=6, "0-6 months", Table1[[#This Row],[Customer Tenure in months]] &lt;=12, "7-12 months", Table1[[#This Row],[Customer Tenure in months]] &lt;=24, "1-2 years", TRUE, "2+ years")</f>
        <v>2+ years</v>
      </c>
      <c r="M341">
        <v>28</v>
      </c>
      <c r="N341" t="s">
        <v>62</v>
      </c>
      <c r="O341" s="1">
        <v>24000</v>
      </c>
      <c r="P341">
        <v>3</v>
      </c>
      <c r="Q341" s="1">
        <v>72000</v>
      </c>
      <c r="R341">
        <v>127.04</v>
      </c>
      <c r="S341" t="s">
        <v>1091</v>
      </c>
      <c r="T341" t="s">
        <v>39</v>
      </c>
    </row>
    <row r="342" spans="1:20" x14ac:dyDescent="0.35">
      <c r="A342" s="22" t="s">
        <v>440</v>
      </c>
      <c r="B342" cm="1">
        <f t="array" ref="B342">IF(MATCH(Table1[[#This Row],[Customer ID]], Table1[Customer ID], 0) = ROW() - ROW(Table1[#Headers]), 1, 0)</f>
        <v>1</v>
      </c>
      <c r="C342" t="s">
        <v>441</v>
      </c>
      <c r="D342" s="2">
        <v>45682</v>
      </c>
      <c r="E342">
        <v>71</v>
      </c>
      <c r="F342" t="str" cm="1">
        <f t="array" ref="F342">_xlfn.IFS( Table1[[#This Row],[Age]]&lt;18, "&lt;18", Table1[[#This Row],[Age]]&lt;= 29, "18-29", Table1[[#This Row],[Age]]&lt;= 44, "30-44",  Table1[[#This Row],[Age]]&lt;=59, "45-59", TRUE, "60+")</f>
        <v>60+</v>
      </c>
      <c r="G342" t="s">
        <v>70</v>
      </c>
      <c r="H342" t="s">
        <v>41</v>
      </c>
      <c r="I342" t="s">
        <v>21</v>
      </c>
      <c r="J342">
        <v>4</v>
      </c>
      <c r="K342" t="s">
        <v>114</v>
      </c>
      <c r="L342" t="str" cm="1">
        <f t="array" ref="L342">_xlfn.IFS(Table1[[#This Row],[Customer Tenure in months]]&lt;=6, "0-6 months", Table1[[#This Row],[Customer Tenure in months]] &lt;=12, "7-12 months", Table1[[#This Row],[Customer Tenure in months]] &lt;=24, "1-2 years", TRUE, "2+ years")</f>
        <v>1-2 years</v>
      </c>
      <c r="M342">
        <v>16</v>
      </c>
      <c r="N342" t="s">
        <v>42</v>
      </c>
      <c r="O342" s="1">
        <v>9000</v>
      </c>
      <c r="P342">
        <v>5</v>
      </c>
      <c r="Q342" s="1">
        <v>45000</v>
      </c>
      <c r="R342">
        <v>3.03</v>
      </c>
      <c r="S342" t="s">
        <v>25</v>
      </c>
      <c r="T342" t="s">
        <v>24</v>
      </c>
    </row>
    <row r="343" spans="1:20" x14ac:dyDescent="0.35">
      <c r="A343" s="22" t="s">
        <v>440</v>
      </c>
      <c r="B343" cm="1">
        <f t="array" ref="B343">IF(MATCH(Table1[[#This Row],[Customer ID]], Table1[Customer ID], 0) = ROW() - ROW(Table1[#Headers]), 1, 0)</f>
        <v>0</v>
      </c>
      <c r="C343" t="s">
        <v>441</v>
      </c>
      <c r="D343" s="2">
        <v>45682</v>
      </c>
      <c r="E343">
        <v>71</v>
      </c>
      <c r="F343" t="str" cm="1">
        <f t="array" ref="F343">_xlfn.IFS( Table1[[#This Row],[Age]]&lt;18, "&lt;18", Table1[[#This Row],[Age]]&lt;= 29, "18-29", Table1[[#This Row],[Age]]&lt;= 44, "30-44",  Table1[[#This Row],[Age]]&lt;=59, "45-59", TRUE, "60+")</f>
        <v>60+</v>
      </c>
      <c r="G343" t="s">
        <v>70</v>
      </c>
      <c r="H343" t="s">
        <v>20</v>
      </c>
      <c r="I343" t="s">
        <v>21</v>
      </c>
      <c r="J343">
        <v>4</v>
      </c>
      <c r="K343" t="s">
        <v>114</v>
      </c>
      <c r="L343" t="str" cm="1">
        <f t="array" ref="L343">_xlfn.IFS(Table1[[#This Row],[Customer Tenure in months]]&lt;=6, "0-6 months", Table1[[#This Row],[Customer Tenure in months]] &lt;=12, "7-12 months", Table1[[#This Row],[Customer Tenure in months]] &lt;=24, "1-2 years", TRUE, "2+ years")</f>
        <v>1-2 years</v>
      </c>
      <c r="M343">
        <v>16</v>
      </c>
      <c r="N343" t="s">
        <v>58</v>
      </c>
      <c r="O343" s="1">
        <v>16000</v>
      </c>
      <c r="P343">
        <v>12</v>
      </c>
      <c r="Q343" s="1">
        <v>192000</v>
      </c>
      <c r="R343">
        <v>33.18</v>
      </c>
      <c r="S343" t="s">
        <v>25</v>
      </c>
      <c r="T343" t="s">
        <v>24</v>
      </c>
    </row>
    <row r="344" spans="1:20" x14ac:dyDescent="0.35">
      <c r="A344" s="22" t="s">
        <v>440</v>
      </c>
      <c r="B344" cm="1">
        <f t="array" ref="B344">IF(MATCH(Table1[[#This Row],[Customer ID]], Table1[Customer ID], 0) = ROW() - ROW(Table1[#Headers]), 1, 0)</f>
        <v>0</v>
      </c>
      <c r="C344" t="s">
        <v>441</v>
      </c>
      <c r="D344" s="2">
        <v>45682</v>
      </c>
      <c r="E344">
        <v>71</v>
      </c>
      <c r="F344" t="str" cm="1">
        <f t="array" ref="F344">_xlfn.IFS( Table1[[#This Row],[Age]]&lt;18, "&lt;18", Table1[[#This Row],[Age]]&lt;= 29, "18-29", Table1[[#This Row],[Age]]&lt;= 44, "30-44",  Table1[[#This Row],[Age]]&lt;=59, "45-59", TRUE, "60+")</f>
        <v>60+</v>
      </c>
      <c r="G344" t="s">
        <v>70</v>
      </c>
      <c r="H344" t="s">
        <v>29</v>
      </c>
      <c r="I344" t="s">
        <v>21</v>
      </c>
      <c r="J344">
        <v>4</v>
      </c>
      <c r="K344" t="s">
        <v>114</v>
      </c>
      <c r="L344" t="str" cm="1">
        <f t="array" ref="L344">_xlfn.IFS(Table1[[#This Row],[Customer Tenure in months]]&lt;=6, "0-6 months", Table1[[#This Row],[Customer Tenure in months]] &lt;=12, "7-12 months", Table1[[#This Row],[Customer Tenure in months]] &lt;=24, "1-2 years", TRUE, "2+ years")</f>
        <v>1-2 years</v>
      </c>
      <c r="M344">
        <v>16</v>
      </c>
      <c r="N344" t="s">
        <v>193</v>
      </c>
      <c r="O344" s="1">
        <v>6500</v>
      </c>
      <c r="P344">
        <v>9</v>
      </c>
      <c r="Q344" s="1">
        <v>58500</v>
      </c>
      <c r="R344">
        <v>103.69</v>
      </c>
      <c r="S344" t="s">
        <v>25</v>
      </c>
      <c r="T344" t="s">
        <v>24</v>
      </c>
    </row>
    <row r="345" spans="1:20" x14ac:dyDescent="0.35">
      <c r="A345" s="22" t="s">
        <v>442</v>
      </c>
      <c r="B345" cm="1">
        <f t="array" ref="B345">IF(MATCH(Table1[[#This Row],[Customer ID]], Table1[Customer ID], 0) = ROW() - ROW(Table1[#Headers]), 1, 0)</f>
        <v>1</v>
      </c>
      <c r="C345" t="s">
        <v>443</v>
      </c>
      <c r="D345" s="2">
        <v>45682</v>
      </c>
      <c r="E345">
        <v>63</v>
      </c>
      <c r="F345" t="str" cm="1">
        <f t="array" ref="F345">_xlfn.IFS( Table1[[#This Row],[Age]]&lt;18, "&lt;18", Table1[[#This Row],[Age]]&lt;= 29, "18-29", Table1[[#This Row],[Age]]&lt;= 44, "30-44",  Table1[[#This Row],[Age]]&lt;=59, "45-59", TRUE, "60+")</f>
        <v>60+</v>
      </c>
      <c r="G345" t="s">
        <v>140</v>
      </c>
      <c r="H345" t="s">
        <v>36</v>
      </c>
      <c r="I345" t="s">
        <v>30</v>
      </c>
      <c r="J345">
        <v>1</v>
      </c>
      <c r="K345" t="s">
        <v>37</v>
      </c>
      <c r="L345" t="str" cm="1">
        <f t="array" ref="L345">_xlfn.IFS(Table1[[#This Row],[Customer Tenure in months]]&lt;=6, "0-6 months", Table1[[#This Row],[Customer Tenure in months]] &lt;=12, "7-12 months", Table1[[#This Row],[Customer Tenure in months]] &lt;=24, "1-2 years", TRUE, "2+ years")</f>
        <v>2+ years</v>
      </c>
      <c r="M345">
        <v>47</v>
      </c>
      <c r="N345" t="s">
        <v>38</v>
      </c>
      <c r="O345" s="1">
        <v>20000</v>
      </c>
      <c r="P345">
        <v>19</v>
      </c>
      <c r="Q345" s="1">
        <v>380000</v>
      </c>
      <c r="R345">
        <v>52.96</v>
      </c>
      <c r="S345" t="s">
        <v>1091</v>
      </c>
      <c r="T345" t="s">
        <v>39</v>
      </c>
    </row>
    <row r="346" spans="1:20" x14ac:dyDescent="0.35">
      <c r="A346" s="22" t="s">
        <v>442</v>
      </c>
      <c r="B346" cm="1">
        <f t="array" ref="B346">IF(MATCH(Table1[[#This Row],[Customer ID]], Table1[Customer ID], 0) = ROW() - ROW(Table1[#Headers]), 1, 0)</f>
        <v>0</v>
      </c>
      <c r="C346" t="s">
        <v>443</v>
      </c>
      <c r="D346" s="2">
        <v>45682</v>
      </c>
      <c r="E346">
        <v>63</v>
      </c>
      <c r="F346" t="str" cm="1">
        <f t="array" ref="F346">_xlfn.IFS( Table1[[#This Row],[Age]]&lt;18, "&lt;18", Table1[[#This Row],[Age]]&lt;= 29, "18-29", Table1[[#This Row],[Age]]&lt;= 44, "30-44",  Table1[[#This Row],[Age]]&lt;=59, "45-59", TRUE, "60+")</f>
        <v>60+</v>
      </c>
      <c r="G346" t="s">
        <v>140</v>
      </c>
      <c r="H346" t="s">
        <v>29</v>
      </c>
      <c r="I346" t="s">
        <v>30</v>
      </c>
      <c r="J346">
        <v>1</v>
      </c>
      <c r="K346" t="s">
        <v>37</v>
      </c>
      <c r="L346" t="str" cm="1">
        <f t="array" ref="L346">_xlfn.IFS(Table1[[#This Row],[Customer Tenure in months]]&lt;=6, "0-6 months", Table1[[#This Row],[Customer Tenure in months]] &lt;=12, "7-12 months", Table1[[#This Row],[Customer Tenure in months]] &lt;=24, "1-2 years", TRUE, "2+ years")</f>
        <v>2+ years</v>
      </c>
      <c r="M346">
        <v>47</v>
      </c>
      <c r="N346" t="s">
        <v>83</v>
      </c>
      <c r="O346" s="1">
        <v>1000</v>
      </c>
      <c r="P346">
        <v>17</v>
      </c>
      <c r="Q346" s="1">
        <v>17000</v>
      </c>
      <c r="R346">
        <v>99.48</v>
      </c>
      <c r="S346" t="s">
        <v>1091</v>
      </c>
      <c r="T346" t="s">
        <v>39</v>
      </c>
    </row>
    <row r="347" spans="1:20" x14ac:dyDescent="0.35">
      <c r="A347" s="22" t="s">
        <v>444</v>
      </c>
      <c r="B347" cm="1">
        <f t="array" ref="B347">IF(MATCH(Table1[[#This Row],[Customer ID]], Table1[Customer ID], 0) = ROW() - ROW(Table1[#Headers]), 1, 0)</f>
        <v>1</v>
      </c>
      <c r="C347" t="s">
        <v>445</v>
      </c>
      <c r="D347" s="2">
        <v>45713</v>
      </c>
      <c r="E347">
        <v>23</v>
      </c>
      <c r="F347" t="str" cm="1">
        <f t="array" ref="F347">_xlfn.IFS( Table1[[#This Row],[Age]]&lt;18, "&lt;18", Table1[[#This Row],[Age]]&lt;= 29, "18-29", Table1[[#This Row],[Age]]&lt;= 44, "30-44",  Table1[[#This Row],[Age]]&lt;=59, "45-59", TRUE, "60+")</f>
        <v>18-29</v>
      </c>
      <c r="G347" t="s">
        <v>90</v>
      </c>
      <c r="H347" t="s">
        <v>41</v>
      </c>
      <c r="I347" t="s">
        <v>21</v>
      </c>
      <c r="J347">
        <v>3</v>
      </c>
      <c r="K347" t="s">
        <v>50</v>
      </c>
      <c r="L347" t="str" cm="1">
        <f t="array" ref="L347">_xlfn.IFS(Table1[[#This Row],[Customer Tenure in months]]&lt;=6, "0-6 months", Table1[[#This Row],[Customer Tenure in months]] &lt;=12, "7-12 months", Table1[[#This Row],[Customer Tenure in months]] &lt;=24, "1-2 years", TRUE, "2+ years")</f>
        <v>1-2 years</v>
      </c>
      <c r="M347">
        <v>24</v>
      </c>
      <c r="N347" t="s">
        <v>42</v>
      </c>
      <c r="O347" s="1">
        <v>9000</v>
      </c>
      <c r="P347">
        <v>1</v>
      </c>
      <c r="Q347" s="1">
        <v>9000</v>
      </c>
      <c r="R347">
        <v>171.81</v>
      </c>
      <c r="S347" t="s">
        <v>1091</v>
      </c>
      <c r="T347" t="s">
        <v>39</v>
      </c>
    </row>
    <row r="348" spans="1:20" x14ac:dyDescent="0.35">
      <c r="A348" s="22" t="s">
        <v>444</v>
      </c>
      <c r="B348" cm="1">
        <f t="array" ref="B348">IF(MATCH(Table1[[#This Row],[Customer ID]], Table1[Customer ID], 0) = ROW() - ROW(Table1[#Headers]), 1, 0)</f>
        <v>0</v>
      </c>
      <c r="C348" t="s">
        <v>445</v>
      </c>
      <c r="D348" s="2">
        <v>45713</v>
      </c>
      <c r="E348">
        <v>23</v>
      </c>
      <c r="F348" t="str" cm="1">
        <f t="array" ref="F348">_xlfn.IFS( Table1[[#This Row],[Age]]&lt;18, "&lt;18", Table1[[#This Row],[Age]]&lt;= 29, "18-29", Table1[[#This Row],[Age]]&lt;= 44, "30-44",  Table1[[#This Row],[Age]]&lt;=59, "45-59", TRUE, "60+")</f>
        <v>18-29</v>
      </c>
      <c r="G348" t="s">
        <v>90</v>
      </c>
      <c r="H348" t="s">
        <v>29</v>
      </c>
      <c r="I348" t="s">
        <v>21</v>
      </c>
      <c r="J348">
        <v>3</v>
      </c>
      <c r="K348" t="s">
        <v>50</v>
      </c>
      <c r="L348" t="str" cm="1">
        <f t="array" ref="L348">_xlfn.IFS(Table1[[#This Row],[Customer Tenure in months]]&lt;=6, "0-6 months", Table1[[#This Row],[Customer Tenure in months]] &lt;=12, "7-12 months", Table1[[#This Row],[Customer Tenure in months]] &lt;=24, "1-2 years", TRUE, "2+ years")</f>
        <v>1-2 years</v>
      </c>
      <c r="M348">
        <v>24</v>
      </c>
      <c r="N348" t="s">
        <v>72</v>
      </c>
      <c r="O348" s="1">
        <v>350</v>
      </c>
      <c r="P348">
        <v>12</v>
      </c>
      <c r="Q348" s="1">
        <v>4200</v>
      </c>
      <c r="R348">
        <v>9.67</v>
      </c>
      <c r="S348" t="s">
        <v>1091</v>
      </c>
      <c r="T348" t="s">
        <v>39</v>
      </c>
    </row>
    <row r="349" spans="1:20" x14ac:dyDescent="0.35">
      <c r="A349" s="22" t="s">
        <v>444</v>
      </c>
      <c r="B349" cm="1">
        <f t="array" ref="B349">IF(MATCH(Table1[[#This Row],[Customer ID]], Table1[Customer ID], 0) = ROW() - ROW(Table1[#Headers]), 1, 0)</f>
        <v>0</v>
      </c>
      <c r="C349" t="s">
        <v>445</v>
      </c>
      <c r="D349" s="2">
        <v>45713</v>
      </c>
      <c r="E349">
        <v>23</v>
      </c>
      <c r="F349" t="str" cm="1">
        <f t="array" ref="F349">_xlfn.IFS( Table1[[#This Row],[Age]]&lt;18, "&lt;18", Table1[[#This Row],[Age]]&lt;= 29, "18-29", Table1[[#This Row],[Age]]&lt;= 44, "30-44",  Table1[[#This Row],[Age]]&lt;=59, "45-59", TRUE, "60+")</f>
        <v>18-29</v>
      </c>
      <c r="G349" t="s">
        <v>90</v>
      </c>
      <c r="H349" t="s">
        <v>36</v>
      </c>
      <c r="I349" t="s">
        <v>21</v>
      </c>
      <c r="J349">
        <v>3</v>
      </c>
      <c r="K349" t="s">
        <v>50</v>
      </c>
      <c r="L349" t="str" cm="1">
        <f t="array" ref="L349">_xlfn.IFS(Table1[[#This Row],[Customer Tenure in months]]&lt;=6, "0-6 months", Table1[[#This Row],[Customer Tenure in months]] &lt;=12, "7-12 months", Table1[[#This Row],[Customer Tenure in months]] &lt;=24, "1-2 years", TRUE, "2+ years")</f>
        <v>1-2 years</v>
      </c>
      <c r="M349">
        <v>24</v>
      </c>
      <c r="N349" t="s">
        <v>105</v>
      </c>
      <c r="O349" s="1">
        <v>75000</v>
      </c>
      <c r="P349">
        <v>6</v>
      </c>
      <c r="Q349" s="1">
        <v>450000</v>
      </c>
      <c r="R349">
        <v>184.09</v>
      </c>
      <c r="S349" t="s">
        <v>1091</v>
      </c>
      <c r="T349" t="s">
        <v>39</v>
      </c>
    </row>
    <row r="350" spans="1:20" x14ac:dyDescent="0.35">
      <c r="A350" s="22" t="s">
        <v>446</v>
      </c>
      <c r="B350" cm="1">
        <f t="array" ref="B350">IF(MATCH(Table1[[#This Row],[Customer ID]], Table1[Customer ID], 0) = ROW() - ROW(Table1[#Headers]), 1, 0)</f>
        <v>1</v>
      </c>
      <c r="C350" t="s">
        <v>447</v>
      </c>
      <c r="D350" s="2">
        <v>45713</v>
      </c>
      <c r="E350">
        <v>69</v>
      </c>
      <c r="F350" t="str" cm="1">
        <f t="array" ref="F350">_xlfn.IFS( Table1[[#This Row],[Age]]&lt;18, "&lt;18", Table1[[#This Row],[Age]]&lt;= 29, "18-29", Table1[[#This Row],[Age]]&lt;= 44, "30-44",  Table1[[#This Row],[Age]]&lt;=59, "45-59", TRUE, "60+")</f>
        <v>60+</v>
      </c>
      <c r="G350" t="s">
        <v>113</v>
      </c>
      <c r="H350" t="s">
        <v>36</v>
      </c>
      <c r="I350" t="s">
        <v>30</v>
      </c>
      <c r="J350">
        <v>3</v>
      </c>
      <c r="K350" t="s">
        <v>50</v>
      </c>
      <c r="L350" t="str" cm="1">
        <f t="array" ref="L350">_xlfn.IFS(Table1[[#This Row],[Customer Tenure in months]]&lt;=6, "0-6 months", Table1[[#This Row],[Customer Tenure in months]] &lt;=12, "7-12 months", Table1[[#This Row],[Customer Tenure in months]] &lt;=24, "1-2 years", TRUE, "2+ years")</f>
        <v>1-2 years</v>
      </c>
      <c r="M350">
        <v>16</v>
      </c>
      <c r="N350" t="s">
        <v>65</v>
      </c>
      <c r="O350" s="1">
        <v>30000</v>
      </c>
      <c r="P350">
        <v>17</v>
      </c>
      <c r="Q350" s="1">
        <v>510000</v>
      </c>
      <c r="R350">
        <v>45.03</v>
      </c>
      <c r="S350" t="s">
        <v>76</v>
      </c>
      <c r="T350" t="s">
        <v>24</v>
      </c>
    </row>
    <row r="351" spans="1:20" x14ac:dyDescent="0.35">
      <c r="A351" s="22" t="s">
        <v>446</v>
      </c>
      <c r="B351" cm="1">
        <f t="array" ref="B351">IF(MATCH(Table1[[#This Row],[Customer ID]], Table1[Customer ID], 0) = ROW() - ROW(Table1[#Headers]), 1, 0)</f>
        <v>0</v>
      </c>
      <c r="C351" t="s">
        <v>447</v>
      </c>
      <c r="D351" s="2">
        <v>45713</v>
      </c>
      <c r="E351">
        <v>69</v>
      </c>
      <c r="F351" t="str" cm="1">
        <f t="array" ref="F351">_xlfn.IFS( Table1[[#This Row],[Age]]&lt;18, "&lt;18", Table1[[#This Row],[Age]]&lt;= 29, "18-29", Table1[[#This Row],[Age]]&lt;= 44, "30-44",  Table1[[#This Row],[Age]]&lt;=59, "45-59", TRUE, "60+")</f>
        <v>60+</v>
      </c>
      <c r="G351" t="s">
        <v>113</v>
      </c>
      <c r="H351" t="s">
        <v>41</v>
      </c>
      <c r="I351" t="s">
        <v>30</v>
      </c>
      <c r="J351">
        <v>3</v>
      </c>
      <c r="K351" t="s">
        <v>50</v>
      </c>
      <c r="L351" t="str" cm="1">
        <f t="array" ref="L351">_xlfn.IFS(Table1[[#This Row],[Customer Tenure in months]]&lt;=6, "0-6 months", Table1[[#This Row],[Customer Tenure in months]] &lt;=12, "7-12 months", Table1[[#This Row],[Customer Tenure in months]] &lt;=24, "1-2 years", TRUE, "2+ years")</f>
        <v>1-2 years</v>
      </c>
      <c r="M351">
        <v>16</v>
      </c>
      <c r="N351" t="s">
        <v>42</v>
      </c>
      <c r="O351" s="1">
        <v>9000</v>
      </c>
      <c r="P351">
        <v>3</v>
      </c>
      <c r="Q351" s="1">
        <v>27000</v>
      </c>
      <c r="R351">
        <v>190.84</v>
      </c>
      <c r="S351" t="s">
        <v>76</v>
      </c>
      <c r="T351" t="s">
        <v>24</v>
      </c>
    </row>
    <row r="352" spans="1:20" x14ac:dyDescent="0.35">
      <c r="A352" s="22" t="s">
        <v>446</v>
      </c>
      <c r="B352" cm="1">
        <f t="array" ref="B352">IF(MATCH(Table1[[#This Row],[Customer ID]], Table1[Customer ID], 0) = ROW() - ROW(Table1[#Headers]), 1, 0)</f>
        <v>0</v>
      </c>
      <c r="C352" t="s">
        <v>447</v>
      </c>
      <c r="D352" s="2">
        <v>45713</v>
      </c>
      <c r="E352">
        <v>69</v>
      </c>
      <c r="F352" t="str" cm="1">
        <f t="array" ref="F352">_xlfn.IFS( Table1[[#This Row],[Age]]&lt;18, "&lt;18", Table1[[#This Row],[Age]]&lt;= 29, "18-29", Table1[[#This Row],[Age]]&lt;= 44, "30-44",  Table1[[#This Row],[Age]]&lt;=59, "45-59", TRUE, "60+")</f>
        <v>60+</v>
      </c>
      <c r="G352" t="s">
        <v>113</v>
      </c>
      <c r="H352" t="s">
        <v>29</v>
      </c>
      <c r="I352" t="s">
        <v>30</v>
      </c>
      <c r="J352">
        <v>3</v>
      </c>
      <c r="K352" t="s">
        <v>50</v>
      </c>
      <c r="L352" t="str" cm="1">
        <f t="array" ref="L352">_xlfn.IFS(Table1[[#This Row],[Customer Tenure in months]]&lt;=6, "0-6 months", Table1[[#This Row],[Customer Tenure in months]] &lt;=12, "7-12 months", Table1[[#This Row],[Customer Tenure in months]] &lt;=24, "1-2 years", TRUE, "2+ years")</f>
        <v>1-2 years</v>
      </c>
      <c r="M352">
        <v>16</v>
      </c>
      <c r="N352" t="s">
        <v>31</v>
      </c>
      <c r="O352" s="1">
        <v>5500</v>
      </c>
      <c r="P352">
        <v>10</v>
      </c>
      <c r="Q352" s="1">
        <v>55000</v>
      </c>
      <c r="R352">
        <v>173.27</v>
      </c>
      <c r="S352" t="s">
        <v>76</v>
      </c>
      <c r="T352" t="s">
        <v>24</v>
      </c>
    </row>
    <row r="353" spans="1:20" x14ac:dyDescent="0.35">
      <c r="A353" s="22" t="s">
        <v>448</v>
      </c>
      <c r="B353" cm="1">
        <f t="array" ref="B353">IF(MATCH(Table1[[#This Row],[Customer ID]], Table1[Customer ID], 0) = ROW() - ROW(Table1[#Headers]), 1, 0)</f>
        <v>1</v>
      </c>
      <c r="C353" t="s">
        <v>449</v>
      </c>
      <c r="D353" s="2">
        <v>45713</v>
      </c>
      <c r="E353">
        <v>27</v>
      </c>
      <c r="F353" t="str" cm="1">
        <f t="array" ref="F353">_xlfn.IFS( Table1[[#This Row],[Age]]&lt;18, "&lt;18", Table1[[#This Row],[Age]]&lt;= 29, "18-29", Table1[[#This Row],[Age]]&lt;= 44, "30-44",  Table1[[#This Row],[Age]]&lt;=59, "45-59", TRUE, "60+")</f>
        <v>18-29</v>
      </c>
      <c r="G353" t="s">
        <v>35</v>
      </c>
      <c r="H353" t="s">
        <v>29</v>
      </c>
      <c r="I353" t="s">
        <v>21</v>
      </c>
      <c r="J353">
        <v>3</v>
      </c>
      <c r="K353" t="s">
        <v>50</v>
      </c>
      <c r="L353" t="str" cm="1">
        <f t="array" ref="L353">_xlfn.IFS(Table1[[#This Row],[Customer Tenure in months]]&lt;=6, "0-6 months", Table1[[#This Row],[Customer Tenure in months]] &lt;=12, "7-12 months", Table1[[#This Row],[Customer Tenure in months]] &lt;=24, "1-2 years", TRUE, "2+ years")</f>
        <v>1-2 years</v>
      </c>
      <c r="M353">
        <v>24</v>
      </c>
      <c r="N353" t="s">
        <v>51</v>
      </c>
      <c r="O353" s="1">
        <v>9000</v>
      </c>
      <c r="P353">
        <v>16</v>
      </c>
      <c r="Q353" s="1">
        <v>144000</v>
      </c>
      <c r="R353">
        <v>118.54</v>
      </c>
      <c r="S353" t="s">
        <v>1091</v>
      </c>
      <c r="T353" t="s">
        <v>39</v>
      </c>
    </row>
    <row r="354" spans="1:20" x14ac:dyDescent="0.35">
      <c r="A354" s="22" t="s">
        <v>448</v>
      </c>
      <c r="B354" cm="1">
        <f t="array" ref="B354">IF(MATCH(Table1[[#This Row],[Customer ID]], Table1[Customer ID], 0) = ROW() - ROW(Table1[#Headers]), 1, 0)</f>
        <v>0</v>
      </c>
      <c r="C354" t="s">
        <v>449</v>
      </c>
      <c r="D354" s="2">
        <v>45713</v>
      </c>
      <c r="E354">
        <v>27</v>
      </c>
      <c r="F354" t="str" cm="1">
        <f t="array" ref="F354">_xlfn.IFS( Table1[[#This Row],[Age]]&lt;18, "&lt;18", Table1[[#This Row],[Age]]&lt;= 29, "18-29", Table1[[#This Row],[Age]]&lt;= 44, "30-44",  Table1[[#This Row],[Age]]&lt;=59, "45-59", TRUE, "60+")</f>
        <v>18-29</v>
      </c>
      <c r="G354" t="s">
        <v>35</v>
      </c>
      <c r="H354" t="s">
        <v>29</v>
      </c>
      <c r="I354" t="s">
        <v>21</v>
      </c>
      <c r="J354">
        <v>3</v>
      </c>
      <c r="K354" t="s">
        <v>50</v>
      </c>
      <c r="L354" t="str" cm="1">
        <f t="array" ref="L354">_xlfn.IFS(Table1[[#This Row],[Customer Tenure in months]]&lt;=6, "0-6 months", Table1[[#This Row],[Customer Tenure in months]] &lt;=12, "7-12 months", Table1[[#This Row],[Customer Tenure in months]] &lt;=24, "1-2 years", TRUE, "2+ years")</f>
        <v>1-2 years</v>
      </c>
      <c r="M354">
        <v>24</v>
      </c>
      <c r="N354" t="s">
        <v>72</v>
      </c>
      <c r="O354" s="1">
        <v>350</v>
      </c>
      <c r="P354">
        <v>18</v>
      </c>
      <c r="Q354" s="1">
        <v>6300</v>
      </c>
      <c r="R354">
        <v>146.63</v>
      </c>
      <c r="S354" t="s">
        <v>1091</v>
      </c>
      <c r="T354" t="s">
        <v>39</v>
      </c>
    </row>
    <row r="355" spans="1:20" x14ac:dyDescent="0.35">
      <c r="A355" s="22" t="s">
        <v>450</v>
      </c>
      <c r="B355" cm="1">
        <f t="array" ref="B355">IF(MATCH(Table1[[#This Row],[Customer ID]], Table1[Customer ID], 0) = ROW() - ROW(Table1[#Headers]), 1, 0)</f>
        <v>1</v>
      </c>
      <c r="C355" t="s">
        <v>451</v>
      </c>
      <c r="D355" s="2">
        <v>45713</v>
      </c>
      <c r="E355">
        <v>35</v>
      </c>
      <c r="F355" t="str" cm="1">
        <f t="array" ref="F355">_xlfn.IFS( Table1[[#This Row],[Age]]&lt;18, "&lt;18", Table1[[#This Row],[Age]]&lt;= 29, "18-29", Table1[[#This Row],[Age]]&lt;= 44, "30-44",  Table1[[#This Row],[Age]]&lt;=59, "45-59", TRUE, "60+")</f>
        <v>30-44</v>
      </c>
      <c r="G355" t="s">
        <v>452</v>
      </c>
      <c r="H355" t="s">
        <v>41</v>
      </c>
      <c r="I355" t="s">
        <v>30</v>
      </c>
      <c r="J355">
        <v>5</v>
      </c>
      <c r="K355" t="s">
        <v>55</v>
      </c>
      <c r="L355" t="str" cm="1">
        <f t="array" ref="L355">_xlfn.IFS(Table1[[#This Row],[Customer Tenure in months]]&lt;=6, "0-6 months", Table1[[#This Row],[Customer Tenure in months]] &lt;=12, "7-12 months", Table1[[#This Row],[Customer Tenure in months]] &lt;=24, "1-2 years", TRUE, "2+ years")</f>
        <v>0-6 months</v>
      </c>
      <c r="M355">
        <v>2</v>
      </c>
      <c r="N355" t="s">
        <v>71</v>
      </c>
      <c r="O355" s="1">
        <v>14500</v>
      </c>
      <c r="P355">
        <v>10</v>
      </c>
      <c r="Q355" s="1">
        <v>145000</v>
      </c>
      <c r="R355">
        <v>169.88</v>
      </c>
      <c r="S355" t="s">
        <v>1091</v>
      </c>
      <c r="T355" t="s">
        <v>39</v>
      </c>
    </row>
    <row r="356" spans="1:20" x14ac:dyDescent="0.35">
      <c r="A356" s="22" t="s">
        <v>450</v>
      </c>
      <c r="B356" cm="1">
        <f t="array" ref="B356">IF(MATCH(Table1[[#This Row],[Customer ID]], Table1[Customer ID], 0) = ROW() - ROW(Table1[#Headers]), 1, 0)</f>
        <v>0</v>
      </c>
      <c r="C356" t="s">
        <v>451</v>
      </c>
      <c r="D356" s="2">
        <v>45713</v>
      </c>
      <c r="E356">
        <v>35</v>
      </c>
      <c r="F356" t="str" cm="1">
        <f t="array" ref="F356">_xlfn.IFS( Table1[[#This Row],[Age]]&lt;18, "&lt;18", Table1[[#This Row],[Age]]&lt;= 29, "18-29", Table1[[#This Row],[Age]]&lt;= 44, "30-44",  Table1[[#This Row],[Age]]&lt;=59, "45-59", TRUE, "60+")</f>
        <v>30-44</v>
      </c>
      <c r="G356" t="s">
        <v>452</v>
      </c>
      <c r="H356" t="s">
        <v>20</v>
      </c>
      <c r="I356" t="s">
        <v>30</v>
      </c>
      <c r="J356">
        <v>5</v>
      </c>
      <c r="K356" t="s">
        <v>55</v>
      </c>
      <c r="L356" t="str" cm="1">
        <f t="array" ref="L356">_xlfn.IFS(Table1[[#This Row],[Customer Tenure in months]]&lt;=6, "0-6 months", Table1[[#This Row],[Customer Tenure in months]] &lt;=12, "7-12 months", Table1[[#This Row],[Customer Tenure in months]] &lt;=24, "1-2 years", TRUE, "2+ years")</f>
        <v>0-6 months</v>
      </c>
      <c r="M356">
        <v>2</v>
      </c>
      <c r="N356" t="s">
        <v>58</v>
      </c>
      <c r="O356" s="1">
        <v>16000</v>
      </c>
      <c r="P356">
        <v>8</v>
      </c>
      <c r="Q356" s="1">
        <v>128000</v>
      </c>
      <c r="R356">
        <v>41.44</v>
      </c>
      <c r="S356" t="s">
        <v>1091</v>
      </c>
      <c r="T356" t="s">
        <v>39</v>
      </c>
    </row>
    <row r="357" spans="1:20" x14ac:dyDescent="0.35">
      <c r="A357" s="22" t="s">
        <v>450</v>
      </c>
      <c r="B357" cm="1">
        <f t="array" ref="B357">IF(MATCH(Table1[[#This Row],[Customer ID]], Table1[Customer ID], 0) = ROW() - ROW(Table1[#Headers]), 1, 0)</f>
        <v>0</v>
      </c>
      <c r="C357" t="s">
        <v>451</v>
      </c>
      <c r="D357" s="2">
        <v>45713</v>
      </c>
      <c r="E357">
        <v>35</v>
      </c>
      <c r="F357" t="str" cm="1">
        <f t="array" ref="F357">_xlfn.IFS( Table1[[#This Row],[Age]]&lt;18, "&lt;18", Table1[[#This Row],[Age]]&lt;= 29, "18-29", Table1[[#This Row],[Age]]&lt;= 44, "30-44",  Table1[[#This Row],[Age]]&lt;=59, "45-59", TRUE, "60+")</f>
        <v>30-44</v>
      </c>
      <c r="G357" t="s">
        <v>452</v>
      </c>
      <c r="H357" t="s">
        <v>29</v>
      </c>
      <c r="I357" t="s">
        <v>30</v>
      </c>
      <c r="J357">
        <v>5</v>
      </c>
      <c r="K357" t="s">
        <v>55</v>
      </c>
      <c r="L357" t="str" cm="1">
        <f t="array" ref="L357">_xlfn.IFS(Table1[[#This Row],[Customer Tenure in months]]&lt;=6, "0-6 months", Table1[[#This Row],[Customer Tenure in months]] &lt;=12, "7-12 months", Table1[[#This Row],[Customer Tenure in months]] &lt;=24, "1-2 years", TRUE, "2+ years")</f>
        <v>0-6 months</v>
      </c>
      <c r="M357">
        <v>2</v>
      </c>
      <c r="N357" t="s">
        <v>87</v>
      </c>
      <c r="O357" s="1">
        <v>7500</v>
      </c>
      <c r="P357">
        <v>2</v>
      </c>
      <c r="Q357" s="1">
        <v>15000</v>
      </c>
      <c r="R357">
        <v>98.66</v>
      </c>
      <c r="S357" t="s">
        <v>1091</v>
      </c>
      <c r="T357" t="s">
        <v>39</v>
      </c>
    </row>
    <row r="358" spans="1:20" x14ac:dyDescent="0.35">
      <c r="A358" s="22" t="s">
        <v>453</v>
      </c>
      <c r="B358" cm="1">
        <f t="array" ref="B358">IF(MATCH(Table1[[#This Row],[Customer ID]], Table1[Customer ID], 0) = ROW() - ROW(Table1[#Headers]), 1, 0)</f>
        <v>1</v>
      </c>
      <c r="C358" t="s">
        <v>454</v>
      </c>
      <c r="D358" s="2">
        <v>45713</v>
      </c>
      <c r="E358">
        <v>51</v>
      </c>
      <c r="F358" t="str" cm="1">
        <f t="array" ref="F358">_xlfn.IFS( Table1[[#This Row],[Age]]&lt;18, "&lt;18", Table1[[#This Row],[Age]]&lt;= 29, "18-29", Table1[[#This Row],[Age]]&lt;= 44, "30-44",  Table1[[#This Row],[Age]]&lt;=59, "45-59", TRUE, "60+")</f>
        <v>45-59</v>
      </c>
      <c r="G358" t="s">
        <v>299</v>
      </c>
      <c r="H358" t="s">
        <v>29</v>
      </c>
      <c r="I358" t="s">
        <v>21</v>
      </c>
      <c r="J358">
        <v>5</v>
      </c>
      <c r="K358" t="s">
        <v>55</v>
      </c>
      <c r="L358" t="str" cm="1">
        <f t="array" ref="L358">_xlfn.IFS(Table1[[#This Row],[Customer Tenure in months]]&lt;=6, "0-6 months", Table1[[#This Row],[Customer Tenure in months]] &lt;=12, "7-12 months", Table1[[#This Row],[Customer Tenure in months]] &lt;=24, "1-2 years", TRUE, "2+ years")</f>
        <v>2+ years</v>
      </c>
      <c r="M358">
        <v>59</v>
      </c>
      <c r="N358" t="s">
        <v>83</v>
      </c>
      <c r="O358" s="1">
        <v>1000</v>
      </c>
      <c r="P358">
        <v>17</v>
      </c>
      <c r="Q358" s="1">
        <v>17000</v>
      </c>
      <c r="R358">
        <v>116.36</v>
      </c>
      <c r="S358" t="s">
        <v>1091</v>
      </c>
      <c r="T358" t="s">
        <v>39</v>
      </c>
    </row>
    <row r="359" spans="1:20" x14ac:dyDescent="0.35">
      <c r="A359" s="22" t="s">
        <v>453</v>
      </c>
      <c r="B359" cm="1">
        <f t="array" ref="B359">IF(MATCH(Table1[[#This Row],[Customer ID]], Table1[Customer ID], 0) = ROW() - ROW(Table1[#Headers]), 1, 0)</f>
        <v>0</v>
      </c>
      <c r="C359" t="s">
        <v>454</v>
      </c>
      <c r="D359" s="2">
        <v>45713</v>
      </c>
      <c r="E359">
        <v>51</v>
      </c>
      <c r="F359" t="str" cm="1">
        <f t="array" ref="F359">_xlfn.IFS( Table1[[#This Row],[Age]]&lt;18, "&lt;18", Table1[[#This Row],[Age]]&lt;= 29, "18-29", Table1[[#This Row],[Age]]&lt;= 44, "30-44",  Table1[[#This Row],[Age]]&lt;=59, "45-59", TRUE, "60+")</f>
        <v>45-59</v>
      </c>
      <c r="G359" t="s">
        <v>299</v>
      </c>
      <c r="H359" t="s">
        <v>36</v>
      </c>
      <c r="I359" t="s">
        <v>21</v>
      </c>
      <c r="J359">
        <v>5</v>
      </c>
      <c r="K359" t="s">
        <v>55</v>
      </c>
      <c r="L359" t="str" cm="1">
        <f t="array" ref="L359">_xlfn.IFS(Table1[[#This Row],[Customer Tenure in months]]&lt;=6, "0-6 months", Table1[[#This Row],[Customer Tenure in months]] &lt;=12, "7-12 months", Table1[[#This Row],[Customer Tenure in months]] &lt;=24, "1-2 years", TRUE, "2+ years")</f>
        <v>2+ years</v>
      </c>
      <c r="M359">
        <v>59</v>
      </c>
      <c r="N359" t="s">
        <v>65</v>
      </c>
      <c r="O359" s="1">
        <v>30000</v>
      </c>
      <c r="P359">
        <v>13</v>
      </c>
      <c r="Q359" s="1">
        <v>390000</v>
      </c>
      <c r="R359">
        <v>127.62</v>
      </c>
      <c r="S359" t="s">
        <v>1091</v>
      </c>
      <c r="T359" t="s">
        <v>39</v>
      </c>
    </row>
    <row r="360" spans="1:20" x14ac:dyDescent="0.35">
      <c r="A360" s="22" t="s">
        <v>455</v>
      </c>
      <c r="B360" cm="1">
        <f t="array" ref="B360">IF(MATCH(Table1[[#This Row],[Customer ID]], Table1[Customer ID], 0) = ROW() - ROW(Table1[#Headers]), 1, 0)</f>
        <v>1</v>
      </c>
      <c r="C360" t="s">
        <v>217</v>
      </c>
      <c r="D360" s="2">
        <v>45741</v>
      </c>
      <c r="E360">
        <v>23</v>
      </c>
      <c r="F360" t="str" cm="1">
        <f t="array" ref="F360">_xlfn.IFS( Table1[[#This Row],[Age]]&lt;18, "&lt;18", Table1[[#This Row],[Age]]&lt;= 29, "18-29", Table1[[#This Row],[Age]]&lt;= 44, "30-44",  Table1[[#This Row],[Age]]&lt;=59, "45-59", TRUE, "60+")</f>
        <v>18-29</v>
      </c>
      <c r="G360" t="s">
        <v>19</v>
      </c>
      <c r="H360" t="s">
        <v>36</v>
      </c>
      <c r="I360" t="s">
        <v>21</v>
      </c>
      <c r="J360">
        <v>3</v>
      </c>
      <c r="K360" t="s">
        <v>50</v>
      </c>
      <c r="L360" t="str" cm="1">
        <f t="array" ref="L360">_xlfn.IFS(Table1[[#This Row],[Customer Tenure in months]]&lt;=6, "0-6 months", Table1[[#This Row],[Customer Tenure in months]] &lt;=12, "7-12 months", Table1[[#This Row],[Customer Tenure in months]] &lt;=24, "1-2 years", TRUE, "2+ years")</f>
        <v>1-2 years</v>
      </c>
      <c r="M360">
        <v>16</v>
      </c>
      <c r="N360" t="s">
        <v>57</v>
      </c>
      <c r="O360" s="1">
        <v>150000</v>
      </c>
      <c r="P360">
        <v>3</v>
      </c>
      <c r="Q360" s="1">
        <v>450000</v>
      </c>
      <c r="R360">
        <v>54.76</v>
      </c>
      <c r="S360" t="s">
        <v>1091</v>
      </c>
      <c r="T360" t="s">
        <v>39</v>
      </c>
    </row>
    <row r="361" spans="1:20" x14ac:dyDescent="0.35">
      <c r="A361" s="22" t="s">
        <v>455</v>
      </c>
      <c r="B361" cm="1">
        <f t="array" ref="B361">IF(MATCH(Table1[[#This Row],[Customer ID]], Table1[Customer ID], 0) = ROW() - ROW(Table1[#Headers]), 1, 0)</f>
        <v>0</v>
      </c>
      <c r="C361" t="s">
        <v>217</v>
      </c>
      <c r="D361" s="2">
        <v>45741</v>
      </c>
      <c r="E361">
        <v>23</v>
      </c>
      <c r="F361" t="str" cm="1">
        <f t="array" ref="F361">_xlfn.IFS( Table1[[#This Row],[Age]]&lt;18, "&lt;18", Table1[[#This Row],[Age]]&lt;= 29, "18-29", Table1[[#This Row],[Age]]&lt;= 44, "30-44",  Table1[[#This Row],[Age]]&lt;=59, "45-59", TRUE, "60+")</f>
        <v>18-29</v>
      </c>
      <c r="G361" t="s">
        <v>19</v>
      </c>
      <c r="H361" t="s">
        <v>20</v>
      </c>
      <c r="I361" t="s">
        <v>21</v>
      </c>
      <c r="J361">
        <v>3</v>
      </c>
      <c r="K361" t="s">
        <v>50</v>
      </c>
      <c r="L361" t="str" cm="1">
        <f t="array" ref="L361">_xlfn.IFS(Table1[[#This Row],[Customer Tenure in months]]&lt;=6, "0-6 months", Table1[[#This Row],[Customer Tenure in months]] &lt;=12, "7-12 months", Table1[[#This Row],[Customer Tenure in months]] &lt;=24, "1-2 years", TRUE, "2+ years")</f>
        <v>1-2 years</v>
      </c>
      <c r="M361">
        <v>16</v>
      </c>
      <c r="N361" t="s">
        <v>46</v>
      </c>
      <c r="O361" s="1">
        <v>4500</v>
      </c>
      <c r="P361">
        <v>19</v>
      </c>
      <c r="Q361" s="1">
        <v>85500</v>
      </c>
      <c r="R361">
        <v>27.65</v>
      </c>
      <c r="S361" t="s">
        <v>1091</v>
      </c>
      <c r="T361" t="s">
        <v>39</v>
      </c>
    </row>
    <row r="362" spans="1:20" x14ac:dyDescent="0.35">
      <c r="A362" s="22" t="s">
        <v>456</v>
      </c>
      <c r="B362" cm="1">
        <f t="array" ref="B362">IF(MATCH(Table1[[#This Row],[Customer ID]], Table1[Customer ID], 0) = ROW() - ROW(Table1[#Headers]), 1, 0)</f>
        <v>1</v>
      </c>
      <c r="C362" t="s">
        <v>457</v>
      </c>
      <c r="D362" s="2">
        <v>45713</v>
      </c>
      <c r="E362">
        <v>35</v>
      </c>
      <c r="F362" t="str" cm="1">
        <f t="array" ref="F362">_xlfn.IFS( Table1[[#This Row],[Age]]&lt;18, "&lt;18", Table1[[#This Row],[Age]]&lt;= 29, "18-29", Table1[[#This Row],[Age]]&lt;= 44, "30-44",  Table1[[#This Row],[Age]]&lt;=59, "45-59", TRUE, "60+")</f>
        <v>30-44</v>
      </c>
      <c r="G362" t="s">
        <v>95</v>
      </c>
      <c r="H362" t="s">
        <v>36</v>
      </c>
      <c r="I362" t="s">
        <v>21</v>
      </c>
      <c r="J362">
        <v>3</v>
      </c>
      <c r="K362" t="s">
        <v>50</v>
      </c>
      <c r="L362" t="str" cm="1">
        <f t="array" ref="L362">_xlfn.IFS(Table1[[#This Row],[Customer Tenure in months]]&lt;=6, "0-6 months", Table1[[#This Row],[Customer Tenure in months]] &lt;=12, "7-12 months", Table1[[#This Row],[Customer Tenure in months]] &lt;=24, "1-2 years", TRUE, "2+ years")</f>
        <v>2+ years</v>
      </c>
      <c r="M362">
        <v>29</v>
      </c>
      <c r="N362" t="s">
        <v>62</v>
      </c>
      <c r="O362" s="1">
        <v>24000</v>
      </c>
      <c r="P362">
        <v>4</v>
      </c>
      <c r="Q362" s="1">
        <v>96000</v>
      </c>
      <c r="R362">
        <v>92.94</v>
      </c>
      <c r="S362" t="s">
        <v>1091</v>
      </c>
      <c r="T362" t="s">
        <v>39</v>
      </c>
    </row>
    <row r="363" spans="1:20" x14ac:dyDescent="0.35">
      <c r="A363" s="22" t="s">
        <v>456</v>
      </c>
      <c r="B363" cm="1">
        <f t="array" ref="B363">IF(MATCH(Table1[[#This Row],[Customer ID]], Table1[Customer ID], 0) = ROW() - ROW(Table1[#Headers]), 1, 0)</f>
        <v>0</v>
      </c>
      <c r="C363" t="s">
        <v>457</v>
      </c>
      <c r="D363" s="2">
        <v>45713</v>
      </c>
      <c r="E363">
        <v>35</v>
      </c>
      <c r="F363" t="str" cm="1">
        <f t="array" ref="F363">_xlfn.IFS( Table1[[#This Row],[Age]]&lt;18, "&lt;18", Table1[[#This Row],[Age]]&lt;= 29, "18-29", Table1[[#This Row],[Age]]&lt;= 44, "30-44",  Table1[[#This Row],[Age]]&lt;=59, "45-59", TRUE, "60+")</f>
        <v>30-44</v>
      </c>
      <c r="G363" t="s">
        <v>95</v>
      </c>
      <c r="H363" t="s">
        <v>41</v>
      </c>
      <c r="I363" t="s">
        <v>21</v>
      </c>
      <c r="J363">
        <v>3</v>
      </c>
      <c r="K363" t="s">
        <v>50</v>
      </c>
      <c r="L363" t="str" cm="1">
        <f t="array" ref="L363">_xlfn.IFS(Table1[[#This Row],[Customer Tenure in months]]&lt;=6, "0-6 months", Table1[[#This Row],[Customer Tenure in months]] &lt;=12, "7-12 months", Table1[[#This Row],[Customer Tenure in months]] &lt;=24, "1-2 years", TRUE, "2+ years")</f>
        <v>2+ years</v>
      </c>
      <c r="M363">
        <v>29</v>
      </c>
      <c r="N363" t="s">
        <v>42</v>
      </c>
      <c r="O363" s="1">
        <v>9000</v>
      </c>
      <c r="P363">
        <v>10</v>
      </c>
      <c r="Q363" s="1">
        <v>90000</v>
      </c>
      <c r="R363">
        <v>31.94</v>
      </c>
      <c r="S363" t="s">
        <v>1091</v>
      </c>
      <c r="T363" t="s">
        <v>39</v>
      </c>
    </row>
    <row r="364" spans="1:20" x14ac:dyDescent="0.35">
      <c r="A364" s="22" t="s">
        <v>456</v>
      </c>
      <c r="B364" cm="1">
        <f t="array" ref="B364">IF(MATCH(Table1[[#This Row],[Customer ID]], Table1[Customer ID], 0) = ROW() - ROW(Table1[#Headers]), 1, 0)</f>
        <v>0</v>
      </c>
      <c r="C364" t="s">
        <v>457</v>
      </c>
      <c r="D364" s="2">
        <v>45713</v>
      </c>
      <c r="E364">
        <v>35</v>
      </c>
      <c r="F364" t="str" cm="1">
        <f t="array" ref="F364">_xlfn.IFS( Table1[[#This Row],[Age]]&lt;18, "&lt;18", Table1[[#This Row],[Age]]&lt;= 29, "18-29", Table1[[#This Row],[Age]]&lt;= 44, "30-44",  Table1[[#This Row],[Age]]&lt;=59, "45-59", TRUE, "60+")</f>
        <v>30-44</v>
      </c>
      <c r="G364" t="s">
        <v>95</v>
      </c>
      <c r="H364" t="s">
        <v>29</v>
      </c>
      <c r="I364" t="s">
        <v>21</v>
      </c>
      <c r="J364">
        <v>3</v>
      </c>
      <c r="K364" t="s">
        <v>50</v>
      </c>
      <c r="L364" t="str" cm="1">
        <f t="array" ref="L364">_xlfn.IFS(Table1[[#This Row],[Customer Tenure in months]]&lt;=6, "0-6 months", Table1[[#This Row],[Customer Tenure in months]] &lt;=12, "7-12 months", Table1[[#This Row],[Customer Tenure in months]] &lt;=24, "1-2 years", TRUE, "2+ years")</f>
        <v>2+ years</v>
      </c>
      <c r="M364">
        <v>29</v>
      </c>
      <c r="N364" t="s">
        <v>58</v>
      </c>
      <c r="O364" s="1">
        <v>16000</v>
      </c>
      <c r="P364">
        <v>11</v>
      </c>
      <c r="Q364" s="1">
        <v>176000</v>
      </c>
      <c r="R364">
        <v>43.4</v>
      </c>
      <c r="S364" t="s">
        <v>1091</v>
      </c>
      <c r="T364" t="s">
        <v>39</v>
      </c>
    </row>
    <row r="365" spans="1:20" x14ac:dyDescent="0.35">
      <c r="A365" s="22" t="s">
        <v>458</v>
      </c>
      <c r="B365" cm="1">
        <f t="array" ref="B365">IF(MATCH(Table1[[#This Row],[Customer ID]], Table1[Customer ID], 0) = ROW() - ROW(Table1[#Headers]), 1, 0)</f>
        <v>1</v>
      </c>
      <c r="C365" t="s">
        <v>459</v>
      </c>
      <c r="D365" s="2">
        <v>45682</v>
      </c>
      <c r="E365">
        <v>27</v>
      </c>
      <c r="F365" t="str" cm="1">
        <f t="array" ref="F365">_xlfn.IFS( Table1[[#This Row],[Age]]&lt;18, "&lt;18", Table1[[#This Row],[Age]]&lt;= 29, "18-29", Table1[[#This Row],[Age]]&lt;= 44, "30-44",  Table1[[#This Row],[Age]]&lt;=59, "45-59", TRUE, "60+")</f>
        <v>18-29</v>
      </c>
      <c r="G365" t="s">
        <v>70</v>
      </c>
      <c r="H365" t="s">
        <v>29</v>
      </c>
      <c r="I365" t="s">
        <v>30</v>
      </c>
      <c r="J365">
        <v>3</v>
      </c>
      <c r="K365" t="s">
        <v>50</v>
      </c>
      <c r="L365" t="str" cm="1">
        <f t="array" ref="L365">_xlfn.IFS(Table1[[#This Row],[Customer Tenure in months]]&lt;=6, "0-6 months", Table1[[#This Row],[Customer Tenure in months]] &lt;=12, "7-12 months", Table1[[#This Row],[Customer Tenure in months]] &lt;=24, "1-2 years", TRUE, "2+ years")</f>
        <v>2+ years</v>
      </c>
      <c r="M365">
        <v>26</v>
      </c>
      <c r="N365" t="s">
        <v>31</v>
      </c>
      <c r="O365" s="1">
        <v>5500</v>
      </c>
      <c r="P365">
        <v>18</v>
      </c>
      <c r="Q365" s="1">
        <v>99000</v>
      </c>
      <c r="R365">
        <v>111.41</v>
      </c>
      <c r="S365" t="s">
        <v>265</v>
      </c>
      <c r="T365" t="s">
        <v>24</v>
      </c>
    </row>
    <row r="366" spans="1:20" x14ac:dyDescent="0.35">
      <c r="A366" s="22" t="s">
        <v>460</v>
      </c>
      <c r="B366" cm="1">
        <f t="array" ref="B366">IF(MATCH(Table1[[#This Row],[Customer ID]], Table1[Customer ID], 0) = ROW() - ROW(Table1[#Headers]), 1, 0)</f>
        <v>1</v>
      </c>
      <c r="C366" t="s">
        <v>461</v>
      </c>
      <c r="D366" s="2">
        <v>45713</v>
      </c>
      <c r="E366">
        <v>28</v>
      </c>
      <c r="F366" t="str" cm="1">
        <f t="array" ref="F366">_xlfn.IFS( Table1[[#This Row],[Age]]&lt;18, "&lt;18", Table1[[#This Row],[Age]]&lt;= 29, "18-29", Table1[[#This Row],[Age]]&lt;= 44, "30-44",  Table1[[#This Row],[Age]]&lt;=59, "45-59", TRUE, "60+")</f>
        <v>18-29</v>
      </c>
      <c r="G366" t="s">
        <v>35</v>
      </c>
      <c r="H366" t="s">
        <v>20</v>
      </c>
      <c r="I366" t="s">
        <v>21</v>
      </c>
      <c r="J366">
        <v>1</v>
      </c>
      <c r="K366" t="s">
        <v>37</v>
      </c>
      <c r="L366" t="str" cm="1">
        <f t="array" ref="L366">_xlfn.IFS(Table1[[#This Row],[Customer Tenure in months]]&lt;=6, "0-6 months", Table1[[#This Row],[Customer Tenure in months]] &lt;=12, "7-12 months", Table1[[#This Row],[Customer Tenure in months]] &lt;=24, "1-2 years", TRUE, "2+ years")</f>
        <v>2+ years</v>
      </c>
      <c r="M366">
        <v>52</v>
      </c>
      <c r="N366" t="s">
        <v>46</v>
      </c>
      <c r="O366" s="1">
        <v>4500</v>
      </c>
      <c r="P366">
        <v>12</v>
      </c>
      <c r="Q366" s="1">
        <v>54000</v>
      </c>
      <c r="R366">
        <v>164.82</v>
      </c>
      <c r="S366" t="s">
        <v>32</v>
      </c>
      <c r="T366" t="s">
        <v>24</v>
      </c>
    </row>
    <row r="367" spans="1:20" x14ac:dyDescent="0.35">
      <c r="A367" s="22" t="s">
        <v>462</v>
      </c>
      <c r="B367" cm="1">
        <f t="array" ref="B367">IF(MATCH(Table1[[#This Row],[Customer ID]], Table1[Customer ID], 0) = ROW() - ROW(Table1[#Headers]), 1, 0)</f>
        <v>1</v>
      </c>
      <c r="C367" t="s">
        <v>463</v>
      </c>
      <c r="D367" s="2">
        <v>45713</v>
      </c>
      <c r="E367">
        <v>49</v>
      </c>
      <c r="F367" t="str" cm="1">
        <f t="array" ref="F367">_xlfn.IFS( Table1[[#This Row],[Age]]&lt;18, "&lt;18", Table1[[#This Row],[Age]]&lt;= 29, "18-29", Table1[[#This Row],[Age]]&lt;= 44, "30-44",  Table1[[#This Row],[Age]]&lt;=59, "45-59", TRUE, "60+")</f>
        <v>45-59</v>
      </c>
      <c r="G367" t="s">
        <v>146</v>
      </c>
      <c r="H367" t="s">
        <v>36</v>
      </c>
      <c r="I367" t="s">
        <v>21</v>
      </c>
      <c r="J367">
        <v>4</v>
      </c>
      <c r="K367" t="s">
        <v>114</v>
      </c>
      <c r="L367" t="str" cm="1">
        <f t="array" ref="L367">_xlfn.IFS(Table1[[#This Row],[Customer Tenure in months]]&lt;=6, "0-6 months", Table1[[#This Row],[Customer Tenure in months]] &lt;=12, "7-12 months", Table1[[#This Row],[Customer Tenure in months]] &lt;=24, "1-2 years", TRUE, "2+ years")</f>
        <v>0-6 months</v>
      </c>
      <c r="M367">
        <v>5</v>
      </c>
      <c r="N367" t="s">
        <v>38</v>
      </c>
      <c r="O367" s="1">
        <v>20000</v>
      </c>
      <c r="P367">
        <v>15</v>
      </c>
      <c r="Q367" s="1">
        <v>300000</v>
      </c>
      <c r="R367">
        <v>9.02</v>
      </c>
      <c r="S367" t="s">
        <v>1091</v>
      </c>
      <c r="T367" t="s">
        <v>39</v>
      </c>
    </row>
    <row r="368" spans="1:20" x14ac:dyDescent="0.35">
      <c r="A368" s="22" t="s">
        <v>464</v>
      </c>
      <c r="B368" cm="1">
        <f t="array" ref="B368">IF(MATCH(Table1[[#This Row],[Customer ID]], Table1[Customer ID], 0) = ROW() - ROW(Table1[#Headers]), 1, 0)</f>
        <v>1</v>
      </c>
      <c r="C368" t="s">
        <v>465</v>
      </c>
      <c r="D368" s="2">
        <v>45682</v>
      </c>
      <c r="E368">
        <v>37</v>
      </c>
      <c r="F368" t="str" cm="1">
        <f t="array" ref="F368">_xlfn.IFS( Table1[[#This Row],[Age]]&lt;18, "&lt;18", Table1[[#This Row],[Age]]&lt;= 29, "18-29", Table1[[#This Row],[Age]]&lt;= 44, "30-44",  Table1[[#This Row],[Age]]&lt;=59, "45-59", TRUE, "60+")</f>
        <v>30-44</v>
      </c>
      <c r="G368" t="s">
        <v>19</v>
      </c>
      <c r="H368" t="s">
        <v>36</v>
      </c>
      <c r="I368" t="s">
        <v>30</v>
      </c>
      <c r="J368">
        <v>4</v>
      </c>
      <c r="K368" t="s">
        <v>114</v>
      </c>
      <c r="L368" t="str" cm="1">
        <f t="array" ref="L368">_xlfn.IFS(Table1[[#This Row],[Customer Tenure in months]]&lt;=6, "0-6 months", Table1[[#This Row],[Customer Tenure in months]] &lt;=12, "7-12 months", Table1[[#This Row],[Customer Tenure in months]] &lt;=24, "1-2 years", TRUE, "2+ years")</f>
        <v>2+ years</v>
      </c>
      <c r="M368">
        <v>32</v>
      </c>
      <c r="N368" t="s">
        <v>71</v>
      </c>
      <c r="O368" s="1">
        <v>14500</v>
      </c>
      <c r="P368">
        <v>9</v>
      </c>
      <c r="Q368" s="1">
        <v>130500</v>
      </c>
      <c r="R368">
        <v>181.71</v>
      </c>
      <c r="S368" t="s">
        <v>1091</v>
      </c>
      <c r="T368" t="s">
        <v>39</v>
      </c>
    </row>
    <row r="369" spans="1:20" x14ac:dyDescent="0.35">
      <c r="A369" s="22" t="s">
        <v>466</v>
      </c>
      <c r="B369" cm="1">
        <f t="array" ref="B369">IF(MATCH(Table1[[#This Row],[Customer ID]], Table1[Customer ID], 0) = ROW() - ROW(Table1[#Headers]), 1, 0)</f>
        <v>1</v>
      </c>
      <c r="C369" t="s">
        <v>467</v>
      </c>
      <c r="D369" s="2">
        <v>45713</v>
      </c>
      <c r="E369">
        <v>73</v>
      </c>
      <c r="F369" t="str" cm="1">
        <f t="array" ref="F369">_xlfn.IFS( Table1[[#This Row],[Age]]&lt;18, "&lt;18", Table1[[#This Row],[Age]]&lt;= 29, "18-29", Table1[[#This Row],[Age]]&lt;= 44, "30-44",  Table1[[#This Row],[Age]]&lt;=59, "45-59", TRUE, "60+")</f>
        <v>60+</v>
      </c>
      <c r="G369" t="s">
        <v>54</v>
      </c>
      <c r="H369" t="s">
        <v>29</v>
      </c>
      <c r="I369" t="s">
        <v>21</v>
      </c>
      <c r="J369">
        <v>3</v>
      </c>
      <c r="K369" t="s">
        <v>50</v>
      </c>
      <c r="L369" t="str" cm="1">
        <f t="array" ref="L369">_xlfn.IFS(Table1[[#This Row],[Customer Tenure in months]]&lt;=6, "0-6 months", Table1[[#This Row],[Customer Tenure in months]] &lt;=12, "7-12 months", Table1[[#This Row],[Customer Tenure in months]] &lt;=24, "1-2 years", TRUE, "2+ years")</f>
        <v>2+ years</v>
      </c>
      <c r="M369">
        <v>40</v>
      </c>
      <c r="N369" t="s">
        <v>40</v>
      </c>
      <c r="O369" s="1">
        <v>500</v>
      </c>
      <c r="P369">
        <v>14</v>
      </c>
      <c r="Q369" s="1">
        <v>7000</v>
      </c>
      <c r="R369">
        <v>76.91</v>
      </c>
      <c r="S369" t="s">
        <v>1091</v>
      </c>
      <c r="T369" t="s">
        <v>39</v>
      </c>
    </row>
    <row r="370" spans="1:20" x14ac:dyDescent="0.35">
      <c r="A370" s="22" t="s">
        <v>466</v>
      </c>
      <c r="B370" cm="1">
        <f t="array" ref="B370">IF(MATCH(Table1[[#This Row],[Customer ID]], Table1[Customer ID], 0) = ROW() - ROW(Table1[#Headers]), 1, 0)</f>
        <v>0</v>
      </c>
      <c r="C370" t="s">
        <v>467</v>
      </c>
      <c r="D370" s="2">
        <v>45713</v>
      </c>
      <c r="E370">
        <v>73</v>
      </c>
      <c r="F370" t="str" cm="1">
        <f t="array" ref="F370">_xlfn.IFS( Table1[[#This Row],[Age]]&lt;18, "&lt;18", Table1[[#This Row],[Age]]&lt;= 29, "18-29", Table1[[#This Row],[Age]]&lt;= 44, "30-44",  Table1[[#This Row],[Age]]&lt;=59, "45-59", TRUE, "60+")</f>
        <v>60+</v>
      </c>
      <c r="G370" t="s">
        <v>54</v>
      </c>
      <c r="H370" t="s">
        <v>41</v>
      </c>
      <c r="I370" t="s">
        <v>21</v>
      </c>
      <c r="J370">
        <v>3</v>
      </c>
      <c r="K370" t="s">
        <v>50</v>
      </c>
      <c r="L370" t="str" cm="1">
        <f t="array" ref="L370">_xlfn.IFS(Table1[[#This Row],[Customer Tenure in months]]&lt;=6, "0-6 months", Table1[[#This Row],[Customer Tenure in months]] &lt;=12, "7-12 months", Table1[[#This Row],[Customer Tenure in months]] &lt;=24, "1-2 years", TRUE, "2+ years")</f>
        <v>2+ years</v>
      </c>
      <c r="M370">
        <v>40</v>
      </c>
      <c r="N370" t="s">
        <v>38</v>
      </c>
      <c r="O370" s="1">
        <v>20000</v>
      </c>
      <c r="P370">
        <v>17</v>
      </c>
      <c r="Q370" s="1">
        <v>340000</v>
      </c>
      <c r="R370">
        <v>128.71</v>
      </c>
      <c r="S370" t="s">
        <v>1091</v>
      </c>
      <c r="T370" t="s">
        <v>39</v>
      </c>
    </row>
    <row r="371" spans="1:20" x14ac:dyDescent="0.35">
      <c r="A371" s="22" t="s">
        <v>466</v>
      </c>
      <c r="B371" cm="1">
        <f t="array" ref="B371">IF(MATCH(Table1[[#This Row],[Customer ID]], Table1[Customer ID], 0) = ROW() - ROW(Table1[#Headers]), 1, 0)</f>
        <v>0</v>
      </c>
      <c r="C371" t="s">
        <v>467</v>
      </c>
      <c r="D371" s="2">
        <v>45713</v>
      </c>
      <c r="E371">
        <v>73</v>
      </c>
      <c r="F371" t="str" cm="1">
        <f t="array" ref="F371">_xlfn.IFS( Table1[[#This Row],[Age]]&lt;18, "&lt;18", Table1[[#This Row],[Age]]&lt;= 29, "18-29", Table1[[#This Row],[Age]]&lt;= 44, "30-44",  Table1[[#This Row],[Age]]&lt;=59, "45-59", TRUE, "60+")</f>
        <v>60+</v>
      </c>
      <c r="G371" t="s">
        <v>54</v>
      </c>
      <c r="H371" t="s">
        <v>36</v>
      </c>
      <c r="I371" t="s">
        <v>21</v>
      </c>
      <c r="J371">
        <v>3</v>
      </c>
      <c r="K371" t="s">
        <v>50</v>
      </c>
      <c r="L371" t="str" cm="1">
        <f t="array" ref="L371">_xlfn.IFS(Table1[[#This Row],[Customer Tenure in months]]&lt;=6, "0-6 months", Table1[[#This Row],[Customer Tenure in months]] &lt;=12, "7-12 months", Table1[[#This Row],[Customer Tenure in months]] &lt;=24, "1-2 years", TRUE, "2+ years")</f>
        <v>2+ years</v>
      </c>
      <c r="M371">
        <v>40</v>
      </c>
      <c r="N371" t="s">
        <v>71</v>
      </c>
      <c r="O371" s="1">
        <v>14500</v>
      </c>
      <c r="P371">
        <v>18</v>
      </c>
      <c r="Q371" s="1">
        <v>261000</v>
      </c>
      <c r="R371">
        <v>126.34</v>
      </c>
      <c r="S371" t="s">
        <v>1091</v>
      </c>
      <c r="T371" t="s">
        <v>39</v>
      </c>
    </row>
    <row r="372" spans="1:20" x14ac:dyDescent="0.35">
      <c r="A372" s="22" t="s">
        <v>468</v>
      </c>
      <c r="B372" cm="1">
        <f t="array" ref="B372">IF(MATCH(Table1[[#This Row],[Customer ID]], Table1[Customer ID], 0) = ROW() - ROW(Table1[#Headers]), 1, 0)</f>
        <v>1</v>
      </c>
      <c r="C372" t="s">
        <v>469</v>
      </c>
      <c r="D372" s="2">
        <v>45713</v>
      </c>
      <c r="E372">
        <v>64</v>
      </c>
      <c r="F372" t="str" cm="1">
        <f t="array" ref="F372">_xlfn.IFS( Table1[[#This Row],[Age]]&lt;18, "&lt;18", Table1[[#This Row],[Age]]&lt;= 29, "18-29", Table1[[#This Row],[Age]]&lt;= 44, "30-44",  Table1[[#This Row],[Age]]&lt;=59, "45-59", TRUE, "60+")</f>
        <v>60+</v>
      </c>
      <c r="G372" t="s">
        <v>152</v>
      </c>
      <c r="H372" t="s">
        <v>36</v>
      </c>
      <c r="I372" t="s">
        <v>30</v>
      </c>
      <c r="J372">
        <v>3</v>
      </c>
      <c r="K372" t="s">
        <v>50</v>
      </c>
      <c r="L372" t="str" cm="1">
        <f t="array" ref="L372">_xlfn.IFS(Table1[[#This Row],[Customer Tenure in months]]&lt;=6, "0-6 months", Table1[[#This Row],[Customer Tenure in months]] &lt;=12, "7-12 months", Table1[[#This Row],[Customer Tenure in months]] &lt;=24, "1-2 years", TRUE, "2+ years")</f>
        <v>2+ years</v>
      </c>
      <c r="M372">
        <v>35</v>
      </c>
      <c r="N372" t="s">
        <v>65</v>
      </c>
      <c r="O372" s="1">
        <v>30000</v>
      </c>
      <c r="P372">
        <v>20</v>
      </c>
      <c r="Q372" s="1">
        <v>600000</v>
      </c>
      <c r="R372">
        <v>5.7</v>
      </c>
      <c r="S372" t="s">
        <v>1091</v>
      </c>
      <c r="T372" t="s">
        <v>39</v>
      </c>
    </row>
    <row r="373" spans="1:20" x14ac:dyDescent="0.35">
      <c r="A373" s="22" t="s">
        <v>468</v>
      </c>
      <c r="B373" cm="1">
        <f t="array" ref="B373">IF(MATCH(Table1[[#This Row],[Customer ID]], Table1[Customer ID], 0) = ROW() - ROW(Table1[#Headers]), 1, 0)</f>
        <v>0</v>
      </c>
      <c r="C373" t="s">
        <v>469</v>
      </c>
      <c r="D373" s="2">
        <v>45713</v>
      </c>
      <c r="E373">
        <v>64</v>
      </c>
      <c r="F373" t="str" cm="1">
        <f t="array" ref="F373">_xlfn.IFS( Table1[[#This Row],[Age]]&lt;18, "&lt;18", Table1[[#This Row],[Age]]&lt;= 29, "18-29", Table1[[#This Row],[Age]]&lt;= 44, "30-44",  Table1[[#This Row],[Age]]&lt;=59, "45-59", TRUE, "60+")</f>
        <v>60+</v>
      </c>
      <c r="G373" t="s">
        <v>152</v>
      </c>
      <c r="H373" t="s">
        <v>20</v>
      </c>
      <c r="I373" t="s">
        <v>30</v>
      </c>
      <c r="J373">
        <v>3</v>
      </c>
      <c r="K373" t="s">
        <v>50</v>
      </c>
      <c r="L373" t="str" cm="1">
        <f t="array" ref="L373">_xlfn.IFS(Table1[[#This Row],[Customer Tenure in months]]&lt;=6, "0-6 months", Table1[[#This Row],[Customer Tenure in months]] &lt;=12, "7-12 months", Table1[[#This Row],[Customer Tenure in months]] &lt;=24, "1-2 years", TRUE, "2+ years")</f>
        <v>2+ years</v>
      </c>
      <c r="M373">
        <v>35</v>
      </c>
      <c r="N373" t="s">
        <v>46</v>
      </c>
      <c r="O373" s="1">
        <v>4500</v>
      </c>
      <c r="P373">
        <v>9</v>
      </c>
      <c r="Q373" s="1">
        <v>40500</v>
      </c>
      <c r="R373">
        <v>6.35</v>
      </c>
      <c r="S373" t="s">
        <v>1091</v>
      </c>
      <c r="T373" t="s">
        <v>39</v>
      </c>
    </row>
    <row r="374" spans="1:20" x14ac:dyDescent="0.35">
      <c r="A374" s="22" t="s">
        <v>468</v>
      </c>
      <c r="B374" cm="1">
        <f t="array" ref="B374">IF(MATCH(Table1[[#This Row],[Customer ID]], Table1[Customer ID], 0) = ROW() - ROW(Table1[#Headers]), 1, 0)</f>
        <v>0</v>
      </c>
      <c r="C374" t="s">
        <v>469</v>
      </c>
      <c r="D374" s="2">
        <v>45713</v>
      </c>
      <c r="E374">
        <v>64</v>
      </c>
      <c r="F374" t="str" cm="1">
        <f t="array" ref="F374">_xlfn.IFS( Table1[[#This Row],[Age]]&lt;18, "&lt;18", Table1[[#This Row],[Age]]&lt;= 29, "18-29", Table1[[#This Row],[Age]]&lt;= 44, "30-44",  Table1[[#This Row],[Age]]&lt;=59, "45-59", TRUE, "60+")</f>
        <v>60+</v>
      </c>
      <c r="G374" t="s">
        <v>152</v>
      </c>
      <c r="H374" t="s">
        <v>29</v>
      </c>
      <c r="I374" t="s">
        <v>30</v>
      </c>
      <c r="J374">
        <v>3</v>
      </c>
      <c r="K374" t="s">
        <v>50</v>
      </c>
      <c r="L374" t="str" cm="1">
        <f t="array" ref="L374">_xlfn.IFS(Table1[[#This Row],[Customer Tenure in months]]&lt;=6, "0-6 months", Table1[[#This Row],[Customer Tenure in months]] &lt;=12, "7-12 months", Table1[[#This Row],[Customer Tenure in months]] &lt;=24, "1-2 years", TRUE, "2+ years")</f>
        <v>2+ years</v>
      </c>
      <c r="M374">
        <v>35</v>
      </c>
      <c r="N374" t="s">
        <v>102</v>
      </c>
      <c r="O374" s="1">
        <v>900</v>
      </c>
      <c r="P374">
        <v>16</v>
      </c>
      <c r="Q374" s="1">
        <v>14400</v>
      </c>
      <c r="R374">
        <v>161.83000000000001</v>
      </c>
      <c r="S374" t="s">
        <v>1091</v>
      </c>
      <c r="T374" t="s">
        <v>39</v>
      </c>
    </row>
    <row r="375" spans="1:20" x14ac:dyDescent="0.35">
      <c r="A375" s="22" t="s">
        <v>470</v>
      </c>
      <c r="B375" cm="1">
        <f t="array" ref="B375">IF(MATCH(Table1[[#This Row],[Customer ID]], Table1[Customer ID], 0) = ROW() - ROW(Table1[#Headers]), 1, 0)</f>
        <v>1</v>
      </c>
      <c r="C375" t="s">
        <v>471</v>
      </c>
      <c r="D375" s="2">
        <v>45713</v>
      </c>
      <c r="E375">
        <v>61</v>
      </c>
      <c r="F375" t="str" cm="1">
        <f t="array" ref="F375">_xlfn.IFS( Table1[[#This Row],[Age]]&lt;18, "&lt;18", Table1[[#This Row],[Age]]&lt;= 29, "18-29", Table1[[#This Row],[Age]]&lt;= 44, "30-44",  Table1[[#This Row],[Age]]&lt;=59, "45-59", TRUE, "60+")</f>
        <v>60+</v>
      </c>
      <c r="G375" t="s">
        <v>113</v>
      </c>
      <c r="H375" t="s">
        <v>41</v>
      </c>
      <c r="I375" t="s">
        <v>21</v>
      </c>
      <c r="J375">
        <v>2</v>
      </c>
      <c r="K375" t="s">
        <v>22</v>
      </c>
      <c r="L375" t="str" cm="1">
        <f t="array" ref="L375">_xlfn.IFS(Table1[[#This Row],[Customer Tenure in months]]&lt;=6, "0-6 months", Table1[[#This Row],[Customer Tenure in months]] &lt;=12, "7-12 months", Table1[[#This Row],[Customer Tenure in months]] &lt;=24, "1-2 years", TRUE, "2+ years")</f>
        <v>7-12 months</v>
      </c>
      <c r="M375">
        <v>7</v>
      </c>
      <c r="N375" t="s">
        <v>65</v>
      </c>
      <c r="O375" s="1">
        <v>30000</v>
      </c>
      <c r="P375">
        <v>6</v>
      </c>
      <c r="Q375" s="1">
        <v>180000</v>
      </c>
      <c r="R375">
        <v>187.07</v>
      </c>
      <c r="S375" t="s">
        <v>32</v>
      </c>
      <c r="T375" t="s">
        <v>24</v>
      </c>
    </row>
    <row r="376" spans="1:20" x14ac:dyDescent="0.35">
      <c r="A376" s="22" t="s">
        <v>470</v>
      </c>
      <c r="B376" cm="1">
        <f t="array" ref="B376">IF(MATCH(Table1[[#This Row],[Customer ID]], Table1[Customer ID], 0) = ROW() - ROW(Table1[#Headers]), 1, 0)</f>
        <v>0</v>
      </c>
      <c r="C376" t="s">
        <v>471</v>
      </c>
      <c r="D376" s="2">
        <v>45713</v>
      </c>
      <c r="E376">
        <v>61</v>
      </c>
      <c r="F376" t="str" cm="1">
        <f t="array" ref="F376">_xlfn.IFS( Table1[[#This Row],[Age]]&lt;18, "&lt;18", Table1[[#This Row],[Age]]&lt;= 29, "18-29", Table1[[#This Row],[Age]]&lt;= 44, "30-44",  Table1[[#This Row],[Age]]&lt;=59, "45-59", TRUE, "60+")</f>
        <v>60+</v>
      </c>
      <c r="G376" t="s">
        <v>113</v>
      </c>
      <c r="H376" t="s">
        <v>29</v>
      </c>
      <c r="I376" t="s">
        <v>21</v>
      </c>
      <c r="J376">
        <v>2</v>
      </c>
      <c r="K376" t="s">
        <v>22</v>
      </c>
      <c r="L376" t="str" cm="1">
        <f t="array" ref="L376">_xlfn.IFS(Table1[[#This Row],[Customer Tenure in months]]&lt;=6, "0-6 months", Table1[[#This Row],[Customer Tenure in months]] &lt;=12, "7-12 months", Table1[[#This Row],[Customer Tenure in months]] &lt;=24, "1-2 years", TRUE, "2+ years")</f>
        <v>7-12 months</v>
      </c>
      <c r="M376">
        <v>7</v>
      </c>
      <c r="N376" t="s">
        <v>164</v>
      </c>
      <c r="O376" s="1">
        <v>600</v>
      </c>
      <c r="P376">
        <v>11</v>
      </c>
      <c r="Q376" s="1">
        <v>6600</v>
      </c>
      <c r="R376">
        <v>47.69</v>
      </c>
      <c r="S376" t="s">
        <v>32</v>
      </c>
      <c r="T376" t="s">
        <v>24</v>
      </c>
    </row>
    <row r="377" spans="1:20" x14ac:dyDescent="0.35">
      <c r="A377" s="22" t="s">
        <v>470</v>
      </c>
      <c r="B377" cm="1">
        <f t="array" ref="B377">IF(MATCH(Table1[[#This Row],[Customer ID]], Table1[Customer ID], 0) = ROW() - ROW(Table1[#Headers]), 1, 0)</f>
        <v>0</v>
      </c>
      <c r="C377" t="s">
        <v>471</v>
      </c>
      <c r="D377" s="2">
        <v>45713</v>
      </c>
      <c r="E377">
        <v>61</v>
      </c>
      <c r="F377" t="str" cm="1">
        <f t="array" ref="F377">_xlfn.IFS( Table1[[#This Row],[Age]]&lt;18, "&lt;18", Table1[[#This Row],[Age]]&lt;= 29, "18-29", Table1[[#This Row],[Age]]&lt;= 44, "30-44",  Table1[[#This Row],[Age]]&lt;=59, "45-59", TRUE, "60+")</f>
        <v>60+</v>
      </c>
      <c r="G377" t="s">
        <v>113</v>
      </c>
      <c r="H377" t="s">
        <v>20</v>
      </c>
      <c r="I377" t="s">
        <v>21</v>
      </c>
      <c r="J377">
        <v>2</v>
      </c>
      <c r="K377" t="s">
        <v>22</v>
      </c>
      <c r="L377" t="str" cm="1">
        <f t="array" ref="L377">_xlfn.IFS(Table1[[#This Row],[Customer Tenure in months]]&lt;=6, "0-6 months", Table1[[#This Row],[Customer Tenure in months]] &lt;=12, "7-12 months", Table1[[#This Row],[Customer Tenure in months]] &lt;=24, "1-2 years", TRUE, "2+ years")</f>
        <v>7-12 months</v>
      </c>
      <c r="M377">
        <v>7</v>
      </c>
      <c r="N377" t="s">
        <v>51</v>
      </c>
      <c r="O377" s="1">
        <v>9000</v>
      </c>
      <c r="P377">
        <v>1</v>
      </c>
      <c r="Q377" s="1">
        <v>9000</v>
      </c>
      <c r="R377">
        <v>182.84</v>
      </c>
      <c r="S377" t="s">
        <v>32</v>
      </c>
      <c r="T377" t="s">
        <v>24</v>
      </c>
    </row>
    <row r="378" spans="1:20" x14ac:dyDescent="0.35">
      <c r="A378" s="22" t="s">
        <v>472</v>
      </c>
      <c r="B378" cm="1">
        <f t="array" ref="B378">IF(MATCH(Table1[[#This Row],[Customer ID]], Table1[Customer ID], 0) = ROW() - ROW(Table1[#Headers]), 1, 0)</f>
        <v>1</v>
      </c>
      <c r="C378" t="s">
        <v>473</v>
      </c>
      <c r="D378" s="2">
        <v>45741</v>
      </c>
      <c r="E378">
        <v>34</v>
      </c>
      <c r="F378" t="str" cm="1">
        <f t="array" ref="F378">_xlfn.IFS( Table1[[#This Row],[Age]]&lt;18, "&lt;18", Table1[[#This Row],[Age]]&lt;= 29, "18-29", Table1[[#This Row],[Age]]&lt;= 44, "30-44",  Table1[[#This Row],[Age]]&lt;=59, "45-59", TRUE, "60+")</f>
        <v>30-44</v>
      </c>
      <c r="G378" t="s">
        <v>121</v>
      </c>
      <c r="H378" t="s">
        <v>41</v>
      </c>
      <c r="I378" t="s">
        <v>30</v>
      </c>
      <c r="J378">
        <v>2</v>
      </c>
      <c r="K378" t="s">
        <v>22</v>
      </c>
      <c r="L378" t="str" cm="1">
        <f t="array" ref="L378">_xlfn.IFS(Table1[[#This Row],[Customer Tenure in months]]&lt;=6, "0-6 months", Table1[[#This Row],[Customer Tenure in months]] &lt;=12, "7-12 months", Table1[[#This Row],[Customer Tenure in months]] &lt;=24, "1-2 years", TRUE, "2+ years")</f>
        <v>2+ years</v>
      </c>
      <c r="M378">
        <v>35</v>
      </c>
      <c r="N378" t="s">
        <v>38</v>
      </c>
      <c r="O378" s="1">
        <v>20000</v>
      </c>
      <c r="P378">
        <v>1</v>
      </c>
      <c r="Q378" s="1">
        <v>20000</v>
      </c>
      <c r="R378">
        <v>120.53</v>
      </c>
      <c r="S378" t="s">
        <v>1091</v>
      </c>
      <c r="T378" t="s">
        <v>39</v>
      </c>
    </row>
    <row r="379" spans="1:20" x14ac:dyDescent="0.35">
      <c r="A379" s="22" t="s">
        <v>474</v>
      </c>
      <c r="B379" cm="1">
        <f t="array" ref="B379">IF(MATCH(Table1[[#This Row],[Customer ID]], Table1[Customer ID], 0) = ROW() - ROW(Table1[#Headers]), 1, 0)</f>
        <v>1</v>
      </c>
      <c r="C379" t="s">
        <v>475</v>
      </c>
      <c r="D379" s="2">
        <v>45713</v>
      </c>
      <c r="E379">
        <v>77</v>
      </c>
      <c r="F379" t="str" cm="1">
        <f t="array" ref="F379">_xlfn.IFS( Table1[[#This Row],[Age]]&lt;18, "&lt;18", Table1[[#This Row],[Age]]&lt;= 29, "18-29", Table1[[#This Row],[Age]]&lt;= 44, "30-44",  Table1[[#This Row],[Age]]&lt;=59, "45-59", TRUE, "60+")</f>
        <v>60+</v>
      </c>
      <c r="G379" t="s">
        <v>452</v>
      </c>
      <c r="H379" t="s">
        <v>36</v>
      </c>
      <c r="I379" t="s">
        <v>30</v>
      </c>
      <c r="J379">
        <v>2</v>
      </c>
      <c r="K379" t="s">
        <v>22</v>
      </c>
      <c r="L379" t="str" cm="1">
        <f t="array" ref="L379">_xlfn.IFS(Table1[[#This Row],[Customer Tenure in months]]&lt;=6, "0-6 months", Table1[[#This Row],[Customer Tenure in months]] &lt;=12, "7-12 months", Table1[[#This Row],[Customer Tenure in months]] &lt;=24, "1-2 years", TRUE, "2+ years")</f>
        <v>2+ years</v>
      </c>
      <c r="M379">
        <v>59</v>
      </c>
      <c r="N379" t="s">
        <v>42</v>
      </c>
      <c r="O379" s="1">
        <v>9000</v>
      </c>
      <c r="P379">
        <v>19</v>
      </c>
      <c r="Q379" s="1">
        <v>171000</v>
      </c>
      <c r="R379">
        <v>4.87</v>
      </c>
      <c r="S379" t="s">
        <v>1091</v>
      </c>
      <c r="T379" t="s">
        <v>39</v>
      </c>
    </row>
    <row r="380" spans="1:20" x14ac:dyDescent="0.35">
      <c r="A380" s="22" t="s">
        <v>476</v>
      </c>
      <c r="B380" cm="1">
        <f t="array" ref="B380">IF(MATCH(Table1[[#This Row],[Customer ID]], Table1[Customer ID], 0) = ROW() - ROW(Table1[#Headers]), 1, 0)</f>
        <v>1</v>
      </c>
      <c r="C380" t="s">
        <v>477</v>
      </c>
      <c r="D380" s="2">
        <v>45741</v>
      </c>
      <c r="E380">
        <v>30</v>
      </c>
      <c r="F380" t="str" cm="1">
        <f t="array" ref="F380">_xlfn.IFS( Table1[[#This Row],[Age]]&lt;18, "&lt;18", Table1[[#This Row],[Age]]&lt;= 29, "18-29", Table1[[#This Row],[Age]]&lt;= 44, "30-44",  Table1[[#This Row],[Age]]&lt;=59, "45-59", TRUE, "60+")</f>
        <v>30-44</v>
      </c>
      <c r="G380" t="s">
        <v>75</v>
      </c>
      <c r="H380" t="s">
        <v>36</v>
      </c>
      <c r="I380" t="s">
        <v>30</v>
      </c>
      <c r="J380">
        <v>4</v>
      </c>
      <c r="K380" t="s">
        <v>114</v>
      </c>
      <c r="L380" t="str" cm="1">
        <f t="array" ref="L380">_xlfn.IFS(Table1[[#This Row],[Customer Tenure in months]]&lt;=6, "0-6 months", Table1[[#This Row],[Customer Tenure in months]] &lt;=12, "7-12 months", Table1[[#This Row],[Customer Tenure in months]] &lt;=24, "1-2 years", TRUE, "2+ years")</f>
        <v>0-6 months</v>
      </c>
      <c r="M380">
        <v>5</v>
      </c>
      <c r="N380" t="s">
        <v>65</v>
      </c>
      <c r="O380" s="1">
        <v>30000</v>
      </c>
      <c r="P380">
        <v>14</v>
      </c>
      <c r="Q380" s="1">
        <v>420000</v>
      </c>
      <c r="R380">
        <v>195.18</v>
      </c>
      <c r="S380" t="s">
        <v>1091</v>
      </c>
      <c r="T380" t="s">
        <v>39</v>
      </c>
    </row>
    <row r="381" spans="1:20" x14ac:dyDescent="0.35">
      <c r="A381" s="22" t="s">
        <v>476</v>
      </c>
      <c r="B381" cm="1">
        <f t="array" ref="B381">IF(MATCH(Table1[[#This Row],[Customer ID]], Table1[Customer ID], 0) = ROW() - ROW(Table1[#Headers]), 1, 0)</f>
        <v>0</v>
      </c>
      <c r="C381" t="s">
        <v>477</v>
      </c>
      <c r="D381" s="2">
        <v>45741</v>
      </c>
      <c r="E381">
        <v>30</v>
      </c>
      <c r="F381" t="str" cm="1">
        <f t="array" ref="F381">_xlfn.IFS( Table1[[#This Row],[Age]]&lt;18, "&lt;18", Table1[[#This Row],[Age]]&lt;= 29, "18-29", Table1[[#This Row],[Age]]&lt;= 44, "30-44",  Table1[[#This Row],[Age]]&lt;=59, "45-59", TRUE, "60+")</f>
        <v>30-44</v>
      </c>
      <c r="G381" t="s">
        <v>75</v>
      </c>
      <c r="H381" t="s">
        <v>20</v>
      </c>
      <c r="I381" t="s">
        <v>30</v>
      </c>
      <c r="J381">
        <v>4</v>
      </c>
      <c r="K381" t="s">
        <v>114</v>
      </c>
      <c r="L381" t="str" cm="1">
        <f t="array" ref="L381">_xlfn.IFS(Table1[[#This Row],[Customer Tenure in months]]&lt;=6, "0-6 months", Table1[[#This Row],[Customer Tenure in months]] &lt;=12, "7-12 months", Table1[[#This Row],[Customer Tenure in months]] &lt;=24, "1-2 years", TRUE, "2+ years")</f>
        <v>0-6 months</v>
      </c>
      <c r="M381">
        <v>5</v>
      </c>
      <c r="N381" t="s">
        <v>23</v>
      </c>
      <c r="O381" s="1">
        <v>35000</v>
      </c>
      <c r="P381">
        <v>6</v>
      </c>
      <c r="Q381" s="1">
        <v>210000</v>
      </c>
      <c r="R381">
        <v>130.01</v>
      </c>
      <c r="S381" t="s">
        <v>1091</v>
      </c>
      <c r="T381" t="s">
        <v>39</v>
      </c>
    </row>
    <row r="382" spans="1:20" x14ac:dyDescent="0.35">
      <c r="A382" s="22" t="s">
        <v>478</v>
      </c>
      <c r="B382" cm="1">
        <f t="array" ref="B382">IF(MATCH(Table1[[#This Row],[Customer ID]], Table1[Customer ID], 0) = ROW() - ROW(Table1[#Headers]), 1, 0)</f>
        <v>1</v>
      </c>
      <c r="C382" t="s">
        <v>479</v>
      </c>
      <c r="D382" s="2">
        <v>45741</v>
      </c>
      <c r="E382">
        <v>44</v>
      </c>
      <c r="F382" t="str" cm="1">
        <f t="array" ref="F382">_xlfn.IFS( Table1[[#This Row],[Age]]&lt;18, "&lt;18", Table1[[#This Row],[Age]]&lt;= 29, "18-29", Table1[[#This Row],[Age]]&lt;= 44, "30-44",  Table1[[#This Row],[Age]]&lt;=59, "45-59", TRUE, "60+")</f>
        <v>30-44</v>
      </c>
      <c r="G382" t="s">
        <v>131</v>
      </c>
      <c r="H382" t="s">
        <v>29</v>
      </c>
      <c r="I382" t="s">
        <v>30</v>
      </c>
      <c r="J382">
        <v>2</v>
      </c>
      <c r="K382" t="s">
        <v>22</v>
      </c>
      <c r="L382" t="str" cm="1">
        <f t="array" ref="L382">_xlfn.IFS(Table1[[#This Row],[Customer Tenure in months]]&lt;=6, "0-6 months", Table1[[#This Row],[Customer Tenure in months]] &lt;=12, "7-12 months", Table1[[#This Row],[Customer Tenure in months]] &lt;=24, "1-2 years", TRUE, "2+ years")</f>
        <v>1-2 years</v>
      </c>
      <c r="M382">
        <v>20</v>
      </c>
      <c r="N382" t="s">
        <v>164</v>
      </c>
      <c r="O382" s="1">
        <v>600</v>
      </c>
      <c r="P382">
        <v>20</v>
      </c>
      <c r="Q382" s="1">
        <v>12000</v>
      </c>
      <c r="R382">
        <v>120.68</v>
      </c>
      <c r="S382" t="s">
        <v>76</v>
      </c>
      <c r="T382" t="s">
        <v>24</v>
      </c>
    </row>
    <row r="383" spans="1:20" x14ac:dyDescent="0.35">
      <c r="A383" s="22" t="s">
        <v>478</v>
      </c>
      <c r="B383" cm="1">
        <f t="array" ref="B383">IF(MATCH(Table1[[#This Row],[Customer ID]], Table1[Customer ID], 0) = ROW() - ROW(Table1[#Headers]), 1, 0)</f>
        <v>0</v>
      </c>
      <c r="C383" t="s">
        <v>479</v>
      </c>
      <c r="D383" s="2">
        <v>45741</v>
      </c>
      <c r="E383">
        <v>44</v>
      </c>
      <c r="F383" t="str" cm="1">
        <f t="array" ref="F383">_xlfn.IFS( Table1[[#This Row],[Age]]&lt;18, "&lt;18", Table1[[#This Row],[Age]]&lt;= 29, "18-29", Table1[[#This Row],[Age]]&lt;= 44, "30-44",  Table1[[#This Row],[Age]]&lt;=59, "45-59", TRUE, "60+")</f>
        <v>30-44</v>
      </c>
      <c r="G383" t="s">
        <v>131</v>
      </c>
      <c r="H383" t="s">
        <v>36</v>
      </c>
      <c r="I383" t="s">
        <v>30</v>
      </c>
      <c r="J383">
        <v>2</v>
      </c>
      <c r="K383" t="s">
        <v>22</v>
      </c>
      <c r="L383" t="str" cm="1">
        <f t="array" ref="L383">_xlfn.IFS(Table1[[#This Row],[Customer Tenure in months]]&lt;=6, "0-6 months", Table1[[#This Row],[Customer Tenure in months]] &lt;=12, "7-12 months", Table1[[#This Row],[Customer Tenure in months]] &lt;=24, "1-2 years", TRUE, "2+ years")</f>
        <v>1-2 years</v>
      </c>
      <c r="M383">
        <v>20</v>
      </c>
      <c r="N383" t="s">
        <v>71</v>
      </c>
      <c r="O383" s="1">
        <v>14500</v>
      </c>
      <c r="P383">
        <v>4</v>
      </c>
      <c r="Q383" s="1">
        <v>58000</v>
      </c>
      <c r="R383">
        <v>128.11000000000001</v>
      </c>
      <c r="S383" t="s">
        <v>76</v>
      </c>
      <c r="T383" t="s">
        <v>24</v>
      </c>
    </row>
    <row r="384" spans="1:20" x14ac:dyDescent="0.35">
      <c r="A384" s="22" t="s">
        <v>478</v>
      </c>
      <c r="B384" cm="1">
        <f t="array" ref="B384">IF(MATCH(Table1[[#This Row],[Customer ID]], Table1[Customer ID], 0) = ROW() - ROW(Table1[#Headers]), 1, 0)</f>
        <v>0</v>
      </c>
      <c r="C384" t="s">
        <v>479</v>
      </c>
      <c r="D384" s="2">
        <v>45741</v>
      </c>
      <c r="E384">
        <v>44</v>
      </c>
      <c r="F384" t="str" cm="1">
        <f t="array" ref="F384">_xlfn.IFS( Table1[[#This Row],[Age]]&lt;18, "&lt;18", Table1[[#This Row],[Age]]&lt;= 29, "18-29", Table1[[#This Row],[Age]]&lt;= 44, "30-44",  Table1[[#This Row],[Age]]&lt;=59, "45-59", TRUE, "60+")</f>
        <v>30-44</v>
      </c>
      <c r="G384" t="s">
        <v>131</v>
      </c>
      <c r="H384" t="s">
        <v>41</v>
      </c>
      <c r="I384" t="s">
        <v>30</v>
      </c>
      <c r="J384">
        <v>2</v>
      </c>
      <c r="K384" t="s">
        <v>22</v>
      </c>
      <c r="L384" t="str" cm="1">
        <f t="array" ref="L384">_xlfn.IFS(Table1[[#This Row],[Customer Tenure in months]]&lt;=6, "0-6 months", Table1[[#This Row],[Customer Tenure in months]] &lt;=12, "7-12 months", Table1[[#This Row],[Customer Tenure in months]] &lt;=24, "1-2 years", TRUE, "2+ years")</f>
        <v>1-2 years</v>
      </c>
      <c r="M384">
        <v>20</v>
      </c>
      <c r="N384" t="s">
        <v>71</v>
      </c>
      <c r="O384" s="1">
        <v>14500</v>
      </c>
      <c r="P384">
        <v>3</v>
      </c>
      <c r="Q384" s="1">
        <v>43500</v>
      </c>
      <c r="R384">
        <v>28.56</v>
      </c>
      <c r="S384" t="s">
        <v>76</v>
      </c>
      <c r="T384" t="s">
        <v>24</v>
      </c>
    </row>
    <row r="385" spans="1:20" x14ac:dyDescent="0.35">
      <c r="A385" s="22" t="s">
        <v>480</v>
      </c>
      <c r="B385" cm="1">
        <f t="array" ref="B385">IF(MATCH(Table1[[#This Row],[Customer ID]], Table1[Customer ID], 0) = ROW() - ROW(Table1[#Headers]), 1, 0)</f>
        <v>1</v>
      </c>
      <c r="C385" t="s">
        <v>481</v>
      </c>
      <c r="D385" s="2">
        <v>45682</v>
      </c>
      <c r="E385">
        <v>60</v>
      </c>
      <c r="F385" t="str" cm="1">
        <f t="array" ref="F385">_xlfn.IFS( Table1[[#This Row],[Age]]&lt;18, "&lt;18", Table1[[#This Row],[Age]]&lt;= 29, "18-29", Table1[[#This Row],[Age]]&lt;= 44, "30-44",  Table1[[#This Row],[Age]]&lt;=59, "45-59", TRUE, "60+")</f>
        <v>60+</v>
      </c>
      <c r="G385" t="s">
        <v>258</v>
      </c>
      <c r="H385" t="s">
        <v>20</v>
      </c>
      <c r="I385" t="s">
        <v>21</v>
      </c>
      <c r="J385">
        <v>3</v>
      </c>
      <c r="K385" t="s">
        <v>50</v>
      </c>
      <c r="L385" t="str" cm="1">
        <f t="array" ref="L385">_xlfn.IFS(Table1[[#This Row],[Customer Tenure in months]]&lt;=6, "0-6 months", Table1[[#This Row],[Customer Tenure in months]] &lt;=12, "7-12 months", Table1[[#This Row],[Customer Tenure in months]] &lt;=24, "1-2 years", TRUE, "2+ years")</f>
        <v>2+ years</v>
      </c>
      <c r="M385">
        <v>41</v>
      </c>
      <c r="N385" t="s">
        <v>58</v>
      </c>
      <c r="O385" s="1">
        <v>16000</v>
      </c>
      <c r="P385">
        <v>4</v>
      </c>
      <c r="Q385" s="1">
        <v>64000</v>
      </c>
      <c r="R385">
        <v>70.42</v>
      </c>
      <c r="S385" t="s">
        <v>1091</v>
      </c>
      <c r="T385" t="s">
        <v>39</v>
      </c>
    </row>
    <row r="386" spans="1:20" x14ac:dyDescent="0.35">
      <c r="A386" s="22" t="s">
        <v>480</v>
      </c>
      <c r="B386" cm="1">
        <f t="array" ref="B386">IF(MATCH(Table1[[#This Row],[Customer ID]], Table1[Customer ID], 0) = ROW() - ROW(Table1[#Headers]), 1, 0)</f>
        <v>0</v>
      </c>
      <c r="C386" t="s">
        <v>481</v>
      </c>
      <c r="D386" s="2">
        <v>45682</v>
      </c>
      <c r="E386">
        <v>60</v>
      </c>
      <c r="F386" t="str" cm="1">
        <f t="array" ref="F386">_xlfn.IFS( Table1[[#This Row],[Age]]&lt;18, "&lt;18", Table1[[#This Row],[Age]]&lt;= 29, "18-29", Table1[[#This Row],[Age]]&lt;= 44, "30-44",  Table1[[#This Row],[Age]]&lt;=59, "45-59", TRUE, "60+")</f>
        <v>60+</v>
      </c>
      <c r="G386" t="s">
        <v>258</v>
      </c>
      <c r="H386" t="s">
        <v>41</v>
      </c>
      <c r="I386" t="s">
        <v>21</v>
      </c>
      <c r="J386">
        <v>3</v>
      </c>
      <c r="K386" t="s">
        <v>50</v>
      </c>
      <c r="L386" t="str" cm="1">
        <f t="array" ref="L386">_xlfn.IFS(Table1[[#This Row],[Customer Tenure in months]]&lt;=6, "0-6 months", Table1[[#This Row],[Customer Tenure in months]] &lt;=12, "7-12 months", Table1[[#This Row],[Customer Tenure in months]] &lt;=24, "1-2 years", TRUE, "2+ years")</f>
        <v>2+ years</v>
      </c>
      <c r="M386">
        <v>41</v>
      </c>
      <c r="N386" t="s">
        <v>42</v>
      </c>
      <c r="O386" s="1">
        <v>9000</v>
      </c>
      <c r="P386">
        <v>15</v>
      </c>
      <c r="Q386" s="1">
        <v>135000</v>
      </c>
      <c r="R386">
        <v>10.11</v>
      </c>
      <c r="S386" t="s">
        <v>1091</v>
      </c>
      <c r="T386" t="s">
        <v>39</v>
      </c>
    </row>
    <row r="387" spans="1:20" x14ac:dyDescent="0.35">
      <c r="A387" s="22" t="s">
        <v>482</v>
      </c>
      <c r="B387" cm="1">
        <f t="array" ref="B387">IF(MATCH(Table1[[#This Row],[Customer ID]], Table1[Customer ID], 0) = ROW() - ROW(Table1[#Headers]), 1, 0)</f>
        <v>1</v>
      </c>
      <c r="C387" t="s">
        <v>483</v>
      </c>
      <c r="D387" s="2">
        <v>45713</v>
      </c>
      <c r="E387">
        <v>37</v>
      </c>
      <c r="F387" t="str" cm="1">
        <f t="array" ref="F387">_xlfn.IFS( Table1[[#This Row],[Age]]&lt;18, "&lt;18", Table1[[#This Row],[Age]]&lt;= 29, "18-29", Table1[[#This Row],[Age]]&lt;= 44, "30-44",  Table1[[#This Row],[Age]]&lt;=59, "45-59", TRUE, "60+")</f>
        <v>30-44</v>
      </c>
      <c r="G387" t="s">
        <v>110</v>
      </c>
      <c r="H387" t="s">
        <v>29</v>
      </c>
      <c r="I387" t="s">
        <v>30</v>
      </c>
      <c r="J387">
        <v>3</v>
      </c>
      <c r="K387" t="s">
        <v>50</v>
      </c>
      <c r="L387" t="str" cm="1">
        <f t="array" ref="L387">_xlfn.IFS(Table1[[#This Row],[Customer Tenure in months]]&lt;=6, "0-6 months", Table1[[#This Row],[Customer Tenure in months]] &lt;=12, "7-12 months", Table1[[#This Row],[Customer Tenure in months]] &lt;=24, "1-2 years", TRUE, "2+ years")</f>
        <v>2+ years</v>
      </c>
      <c r="M387">
        <v>57</v>
      </c>
      <c r="N387" t="s">
        <v>72</v>
      </c>
      <c r="O387" s="1">
        <v>350</v>
      </c>
      <c r="P387">
        <v>3</v>
      </c>
      <c r="Q387" s="1">
        <v>1050</v>
      </c>
      <c r="R387">
        <v>32.950000000000003</v>
      </c>
      <c r="S387" t="s">
        <v>1091</v>
      </c>
      <c r="T387" t="s">
        <v>39</v>
      </c>
    </row>
    <row r="388" spans="1:20" x14ac:dyDescent="0.35">
      <c r="A388" s="22" t="s">
        <v>484</v>
      </c>
      <c r="B388" cm="1">
        <f t="array" ref="B388">IF(MATCH(Table1[[#This Row],[Customer ID]], Table1[Customer ID], 0) = ROW() - ROW(Table1[#Headers]), 1, 0)</f>
        <v>1</v>
      </c>
      <c r="C388" t="s">
        <v>485</v>
      </c>
      <c r="D388" s="2">
        <v>45682</v>
      </c>
      <c r="E388">
        <v>53</v>
      </c>
      <c r="F388" t="str" cm="1">
        <f t="array" ref="F388">_xlfn.IFS( Table1[[#This Row],[Age]]&lt;18, "&lt;18", Table1[[#This Row],[Age]]&lt;= 29, "18-29", Table1[[#This Row],[Age]]&lt;= 44, "30-44",  Table1[[#This Row],[Age]]&lt;=59, "45-59", TRUE, "60+")</f>
        <v>45-59</v>
      </c>
      <c r="G388" t="s">
        <v>118</v>
      </c>
      <c r="H388" t="s">
        <v>20</v>
      </c>
      <c r="I388" t="s">
        <v>30</v>
      </c>
      <c r="J388">
        <v>1</v>
      </c>
      <c r="K388" t="s">
        <v>37</v>
      </c>
      <c r="L388" t="str" cm="1">
        <f t="array" ref="L388">_xlfn.IFS(Table1[[#This Row],[Customer Tenure in months]]&lt;=6, "0-6 months", Table1[[#This Row],[Customer Tenure in months]] &lt;=12, "7-12 months", Table1[[#This Row],[Customer Tenure in months]] &lt;=24, "1-2 years", TRUE, "2+ years")</f>
        <v>1-2 years</v>
      </c>
      <c r="M388">
        <v>17</v>
      </c>
      <c r="N388" t="s">
        <v>58</v>
      </c>
      <c r="O388" s="1">
        <v>16000</v>
      </c>
      <c r="P388">
        <v>3</v>
      </c>
      <c r="Q388" s="1">
        <v>48000</v>
      </c>
      <c r="R388">
        <v>109.64</v>
      </c>
      <c r="S388" t="s">
        <v>1091</v>
      </c>
      <c r="T388" t="s">
        <v>39</v>
      </c>
    </row>
    <row r="389" spans="1:20" x14ac:dyDescent="0.35">
      <c r="A389" s="22" t="s">
        <v>484</v>
      </c>
      <c r="B389" cm="1">
        <f t="array" ref="B389">IF(MATCH(Table1[[#This Row],[Customer ID]], Table1[Customer ID], 0) = ROW() - ROW(Table1[#Headers]), 1, 0)</f>
        <v>0</v>
      </c>
      <c r="C389" t="s">
        <v>485</v>
      </c>
      <c r="D389" s="2">
        <v>45682</v>
      </c>
      <c r="E389">
        <v>53</v>
      </c>
      <c r="F389" t="str" cm="1">
        <f t="array" ref="F389">_xlfn.IFS( Table1[[#This Row],[Age]]&lt;18, "&lt;18", Table1[[#This Row],[Age]]&lt;= 29, "18-29", Table1[[#This Row],[Age]]&lt;= 44, "30-44",  Table1[[#This Row],[Age]]&lt;=59, "45-59", TRUE, "60+")</f>
        <v>45-59</v>
      </c>
      <c r="G389" t="s">
        <v>118</v>
      </c>
      <c r="H389" t="s">
        <v>36</v>
      </c>
      <c r="I389" t="s">
        <v>30</v>
      </c>
      <c r="J389">
        <v>1</v>
      </c>
      <c r="K389" t="s">
        <v>37</v>
      </c>
      <c r="L389" t="str" cm="1">
        <f t="array" ref="L389">_xlfn.IFS(Table1[[#This Row],[Customer Tenure in months]]&lt;=6, "0-6 months", Table1[[#This Row],[Customer Tenure in months]] &lt;=12, "7-12 months", Table1[[#This Row],[Customer Tenure in months]] &lt;=24, "1-2 years", TRUE, "2+ years")</f>
        <v>1-2 years</v>
      </c>
      <c r="M389">
        <v>17</v>
      </c>
      <c r="N389" t="s">
        <v>115</v>
      </c>
      <c r="O389" s="1">
        <v>25000</v>
      </c>
      <c r="P389">
        <v>20</v>
      </c>
      <c r="Q389" s="1">
        <v>500000</v>
      </c>
      <c r="R389">
        <v>119.01</v>
      </c>
      <c r="S389" t="s">
        <v>1091</v>
      </c>
      <c r="T389" t="s">
        <v>39</v>
      </c>
    </row>
    <row r="390" spans="1:20" x14ac:dyDescent="0.35">
      <c r="A390" s="22" t="s">
        <v>486</v>
      </c>
      <c r="B390" cm="1">
        <f t="array" ref="B390">IF(MATCH(Table1[[#This Row],[Customer ID]], Table1[Customer ID], 0) = ROW() - ROW(Table1[#Headers]), 1, 0)</f>
        <v>1</v>
      </c>
      <c r="C390" t="s">
        <v>487</v>
      </c>
      <c r="D390" s="2">
        <v>45713</v>
      </c>
      <c r="E390">
        <v>19</v>
      </c>
      <c r="F390" t="str" cm="1">
        <f t="array" ref="F390">_xlfn.IFS( Table1[[#This Row],[Age]]&lt;18, "&lt;18", Table1[[#This Row],[Age]]&lt;= 29, "18-29", Table1[[#This Row],[Age]]&lt;= 44, "30-44",  Table1[[#This Row],[Age]]&lt;=59, "45-59", TRUE, "60+")</f>
        <v>18-29</v>
      </c>
      <c r="G390" t="s">
        <v>19</v>
      </c>
      <c r="H390" t="s">
        <v>20</v>
      </c>
      <c r="I390" t="s">
        <v>21</v>
      </c>
      <c r="J390">
        <v>2</v>
      </c>
      <c r="K390" t="s">
        <v>22</v>
      </c>
      <c r="L390" t="str" cm="1">
        <f t="array" ref="L390">_xlfn.IFS(Table1[[#This Row],[Customer Tenure in months]]&lt;=6, "0-6 months", Table1[[#This Row],[Customer Tenure in months]] &lt;=12, "7-12 months", Table1[[#This Row],[Customer Tenure in months]] &lt;=24, "1-2 years", TRUE, "2+ years")</f>
        <v>2+ years</v>
      </c>
      <c r="M390">
        <v>39</v>
      </c>
      <c r="N390" t="s">
        <v>46</v>
      </c>
      <c r="O390" s="1">
        <v>4500</v>
      </c>
      <c r="P390">
        <v>18</v>
      </c>
      <c r="Q390" s="1">
        <v>81000</v>
      </c>
      <c r="R390">
        <v>139.59</v>
      </c>
      <c r="S390" t="s">
        <v>96</v>
      </c>
      <c r="T390" t="s">
        <v>24</v>
      </c>
    </row>
    <row r="391" spans="1:20" x14ac:dyDescent="0.35">
      <c r="A391" s="22" t="s">
        <v>488</v>
      </c>
      <c r="B391" cm="1">
        <f t="array" ref="B391">IF(MATCH(Table1[[#This Row],[Customer ID]], Table1[Customer ID], 0) = ROW() - ROW(Table1[#Headers]), 1, 0)</f>
        <v>1</v>
      </c>
      <c r="C391" t="s">
        <v>489</v>
      </c>
      <c r="D391" s="2">
        <v>45682</v>
      </c>
      <c r="E391">
        <v>52</v>
      </c>
      <c r="F391" t="str" cm="1">
        <f t="array" ref="F391">_xlfn.IFS( Table1[[#This Row],[Age]]&lt;18, "&lt;18", Table1[[#This Row],[Age]]&lt;= 29, "18-29", Table1[[#This Row],[Age]]&lt;= 44, "30-44",  Table1[[#This Row],[Age]]&lt;=59, "45-59", TRUE, "60+")</f>
        <v>45-59</v>
      </c>
      <c r="G391" t="s">
        <v>149</v>
      </c>
      <c r="H391" t="s">
        <v>20</v>
      </c>
      <c r="I391" t="s">
        <v>21</v>
      </c>
      <c r="J391">
        <v>4</v>
      </c>
      <c r="K391" t="s">
        <v>114</v>
      </c>
      <c r="L391" t="str" cm="1">
        <f t="array" ref="L391">_xlfn.IFS(Table1[[#This Row],[Customer Tenure in months]]&lt;=6, "0-6 months", Table1[[#This Row],[Customer Tenure in months]] &lt;=12, "7-12 months", Table1[[#This Row],[Customer Tenure in months]] &lt;=24, "1-2 years", TRUE, "2+ years")</f>
        <v>7-12 months</v>
      </c>
      <c r="M391">
        <v>7</v>
      </c>
      <c r="N391" t="s">
        <v>51</v>
      </c>
      <c r="O391" s="1">
        <v>9000</v>
      </c>
      <c r="P391">
        <v>3</v>
      </c>
      <c r="Q391" s="1">
        <v>27000</v>
      </c>
      <c r="R391">
        <v>1.26</v>
      </c>
      <c r="S391" t="s">
        <v>1091</v>
      </c>
      <c r="T391" t="s">
        <v>39</v>
      </c>
    </row>
    <row r="392" spans="1:20" x14ac:dyDescent="0.35">
      <c r="A392" s="22" t="s">
        <v>488</v>
      </c>
      <c r="B392" cm="1">
        <f t="array" ref="B392">IF(MATCH(Table1[[#This Row],[Customer ID]], Table1[Customer ID], 0) = ROW() - ROW(Table1[#Headers]), 1, 0)</f>
        <v>0</v>
      </c>
      <c r="C392" t="s">
        <v>489</v>
      </c>
      <c r="D392" s="2">
        <v>45682</v>
      </c>
      <c r="E392">
        <v>52</v>
      </c>
      <c r="F392" t="str" cm="1">
        <f t="array" ref="F392">_xlfn.IFS( Table1[[#This Row],[Age]]&lt;18, "&lt;18", Table1[[#This Row],[Age]]&lt;= 29, "18-29", Table1[[#This Row],[Age]]&lt;= 44, "30-44",  Table1[[#This Row],[Age]]&lt;=59, "45-59", TRUE, "60+")</f>
        <v>45-59</v>
      </c>
      <c r="G392" t="s">
        <v>149</v>
      </c>
      <c r="H392" t="s">
        <v>41</v>
      </c>
      <c r="I392" t="s">
        <v>21</v>
      </c>
      <c r="J392">
        <v>4</v>
      </c>
      <c r="K392" t="s">
        <v>114</v>
      </c>
      <c r="L392" t="str" cm="1">
        <f t="array" ref="L392">_xlfn.IFS(Table1[[#This Row],[Customer Tenure in months]]&lt;=6, "0-6 months", Table1[[#This Row],[Customer Tenure in months]] &lt;=12, "7-12 months", Table1[[#This Row],[Customer Tenure in months]] &lt;=24, "1-2 years", TRUE, "2+ years")</f>
        <v>7-12 months</v>
      </c>
      <c r="M392">
        <v>7</v>
      </c>
      <c r="N392" t="s">
        <v>65</v>
      </c>
      <c r="O392" s="1">
        <v>30000</v>
      </c>
      <c r="P392">
        <v>20</v>
      </c>
      <c r="Q392" s="1">
        <v>600000</v>
      </c>
      <c r="R392">
        <v>164.87</v>
      </c>
      <c r="S392" t="s">
        <v>1091</v>
      </c>
      <c r="T392" t="s">
        <v>39</v>
      </c>
    </row>
    <row r="393" spans="1:20" x14ac:dyDescent="0.35">
      <c r="A393" s="22" t="s">
        <v>490</v>
      </c>
      <c r="B393" cm="1">
        <f t="array" ref="B393">IF(MATCH(Table1[[#This Row],[Customer ID]], Table1[Customer ID], 0) = ROW() - ROW(Table1[#Headers]), 1, 0)</f>
        <v>1</v>
      </c>
      <c r="C393" t="s">
        <v>491</v>
      </c>
      <c r="D393" s="2">
        <v>45713</v>
      </c>
      <c r="E393">
        <v>41</v>
      </c>
      <c r="F393" t="str" cm="1">
        <f t="array" ref="F393">_xlfn.IFS( Table1[[#This Row],[Age]]&lt;18, "&lt;18", Table1[[#This Row],[Age]]&lt;= 29, "18-29", Table1[[#This Row],[Age]]&lt;= 44, "30-44",  Table1[[#This Row],[Age]]&lt;=59, "45-59", TRUE, "60+")</f>
        <v>30-44</v>
      </c>
      <c r="G393" t="s">
        <v>95</v>
      </c>
      <c r="H393" t="s">
        <v>41</v>
      </c>
      <c r="I393" t="s">
        <v>21</v>
      </c>
      <c r="J393">
        <v>3</v>
      </c>
      <c r="K393" t="s">
        <v>50</v>
      </c>
      <c r="L393" t="str" cm="1">
        <f t="array" ref="L393">_xlfn.IFS(Table1[[#This Row],[Customer Tenure in months]]&lt;=6, "0-6 months", Table1[[#This Row],[Customer Tenure in months]] &lt;=12, "7-12 months", Table1[[#This Row],[Customer Tenure in months]] &lt;=24, "1-2 years", TRUE, "2+ years")</f>
        <v>1-2 years</v>
      </c>
      <c r="M393">
        <v>14</v>
      </c>
      <c r="N393" t="s">
        <v>71</v>
      </c>
      <c r="O393" s="1">
        <v>14500</v>
      </c>
      <c r="P393">
        <v>9</v>
      </c>
      <c r="Q393" s="1">
        <v>130500</v>
      </c>
      <c r="R393">
        <v>94.45</v>
      </c>
      <c r="S393" t="s">
        <v>1091</v>
      </c>
      <c r="T393" t="s">
        <v>39</v>
      </c>
    </row>
    <row r="394" spans="1:20" x14ac:dyDescent="0.35">
      <c r="A394" s="22" t="s">
        <v>490</v>
      </c>
      <c r="B394" cm="1">
        <f t="array" ref="B394">IF(MATCH(Table1[[#This Row],[Customer ID]], Table1[Customer ID], 0) = ROW() - ROW(Table1[#Headers]), 1, 0)</f>
        <v>0</v>
      </c>
      <c r="C394" t="s">
        <v>491</v>
      </c>
      <c r="D394" s="2">
        <v>45713</v>
      </c>
      <c r="E394">
        <v>41</v>
      </c>
      <c r="F394" t="str" cm="1">
        <f t="array" ref="F394">_xlfn.IFS( Table1[[#This Row],[Age]]&lt;18, "&lt;18", Table1[[#This Row],[Age]]&lt;= 29, "18-29", Table1[[#This Row],[Age]]&lt;= 44, "30-44",  Table1[[#This Row],[Age]]&lt;=59, "45-59", TRUE, "60+")</f>
        <v>30-44</v>
      </c>
      <c r="G394" t="s">
        <v>95</v>
      </c>
      <c r="H394" t="s">
        <v>20</v>
      </c>
      <c r="I394" t="s">
        <v>21</v>
      </c>
      <c r="J394">
        <v>3</v>
      </c>
      <c r="K394" t="s">
        <v>50</v>
      </c>
      <c r="L394" t="str" cm="1">
        <f t="array" ref="L394">_xlfn.IFS(Table1[[#This Row],[Customer Tenure in months]]&lt;=6, "0-6 months", Table1[[#This Row],[Customer Tenure in months]] &lt;=12, "7-12 months", Table1[[#This Row],[Customer Tenure in months]] &lt;=24, "1-2 years", TRUE, "2+ years")</f>
        <v>1-2 years</v>
      </c>
      <c r="M394">
        <v>14</v>
      </c>
      <c r="N394" t="s">
        <v>58</v>
      </c>
      <c r="O394" s="1">
        <v>16000</v>
      </c>
      <c r="P394">
        <v>13</v>
      </c>
      <c r="Q394" s="1">
        <v>208000</v>
      </c>
      <c r="R394">
        <v>128.55000000000001</v>
      </c>
      <c r="S394" t="s">
        <v>1091</v>
      </c>
      <c r="T394" t="s">
        <v>39</v>
      </c>
    </row>
    <row r="395" spans="1:20" x14ac:dyDescent="0.35">
      <c r="A395" s="22" t="s">
        <v>492</v>
      </c>
      <c r="B395" cm="1">
        <f t="array" ref="B395">IF(MATCH(Table1[[#This Row],[Customer ID]], Table1[Customer ID], 0) = ROW() - ROW(Table1[#Headers]), 1, 0)</f>
        <v>1</v>
      </c>
      <c r="C395" t="s">
        <v>493</v>
      </c>
      <c r="D395" s="2">
        <v>45713</v>
      </c>
      <c r="E395">
        <v>63</v>
      </c>
      <c r="F395" t="str" cm="1">
        <f t="array" ref="F395">_xlfn.IFS( Table1[[#This Row],[Age]]&lt;18, "&lt;18", Table1[[#This Row],[Age]]&lt;= 29, "18-29", Table1[[#This Row],[Age]]&lt;= 44, "30-44",  Table1[[#This Row],[Age]]&lt;=59, "45-59", TRUE, "60+")</f>
        <v>60+</v>
      </c>
      <c r="G395" t="s">
        <v>61</v>
      </c>
      <c r="H395" t="s">
        <v>20</v>
      </c>
      <c r="I395" t="s">
        <v>30</v>
      </c>
      <c r="J395">
        <v>1</v>
      </c>
      <c r="K395" t="s">
        <v>37</v>
      </c>
      <c r="L395" t="str" cm="1">
        <f t="array" ref="L395">_xlfn.IFS(Table1[[#This Row],[Customer Tenure in months]]&lt;=6, "0-6 months", Table1[[#This Row],[Customer Tenure in months]] &lt;=12, "7-12 months", Table1[[#This Row],[Customer Tenure in months]] &lt;=24, "1-2 years", TRUE, "2+ years")</f>
        <v>7-12 months</v>
      </c>
      <c r="M395">
        <v>12</v>
      </c>
      <c r="N395" t="s">
        <v>58</v>
      </c>
      <c r="O395" s="1">
        <v>16000</v>
      </c>
      <c r="P395">
        <v>4</v>
      </c>
      <c r="Q395" s="1">
        <v>64000</v>
      </c>
      <c r="R395">
        <v>30.65</v>
      </c>
      <c r="S395" t="s">
        <v>167</v>
      </c>
      <c r="T395" t="s">
        <v>24</v>
      </c>
    </row>
    <row r="396" spans="1:20" x14ac:dyDescent="0.35">
      <c r="A396" s="22" t="s">
        <v>492</v>
      </c>
      <c r="B396" cm="1">
        <f t="array" ref="B396">IF(MATCH(Table1[[#This Row],[Customer ID]], Table1[Customer ID], 0) = ROW() - ROW(Table1[#Headers]), 1, 0)</f>
        <v>0</v>
      </c>
      <c r="C396" t="s">
        <v>493</v>
      </c>
      <c r="D396" s="2">
        <v>45713</v>
      </c>
      <c r="E396">
        <v>63</v>
      </c>
      <c r="F396" t="str" cm="1">
        <f t="array" ref="F396">_xlfn.IFS( Table1[[#This Row],[Age]]&lt;18, "&lt;18", Table1[[#This Row],[Age]]&lt;= 29, "18-29", Table1[[#This Row],[Age]]&lt;= 44, "30-44",  Table1[[#This Row],[Age]]&lt;=59, "45-59", TRUE, "60+")</f>
        <v>60+</v>
      </c>
      <c r="G396" t="s">
        <v>61</v>
      </c>
      <c r="H396" t="s">
        <v>29</v>
      </c>
      <c r="I396" t="s">
        <v>30</v>
      </c>
      <c r="J396">
        <v>1</v>
      </c>
      <c r="K396" t="s">
        <v>37</v>
      </c>
      <c r="L396" t="str" cm="1">
        <f t="array" ref="L396">_xlfn.IFS(Table1[[#This Row],[Customer Tenure in months]]&lt;=6, "0-6 months", Table1[[#This Row],[Customer Tenure in months]] &lt;=12, "7-12 months", Table1[[#This Row],[Customer Tenure in months]] &lt;=24, "1-2 years", TRUE, "2+ years")</f>
        <v>7-12 months</v>
      </c>
      <c r="M396">
        <v>12</v>
      </c>
      <c r="N396" t="s">
        <v>83</v>
      </c>
      <c r="O396" s="1">
        <v>1000</v>
      </c>
      <c r="P396">
        <v>18</v>
      </c>
      <c r="Q396" s="1">
        <v>18000</v>
      </c>
      <c r="R396">
        <v>133.79</v>
      </c>
      <c r="S396" t="s">
        <v>167</v>
      </c>
      <c r="T396" t="s">
        <v>24</v>
      </c>
    </row>
    <row r="397" spans="1:20" x14ac:dyDescent="0.35">
      <c r="A397" s="22" t="s">
        <v>494</v>
      </c>
      <c r="B397" cm="1">
        <f t="array" ref="B397">IF(MATCH(Table1[[#This Row],[Customer ID]], Table1[Customer ID], 0) = ROW() - ROW(Table1[#Headers]), 1, 0)</f>
        <v>1</v>
      </c>
      <c r="C397" t="s">
        <v>495</v>
      </c>
      <c r="D397" s="2">
        <v>45713</v>
      </c>
      <c r="E397">
        <v>45</v>
      </c>
      <c r="F397" t="str" cm="1">
        <f t="array" ref="F397">_xlfn.IFS( Table1[[#This Row],[Age]]&lt;18, "&lt;18", Table1[[#This Row],[Age]]&lt;= 29, "18-29", Table1[[#This Row],[Age]]&lt;= 44, "30-44",  Table1[[#This Row],[Age]]&lt;=59, "45-59", TRUE, "60+")</f>
        <v>45-59</v>
      </c>
      <c r="G397" t="s">
        <v>49</v>
      </c>
      <c r="H397" t="s">
        <v>20</v>
      </c>
      <c r="I397" t="s">
        <v>30</v>
      </c>
      <c r="J397">
        <v>5</v>
      </c>
      <c r="K397" t="s">
        <v>55</v>
      </c>
      <c r="L397" t="str" cm="1">
        <f t="array" ref="L397">_xlfn.IFS(Table1[[#This Row],[Customer Tenure in months]]&lt;=6, "0-6 months", Table1[[#This Row],[Customer Tenure in months]] &lt;=12, "7-12 months", Table1[[#This Row],[Customer Tenure in months]] &lt;=24, "1-2 years", TRUE, "2+ years")</f>
        <v>2+ years</v>
      </c>
      <c r="M397">
        <v>53</v>
      </c>
      <c r="N397" t="s">
        <v>51</v>
      </c>
      <c r="O397" s="1">
        <v>9000</v>
      </c>
      <c r="P397">
        <v>2</v>
      </c>
      <c r="Q397" s="1">
        <v>18000</v>
      </c>
      <c r="R397">
        <v>16.25</v>
      </c>
      <c r="S397" t="s">
        <v>1091</v>
      </c>
      <c r="T397" t="s">
        <v>39</v>
      </c>
    </row>
    <row r="398" spans="1:20" x14ac:dyDescent="0.35">
      <c r="A398" s="22" t="s">
        <v>494</v>
      </c>
      <c r="B398" cm="1">
        <f t="array" ref="B398">IF(MATCH(Table1[[#This Row],[Customer ID]], Table1[Customer ID], 0) = ROW() - ROW(Table1[#Headers]), 1, 0)</f>
        <v>0</v>
      </c>
      <c r="C398" t="s">
        <v>495</v>
      </c>
      <c r="D398" s="2">
        <v>45713</v>
      </c>
      <c r="E398">
        <v>45</v>
      </c>
      <c r="F398" t="str" cm="1">
        <f t="array" ref="F398">_xlfn.IFS( Table1[[#This Row],[Age]]&lt;18, "&lt;18", Table1[[#This Row],[Age]]&lt;= 29, "18-29", Table1[[#This Row],[Age]]&lt;= 44, "30-44",  Table1[[#This Row],[Age]]&lt;=59, "45-59", TRUE, "60+")</f>
        <v>45-59</v>
      </c>
      <c r="G398" t="s">
        <v>49</v>
      </c>
      <c r="H398" t="s">
        <v>29</v>
      </c>
      <c r="I398" t="s">
        <v>30</v>
      </c>
      <c r="J398">
        <v>5</v>
      </c>
      <c r="K398" t="s">
        <v>55</v>
      </c>
      <c r="L398" t="str" cm="1">
        <f t="array" ref="L398">_xlfn.IFS(Table1[[#This Row],[Customer Tenure in months]]&lt;=6, "0-6 months", Table1[[#This Row],[Customer Tenure in months]] &lt;=12, "7-12 months", Table1[[#This Row],[Customer Tenure in months]] &lt;=24, "1-2 years", TRUE, "2+ years")</f>
        <v>2+ years</v>
      </c>
      <c r="M398">
        <v>53</v>
      </c>
      <c r="N398" t="s">
        <v>193</v>
      </c>
      <c r="O398" s="1">
        <v>6500</v>
      </c>
      <c r="P398">
        <v>17</v>
      </c>
      <c r="Q398" s="1">
        <v>110500</v>
      </c>
      <c r="R398">
        <v>114.46</v>
      </c>
      <c r="S398" t="s">
        <v>1091</v>
      </c>
      <c r="T398" t="s">
        <v>39</v>
      </c>
    </row>
    <row r="399" spans="1:20" x14ac:dyDescent="0.35">
      <c r="A399" s="22" t="s">
        <v>496</v>
      </c>
      <c r="B399" cm="1">
        <f t="array" ref="B399">IF(MATCH(Table1[[#This Row],[Customer ID]], Table1[Customer ID], 0) = ROW() - ROW(Table1[#Headers]), 1, 0)</f>
        <v>1</v>
      </c>
      <c r="C399" t="s">
        <v>497</v>
      </c>
      <c r="D399" s="2">
        <v>45713</v>
      </c>
      <c r="E399">
        <v>31</v>
      </c>
      <c r="F399" t="str" cm="1">
        <f t="array" ref="F399">_xlfn.IFS( Table1[[#This Row],[Age]]&lt;18, "&lt;18", Table1[[#This Row],[Age]]&lt;= 29, "18-29", Table1[[#This Row],[Age]]&lt;= 44, "30-44",  Table1[[#This Row],[Age]]&lt;=59, "45-59", TRUE, "60+")</f>
        <v>30-44</v>
      </c>
      <c r="G399" t="s">
        <v>198</v>
      </c>
      <c r="H399" t="s">
        <v>29</v>
      </c>
      <c r="I399" t="s">
        <v>21</v>
      </c>
      <c r="J399">
        <v>2</v>
      </c>
      <c r="K399" t="s">
        <v>22</v>
      </c>
      <c r="L399" t="str" cm="1">
        <f t="array" ref="L399">_xlfn.IFS(Table1[[#This Row],[Customer Tenure in months]]&lt;=6, "0-6 months", Table1[[#This Row],[Customer Tenure in months]] &lt;=12, "7-12 months", Table1[[#This Row],[Customer Tenure in months]] &lt;=24, "1-2 years", TRUE, "2+ years")</f>
        <v>7-12 months</v>
      </c>
      <c r="M399">
        <v>11</v>
      </c>
      <c r="N399" t="s">
        <v>72</v>
      </c>
      <c r="O399" s="1">
        <v>350</v>
      </c>
      <c r="P399">
        <v>5</v>
      </c>
      <c r="Q399" s="1">
        <v>1750</v>
      </c>
      <c r="R399">
        <v>199.46</v>
      </c>
      <c r="S399" t="s">
        <v>167</v>
      </c>
      <c r="T399" t="s">
        <v>24</v>
      </c>
    </row>
    <row r="400" spans="1:20" x14ac:dyDescent="0.35">
      <c r="A400" s="22" t="s">
        <v>498</v>
      </c>
      <c r="B400" cm="1">
        <f t="array" ref="B400">IF(MATCH(Table1[[#This Row],[Customer ID]], Table1[Customer ID], 0) = ROW() - ROW(Table1[#Headers]), 1, 0)</f>
        <v>1</v>
      </c>
      <c r="C400" t="s">
        <v>499</v>
      </c>
      <c r="D400" s="2">
        <v>45713</v>
      </c>
      <c r="E400">
        <v>56</v>
      </c>
      <c r="F400" t="str" cm="1">
        <f t="array" ref="F400">_xlfn.IFS( Table1[[#This Row],[Age]]&lt;18, "&lt;18", Table1[[#This Row],[Age]]&lt;= 29, "18-29", Table1[[#This Row],[Age]]&lt;= 44, "30-44",  Table1[[#This Row],[Age]]&lt;=59, "45-59", TRUE, "60+")</f>
        <v>45-59</v>
      </c>
      <c r="G400" t="s">
        <v>146</v>
      </c>
      <c r="H400" t="s">
        <v>29</v>
      </c>
      <c r="I400" t="s">
        <v>21</v>
      </c>
      <c r="J400">
        <v>5</v>
      </c>
      <c r="K400" t="s">
        <v>55</v>
      </c>
      <c r="L400" t="str" cm="1">
        <f t="array" ref="L400">_xlfn.IFS(Table1[[#This Row],[Customer Tenure in months]]&lt;=6, "0-6 months", Table1[[#This Row],[Customer Tenure in months]] &lt;=12, "7-12 months", Table1[[#This Row],[Customer Tenure in months]] &lt;=24, "1-2 years", TRUE, "2+ years")</f>
        <v>2+ years</v>
      </c>
      <c r="M400">
        <v>25</v>
      </c>
      <c r="N400" t="s">
        <v>193</v>
      </c>
      <c r="O400" s="1">
        <v>6500</v>
      </c>
      <c r="P400">
        <v>4</v>
      </c>
      <c r="Q400" s="1">
        <v>26000</v>
      </c>
      <c r="R400">
        <v>156.44999999999999</v>
      </c>
      <c r="S400" t="s">
        <v>1091</v>
      </c>
      <c r="T400" t="s">
        <v>39</v>
      </c>
    </row>
    <row r="401" spans="1:20" x14ac:dyDescent="0.35">
      <c r="A401" s="22" t="s">
        <v>498</v>
      </c>
      <c r="B401" cm="1">
        <f t="array" ref="B401">IF(MATCH(Table1[[#This Row],[Customer ID]], Table1[Customer ID], 0) = ROW() - ROW(Table1[#Headers]), 1, 0)</f>
        <v>0</v>
      </c>
      <c r="C401" t="s">
        <v>499</v>
      </c>
      <c r="D401" s="2">
        <v>45713</v>
      </c>
      <c r="E401">
        <v>56</v>
      </c>
      <c r="F401" t="str" cm="1">
        <f t="array" ref="F401">_xlfn.IFS( Table1[[#This Row],[Age]]&lt;18, "&lt;18", Table1[[#This Row],[Age]]&lt;= 29, "18-29", Table1[[#This Row],[Age]]&lt;= 44, "30-44",  Table1[[#This Row],[Age]]&lt;=59, "45-59", TRUE, "60+")</f>
        <v>45-59</v>
      </c>
      <c r="G401" t="s">
        <v>146</v>
      </c>
      <c r="H401" t="s">
        <v>41</v>
      </c>
      <c r="I401" t="s">
        <v>21</v>
      </c>
      <c r="J401">
        <v>5</v>
      </c>
      <c r="K401" t="s">
        <v>55</v>
      </c>
      <c r="L401" t="str" cm="1">
        <f t="array" ref="L401">_xlfn.IFS(Table1[[#This Row],[Customer Tenure in months]]&lt;=6, "0-6 months", Table1[[#This Row],[Customer Tenure in months]] &lt;=12, "7-12 months", Table1[[#This Row],[Customer Tenure in months]] &lt;=24, "1-2 years", TRUE, "2+ years")</f>
        <v>2+ years</v>
      </c>
      <c r="M401">
        <v>25</v>
      </c>
      <c r="N401" t="s">
        <v>71</v>
      </c>
      <c r="O401" s="1">
        <v>14500</v>
      </c>
      <c r="P401">
        <v>19</v>
      </c>
      <c r="Q401" s="1">
        <v>275500</v>
      </c>
      <c r="R401">
        <v>30.35</v>
      </c>
      <c r="S401" t="s">
        <v>1091</v>
      </c>
      <c r="T401" t="s">
        <v>39</v>
      </c>
    </row>
    <row r="402" spans="1:20" x14ac:dyDescent="0.35">
      <c r="A402" s="22" t="s">
        <v>500</v>
      </c>
      <c r="B402" cm="1">
        <f t="array" ref="B402">IF(MATCH(Table1[[#This Row],[Customer ID]], Table1[Customer ID], 0) = ROW() - ROW(Table1[#Headers]), 1, 0)</f>
        <v>1</v>
      </c>
      <c r="C402" t="s">
        <v>501</v>
      </c>
      <c r="D402" s="2">
        <v>45741</v>
      </c>
      <c r="E402">
        <v>29</v>
      </c>
      <c r="F402" t="str" cm="1">
        <f t="array" ref="F402">_xlfn.IFS( Table1[[#This Row],[Age]]&lt;18, "&lt;18", Table1[[#This Row],[Age]]&lt;= 29, "18-29", Table1[[#This Row],[Age]]&lt;= 44, "30-44",  Table1[[#This Row],[Age]]&lt;=59, "45-59", TRUE, "60+")</f>
        <v>18-29</v>
      </c>
      <c r="G402" t="s">
        <v>95</v>
      </c>
      <c r="H402" t="s">
        <v>29</v>
      </c>
      <c r="I402" t="s">
        <v>30</v>
      </c>
      <c r="J402">
        <v>4</v>
      </c>
      <c r="K402" t="s">
        <v>114</v>
      </c>
      <c r="L402" t="str" cm="1">
        <f t="array" ref="L402">_xlfn.IFS(Table1[[#This Row],[Customer Tenure in months]]&lt;=6, "0-6 months", Table1[[#This Row],[Customer Tenure in months]] &lt;=12, "7-12 months", Table1[[#This Row],[Customer Tenure in months]] &lt;=24, "1-2 years", TRUE, "2+ years")</f>
        <v>2+ years</v>
      </c>
      <c r="M402">
        <v>56</v>
      </c>
      <c r="N402" t="s">
        <v>164</v>
      </c>
      <c r="O402" s="1">
        <v>600</v>
      </c>
      <c r="P402">
        <v>5</v>
      </c>
      <c r="Q402" s="1">
        <v>3000</v>
      </c>
      <c r="R402">
        <v>55.45</v>
      </c>
      <c r="S402" t="s">
        <v>284</v>
      </c>
      <c r="T402" t="s">
        <v>24</v>
      </c>
    </row>
    <row r="403" spans="1:20" x14ac:dyDescent="0.35">
      <c r="A403" s="22" t="s">
        <v>500</v>
      </c>
      <c r="B403" cm="1">
        <f t="array" ref="B403">IF(MATCH(Table1[[#This Row],[Customer ID]], Table1[Customer ID], 0) = ROW() - ROW(Table1[#Headers]), 1, 0)</f>
        <v>0</v>
      </c>
      <c r="C403" t="s">
        <v>501</v>
      </c>
      <c r="D403" s="2">
        <v>45741</v>
      </c>
      <c r="E403">
        <v>29</v>
      </c>
      <c r="F403" t="str" cm="1">
        <f t="array" ref="F403">_xlfn.IFS( Table1[[#This Row],[Age]]&lt;18, "&lt;18", Table1[[#This Row],[Age]]&lt;= 29, "18-29", Table1[[#This Row],[Age]]&lt;= 44, "30-44",  Table1[[#This Row],[Age]]&lt;=59, "45-59", TRUE, "60+")</f>
        <v>18-29</v>
      </c>
      <c r="G403" t="s">
        <v>95</v>
      </c>
      <c r="H403" t="s">
        <v>41</v>
      </c>
      <c r="I403" t="s">
        <v>30</v>
      </c>
      <c r="J403">
        <v>4</v>
      </c>
      <c r="K403" t="s">
        <v>114</v>
      </c>
      <c r="L403" t="str" cm="1">
        <f t="array" ref="L403">_xlfn.IFS(Table1[[#This Row],[Customer Tenure in months]]&lt;=6, "0-6 months", Table1[[#This Row],[Customer Tenure in months]] &lt;=12, "7-12 months", Table1[[#This Row],[Customer Tenure in months]] &lt;=24, "1-2 years", TRUE, "2+ years")</f>
        <v>2+ years</v>
      </c>
      <c r="M403">
        <v>56</v>
      </c>
      <c r="N403" t="s">
        <v>62</v>
      </c>
      <c r="O403" s="1">
        <v>24000</v>
      </c>
      <c r="P403">
        <v>13</v>
      </c>
      <c r="Q403" s="1">
        <v>312000</v>
      </c>
      <c r="R403">
        <v>121.93</v>
      </c>
      <c r="S403" t="s">
        <v>284</v>
      </c>
      <c r="T403" t="s">
        <v>24</v>
      </c>
    </row>
    <row r="404" spans="1:20" x14ac:dyDescent="0.35">
      <c r="A404" s="22" t="s">
        <v>502</v>
      </c>
      <c r="B404" cm="1">
        <f t="array" ref="B404">IF(MATCH(Table1[[#This Row],[Customer ID]], Table1[Customer ID], 0) = ROW() - ROW(Table1[#Headers]), 1, 0)</f>
        <v>1</v>
      </c>
      <c r="C404" t="s">
        <v>503</v>
      </c>
      <c r="D404" s="2">
        <v>45713</v>
      </c>
      <c r="E404">
        <v>66</v>
      </c>
      <c r="F404" t="str" cm="1">
        <f t="array" ref="F404">_xlfn.IFS( Table1[[#This Row],[Age]]&lt;18, "&lt;18", Table1[[#This Row],[Age]]&lt;= 29, "18-29", Table1[[#This Row],[Age]]&lt;= 44, "30-44",  Table1[[#This Row],[Age]]&lt;=59, "45-59", TRUE, "60+")</f>
        <v>60+</v>
      </c>
      <c r="G404" t="s">
        <v>157</v>
      </c>
      <c r="H404" t="s">
        <v>36</v>
      </c>
      <c r="I404" t="s">
        <v>21</v>
      </c>
      <c r="J404">
        <v>3</v>
      </c>
      <c r="K404" t="s">
        <v>50</v>
      </c>
      <c r="L404" t="str" cm="1">
        <f t="array" ref="L404">_xlfn.IFS(Table1[[#This Row],[Customer Tenure in months]]&lt;=6, "0-6 months", Table1[[#This Row],[Customer Tenure in months]] &lt;=12, "7-12 months", Table1[[#This Row],[Customer Tenure in months]] &lt;=24, "1-2 years", TRUE, "2+ years")</f>
        <v>0-6 months</v>
      </c>
      <c r="M404">
        <v>4</v>
      </c>
      <c r="N404" t="s">
        <v>62</v>
      </c>
      <c r="O404" s="1">
        <v>24000</v>
      </c>
      <c r="P404">
        <v>16</v>
      </c>
      <c r="Q404" s="1">
        <v>384000</v>
      </c>
      <c r="R404">
        <v>62.53</v>
      </c>
      <c r="S404" t="s">
        <v>1091</v>
      </c>
      <c r="T404" t="s">
        <v>39</v>
      </c>
    </row>
    <row r="405" spans="1:20" x14ac:dyDescent="0.35">
      <c r="A405" s="22" t="s">
        <v>504</v>
      </c>
      <c r="B405" cm="1">
        <f t="array" ref="B405">IF(MATCH(Table1[[#This Row],[Customer ID]], Table1[Customer ID], 0) = ROW() - ROW(Table1[#Headers]), 1, 0)</f>
        <v>1</v>
      </c>
      <c r="C405" t="s">
        <v>505</v>
      </c>
      <c r="D405" s="2">
        <v>45713</v>
      </c>
      <c r="E405">
        <v>45</v>
      </c>
      <c r="F405" t="str" cm="1">
        <f t="array" ref="F405">_xlfn.IFS( Table1[[#This Row],[Age]]&lt;18, "&lt;18", Table1[[#This Row],[Age]]&lt;= 29, "18-29", Table1[[#This Row],[Age]]&lt;= 44, "30-44",  Table1[[#This Row],[Age]]&lt;=59, "45-59", TRUE, "60+")</f>
        <v>45-59</v>
      </c>
      <c r="G405" t="s">
        <v>140</v>
      </c>
      <c r="H405" t="s">
        <v>41</v>
      </c>
      <c r="I405" t="s">
        <v>30</v>
      </c>
      <c r="J405">
        <v>3</v>
      </c>
      <c r="K405" t="s">
        <v>50</v>
      </c>
      <c r="L405" t="str" cm="1">
        <f t="array" ref="L405">_xlfn.IFS(Table1[[#This Row],[Customer Tenure in months]]&lt;=6, "0-6 months", Table1[[#This Row],[Customer Tenure in months]] &lt;=12, "7-12 months", Table1[[#This Row],[Customer Tenure in months]] &lt;=24, "1-2 years", TRUE, "2+ years")</f>
        <v>2+ years</v>
      </c>
      <c r="M405">
        <v>48</v>
      </c>
      <c r="N405" t="s">
        <v>38</v>
      </c>
      <c r="O405" s="1">
        <v>20000</v>
      </c>
      <c r="P405">
        <v>14</v>
      </c>
      <c r="Q405" s="1">
        <v>280000</v>
      </c>
      <c r="R405">
        <v>182.73</v>
      </c>
      <c r="S405" t="s">
        <v>167</v>
      </c>
      <c r="T405" t="s">
        <v>24</v>
      </c>
    </row>
    <row r="406" spans="1:20" x14ac:dyDescent="0.35">
      <c r="A406" s="22" t="s">
        <v>504</v>
      </c>
      <c r="B406" cm="1">
        <f t="array" ref="B406">IF(MATCH(Table1[[#This Row],[Customer ID]], Table1[Customer ID], 0) = ROW() - ROW(Table1[#Headers]), 1, 0)</f>
        <v>0</v>
      </c>
      <c r="C406" t="s">
        <v>505</v>
      </c>
      <c r="D406" s="2">
        <v>45713</v>
      </c>
      <c r="E406">
        <v>45</v>
      </c>
      <c r="F406" t="str" cm="1">
        <f t="array" ref="F406">_xlfn.IFS( Table1[[#This Row],[Age]]&lt;18, "&lt;18", Table1[[#This Row],[Age]]&lt;= 29, "18-29", Table1[[#This Row],[Age]]&lt;= 44, "30-44",  Table1[[#This Row],[Age]]&lt;=59, "45-59", TRUE, "60+")</f>
        <v>45-59</v>
      </c>
      <c r="G406" t="s">
        <v>140</v>
      </c>
      <c r="H406" t="s">
        <v>29</v>
      </c>
      <c r="I406" t="s">
        <v>30</v>
      </c>
      <c r="J406">
        <v>3</v>
      </c>
      <c r="K406" t="s">
        <v>50</v>
      </c>
      <c r="L406" t="str" cm="1">
        <f t="array" ref="L406">_xlfn.IFS(Table1[[#This Row],[Customer Tenure in months]]&lt;=6, "0-6 months", Table1[[#This Row],[Customer Tenure in months]] &lt;=12, "7-12 months", Table1[[#This Row],[Customer Tenure in months]] &lt;=24, "1-2 years", TRUE, "2+ years")</f>
        <v>2+ years</v>
      </c>
      <c r="M406">
        <v>48</v>
      </c>
      <c r="N406" t="s">
        <v>31</v>
      </c>
      <c r="O406" s="1">
        <v>5500</v>
      </c>
      <c r="P406">
        <v>12</v>
      </c>
      <c r="Q406" s="1">
        <v>66000</v>
      </c>
      <c r="R406">
        <v>152.02000000000001</v>
      </c>
      <c r="S406" t="s">
        <v>167</v>
      </c>
      <c r="T406" t="s">
        <v>24</v>
      </c>
    </row>
    <row r="407" spans="1:20" x14ac:dyDescent="0.35">
      <c r="A407" s="22" t="s">
        <v>504</v>
      </c>
      <c r="B407" cm="1">
        <f t="array" ref="B407">IF(MATCH(Table1[[#This Row],[Customer ID]], Table1[Customer ID], 0) = ROW() - ROW(Table1[#Headers]), 1, 0)</f>
        <v>0</v>
      </c>
      <c r="C407" t="s">
        <v>505</v>
      </c>
      <c r="D407" s="2">
        <v>45713</v>
      </c>
      <c r="E407">
        <v>45</v>
      </c>
      <c r="F407" t="str" cm="1">
        <f t="array" ref="F407">_xlfn.IFS( Table1[[#This Row],[Age]]&lt;18, "&lt;18", Table1[[#This Row],[Age]]&lt;= 29, "18-29", Table1[[#This Row],[Age]]&lt;= 44, "30-44",  Table1[[#This Row],[Age]]&lt;=59, "45-59", TRUE, "60+")</f>
        <v>45-59</v>
      </c>
      <c r="G407" t="s">
        <v>140</v>
      </c>
      <c r="H407" t="s">
        <v>20</v>
      </c>
      <c r="I407" t="s">
        <v>30</v>
      </c>
      <c r="J407">
        <v>3</v>
      </c>
      <c r="K407" t="s">
        <v>50</v>
      </c>
      <c r="L407" t="str" cm="1">
        <f t="array" ref="L407">_xlfn.IFS(Table1[[#This Row],[Customer Tenure in months]]&lt;=6, "0-6 months", Table1[[#This Row],[Customer Tenure in months]] &lt;=12, "7-12 months", Table1[[#This Row],[Customer Tenure in months]] &lt;=24, "1-2 years", TRUE, "2+ years")</f>
        <v>2+ years</v>
      </c>
      <c r="M407">
        <v>48</v>
      </c>
      <c r="N407" t="s">
        <v>58</v>
      </c>
      <c r="O407" s="1">
        <v>16000</v>
      </c>
      <c r="P407">
        <v>6</v>
      </c>
      <c r="Q407" s="1">
        <v>96000</v>
      </c>
      <c r="R407">
        <v>103.3</v>
      </c>
      <c r="S407" t="s">
        <v>167</v>
      </c>
      <c r="T407" t="s">
        <v>24</v>
      </c>
    </row>
    <row r="408" spans="1:20" x14ac:dyDescent="0.35">
      <c r="A408" s="22" t="s">
        <v>506</v>
      </c>
      <c r="B408" cm="1">
        <f t="array" ref="B408">IF(MATCH(Table1[[#This Row],[Customer ID]], Table1[Customer ID], 0) = ROW() - ROW(Table1[#Headers]), 1, 0)</f>
        <v>1</v>
      </c>
      <c r="C408" t="s">
        <v>507</v>
      </c>
      <c r="D408" s="2">
        <v>45682</v>
      </c>
      <c r="E408">
        <v>55</v>
      </c>
      <c r="F408" t="str" cm="1">
        <f t="array" ref="F408">_xlfn.IFS( Table1[[#This Row],[Age]]&lt;18, "&lt;18", Table1[[#This Row],[Age]]&lt;= 29, "18-29", Table1[[#This Row],[Age]]&lt;= 44, "30-44",  Table1[[#This Row],[Age]]&lt;=59, "45-59", TRUE, "60+")</f>
        <v>45-59</v>
      </c>
      <c r="G408" t="s">
        <v>189</v>
      </c>
      <c r="H408" t="s">
        <v>41</v>
      </c>
      <c r="I408" t="s">
        <v>30</v>
      </c>
      <c r="J408">
        <v>2</v>
      </c>
      <c r="K408" t="s">
        <v>22</v>
      </c>
      <c r="L408" t="str" cm="1">
        <f t="array" ref="L408">_xlfn.IFS(Table1[[#This Row],[Customer Tenure in months]]&lt;=6, "0-6 months", Table1[[#This Row],[Customer Tenure in months]] &lt;=12, "7-12 months", Table1[[#This Row],[Customer Tenure in months]] &lt;=24, "1-2 years", TRUE, "2+ years")</f>
        <v>7-12 months</v>
      </c>
      <c r="M408">
        <v>9</v>
      </c>
      <c r="N408" t="s">
        <v>38</v>
      </c>
      <c r="O408" s="1">
        <v>20000</v>
      </c>
      <c r="P408">
        <v>2</v>
      </c>
      <c r="Q408" s="1">
        <v>40000</v>
      </c>
      <c r="R408">
        <v>7.1</v>
      </c>
      <c r="S408" t="s">
        <v>32</v>
      </c>
      <c r="T408" t="s">
        <v>24</v>
      </c>
    </row>
    <row r="409" spans="1:20" x14ac:dyDescent="0.35">
      <c r="A409" s="22" t="s">
        <v>508</v>
      </c>
      <c r="B409" cm="1">
        <f t="array" ref="B409">IF(MATCH(Table1[[#This Row],[Customer ID]], Table1[Customer ID], 0) = ROW() - ROW(Table1[#Headers]), 1, 0)</f>
        <v>1</v>
      </c>
      <c r="C409" t="s">
        <v>509</v>
      </c>
      <c r="D409" s="2">
        <v>45713</v>
      </c>
      <c r="E409">
        <v>41</v>
      </c>
      <c r="F409" t="str" cm="1">
        <f t="array" ref="F409">_xlfn.IFS( Table1[[#This Row],[Age]]&lt;18, "&lt;18", Table1[[#This Row],[Age]]&lt;= 29, "18-29", Table1[[#This Row],[Age]]&lt;= 44, "30-44",  Table1[[#This Row],[Age]]&lt;=59, "45-59", TRUE, "60+")</f>
        <v>30-44</v>
      </c>
      <c r="G409" t="s">
        <v>192</v>
      </c>
      <c r="H409" t="s">
        <v>41</v>
      </c>
      <c r="I409" t="s">
        <v>30</v>
      </c>
      <c r="J409">
        <v>5</v>
      </c>
      <c r="K409" t="s">
        <v>55</v>
      </c>
      <c r="L409" t="str" cm="1">
        <f t="array" ref="L409">_xlfn.IFS(Table1[[#This Row],[Customer Tenure in months]]&lt;=6, "0-6 months", Table1[[#This Row],[Customer Tenure in months]] &lt;=12, "7-12 months", Table1[[#This Row],[Customer Tenure in months]] &lt;=24, "1-2 years", TRUE, "2+ years")</f>
        <v>2+ years</v>
      </c>
      <c r="M409">
        <v>53</v>
      </c>
      <c r="N409" t="s">
        <v>38</v>
      </c>
      <c r="O409" s="1">
        <v>20000</v>
      </c>
      <c r="P409">
        <v>20</v>
      </c>
      <c r="Q409" s="1">
        <v>400000</v>
      </c>
      <c r="R409">
        <v>74.81</v>
      </c>
      <c r="S409" t="s">
        <v>1091</v>
      </c>
      <c r="T409" t="s">
        <v>39</v>
      </c>
    </row>
    <row r="410" spans="1:20" x14ac:dyDescent="0.35">
      <c r="A410" s="22" t="s">
        <v>510</v>
      </c>
      <c r="B410" cm="1">
        <f t="array" ref="B410">IF(MATCH(Table1[[#This Row],[Customer ID]], Table1[Customer ID], 0) = ROW() - ROW(Table1[#Headers]), 1, 0)</f>
        <v>1</v>
      </c>
      <c r="C410" t="s">
        <v>511</v>
      </c>
      <c r="D410" s="2">
        <v>45713</v>
      </c>
      <c r="E410">
        <v>38</v>
      </c>
      <c r="F410" t="str" cm="1">
        <f t="array" ref="F410">_xlfn.IFS( Table1[[#This Row],[Age]]&lt;18, "&lt;18", Table1[[#This Row],[Age]]&lt;= 29, "18-29", Table1[[#This Row],[Age]]&lt;= 44, "30-44",  Table1[[#This Row],[Age]]&lt;=59, "45-59", TRUE, "60+")</f>
        <v>30-44</v>
      </c>
      <c r="G410" t="s">
        <v>213</v>
      </c>
      <c r="H410" t="s">
        <v>41</v>
      </c>
      <c r="I410" t="s">
        <v>30</v>
      </c>
      <c r="J410">
        <v>3</v>
      </c>
      <c r="K410" t="s">
        <v>50</v>
      </c>
      <c r="L410" t="str" cm="1">
        <f t="array" ref="L410">_xlfn.IFS(Table1[[#This Row],[Customer Tenure in months]]&lt;=6, "0-6 months", Table1[[#This Row],[Customer Tenure in months]] &lt;=12, "7-12 months", Table1[[#This Row],[Customer Tenure in months]] &lt;=24, "1-2 years", TRUE, "2+ years")</f>
        <v>1-2 years</v>
      </c>
      <c r="M410">
        <v>23</v>
      </c>
      <c r="N410" t="s">
        <v>71</v>
      </c>
      <c r="O410" s="1">
        <v>14500</v>
      </c>
      <c r="P410">
        <v>19</v>
      </c>
      <c r="Q410" s="1">
        <v>275500</v>
      </c>
      <c r="R410">
        <v>10.41</v>
      </c>
      <c r="S410" t="s">
        <v>1091</v>
      </c>
      <c r="T410" t="s">
        <v>39</v>
      </c>
    </row>
    <row r="411" spans="1:20" x14ac:dyDescent="0.35">
      <c r="A411" s="22" t="s">
        <v>510</v>
      </c>
      <c r="B411" cm="1">
        <f t="array" ref="B411">IF(MATCH(Table1[[#This Row],[Customer ID]], Table1[Customer ID], 0) = ROW() - ROW(Table1[#Headers]), 1, 0)</f>
        <v>0</v>
      </c>
      <c r="C411" t="s">
        <v>511</v>
      </c>
      <c r="D411" s="2">
        <v>45713</v>
      </c>
      <c r="E411">
        <v>38</v>
      </c>
      <c r="F411" t="str" cm="1">
        <f t="array" ref="F411">_xlfn.IFS( Table1[[#This Row],[Age]]&lt;18, "&lt;18", Table1[[#This Row],[Age]]&lt;= 29, "18-29", Table1[[#This Row],[Age]]&lt;= 44, "30-44",  Table1[[#This Row],[Age]]&lt;=59, "45-59", TRUE, "60+")</f>
        <v>30-44</v>
      </c>
      <c r="G411" t="s">
        <v>213</v>
      </c>
      <c r="H411" t="s">
        <v>29</v>
      </c>
      <c r="I411" t="s">
        <v>30</v>
      </c>
      <c r="J411">
        <v>3</v>
      </c>
      <c r="K411" t="s">
        <v>50</v>
      </c>
      <c r="L411" t="str" cm="1">
        <f t="array" ref="L411">_xlfn.IFS(Table1[[#This Row],[Customer Tenure in months]]&lt;=6, "0-6 months", Table1[[#This Row],[Customer Tenure in months]] &lt;=12, "7-12 months", Table1[[#This Row],[Customer Tenure in months]] &lt;=24, "1-2 years", TRUE, "2+ years")</f>
        <v>1-2 years</v>
      </c>
      <c r="M411">
        <v>23</v>
      </c>
      <c r="N411" t="s">
        <v>46</v>
      </c>
      <c r="O411" s="1">
        <v>4500</v>
      </c>
      <c r="P411">
        <v>8</v>
      </c>
      <c r="Q411" s="1">
        <v>36000</v>
      </c>
      <c r="R411">
        <v>171.49</v>
      </c>
      <c r="S411" t="s">
        <v>1091</v>
      </c>
      <c r="T411" t="s">
        <v>39</v>
      </c>
    </row>
    <row r="412" spans="1:20" x14ac:dyDescent="0.35">
      <c r="A412" s="22" t="s">
        <v>510</v>
      </c>
      <c r="B412" cm="1">
        <f t="array" ref="B412">IF(MATCH(Table1[[#This Row],[Customer ID]], Table1[Customer ID], 0) = ROW() - ROW(Table1[#Headers]), 1, 0)</f>
        <v>0</v>
      </c>
      <c r="C412" t="s">
        <v>511</v>
      </c>
      <c r="D412" s="2">
        <v>45713</v>
      </c>
      <c r="E412">
        <v>38</v>
      </c>
      <c r="F412" t="str" cm="1">
        <f t="array" ref="F412">_xlfn.IFS( Table1[[#This Row],[Age]]&lt;18, "&lt;18", Table1[[#This Row],[Age]]&lt;= 29, "18-29", Table1[[#This Row],[Age]]&lt;= 44, "30-44",  Table1[[#This Row],[Age]]&lt;=59, "45-59", TRUE, "60+")</f>
        <v>30-44</v>
      </c>
      <c r="G412" t="s">
        <v>213</v>
      </c>
      <c r="H412" t="s">
        <v>29</v>
      </c>
      <c r="I412" t="s">
        <v>30</v>
      </c>
      <c r="J412">
        <v>3</v>
      </c>
      <c r="K412" t="s">
        <v>50</v>
      </c>
      <c r="L412" t="str" cm="1">
        <f t="array" ref="L412">_xlfn.IFS(Table1[[#This Row],[Customer Tenure in months]]&lt;=6, "0-6 months", Table1[[#This Row],[Customer Tenure in months]] &lt;=12, "7-12 months", Table1[[#This Row],[Customer Tenure in months]] &lt;=24, "1-2 years", TRUE, "2+ years")</f>
        <v>1-2 years</v>
      </c>
      <c r="M412">
        <v>23</v>
      </c>
      <c r="N412" t="s">
        <v>72</v>
      </c>
      <c r="O412" s="1">
        <v>350</v>
      </c>
      <c r="P412">
        <v>14</v>
      </c>
      <c r="Q412" s="1">
        <v>4900</v>
      </c>
      <c r="R412">
        <v>54.18</v>
      </c>
      <c r="S412" t="s">
        <v>1091</v>
      </c>
      <c r="T412" t="s">
        <v>39</v>
      </c>
    </row>
    <row r="413" spans="1:20" x14ac:dyDescent="0.35">
      <c r="A413" s="22" t="s">
        <v>512</v>
      </c>
      <c r="B413" cm="1">
        <f t="array" ref="B413">IF(MATCH(Table1[[#This Row],[Customer ID]], Table1[Customer ID], 0) = ROW() - ROW(Table1[#Headers]), 1, 0)</f>
        <v>1</v>
      </c>
      <c r="C413" t="s">
        <v>513</v>
      </c>
      <c r="D413" s="2">
        <v>45713</v>
      </c>
      <c r="E413">
        <v>18</v>
      </c>
      <c r="F413" t="str" cm="1">
        <f t="array" ref="F413">_xlfn.IFS( Table1[[#This Row],[Age]]&lt;18, "&lt;18", Table1[[#This Row],[Age]]&lt;= 29, "18-29", Table1[[#This Row],[Age]]&lt;= 44, "30-44",  Table1[[#This Row],[Age]]&lt;=59, "45-59", TRUE, "60+")</f>
        <v>18-29</v>
      </c>
      <c r="G413" t="s">
        <v>452</v>
      </c>
      <c r="H413" t="s">
        <v>20</v>
      </c>
      <c r="I413" t="s">
        <v>30</v>
      </c>
      <c r="J413">
        <v>2</v>
      </c>
      <c r="K413" t="s">
        <v>22</v>
      </c>
      <c r="L413" t="str" cm="1">
        <f t="array" ref="L413">_xlfn.IFS(Table1[[#This Row],[Customer Tenure in months]]&lt;=6, "0-6 months", Table1[[#This Row],[Customer Tenure in months]] &lt;=12, "7-12 months", Table1[[#This Row],[Customer Tenure in months]] &lt;=24, "1-2 years", TRUE, "2+ years")</f>
        <v>2+ years</v>
      </c>
      <c r="M413">
        <v>59</v>
      </c>
      <c r="N413" t="s">
        <v>46</v>
      </c>
      <c r="O413" s="1">
        <v>4500</v>
      </c>
      <c r="P413">
        <v>10</v>
      </c>
      <c r="Q413" s="1">
        <v>45000</v>
      </c>
      <c r="R413">
        <v>121.86</v>
      </c>
      <c r="S413" t="s">
        <v>1091</v>
      </c>
      <c r="T413" t="s">
        <v>39</v>
      </c>
    </row>
    <row r="414" spans="1:20" x14ac:dyDescent="0.35">
      <c r="A414" s="22" t="s">
        <v>514</v>
      </c>
      <c r="B414" cm="1">
        <f t="array" ref="B414">IF(MATCH(Table1[[#This Row],[Customer ID]], Table1[Customer ID], 0) = ROW() - ROW(Table1[#Headers]), 1, 0)</f>
        <v>1</v>
      </c>
      <c r="C414" t="s">
        <v>515</v>
      </c>
      <c r="D414" s="2">
        <v>45741</v>
      </c>
      <c r="E414">
        <v>70</v>
      </c>
      <c r="F414" t="str" cm="1">
        <f t="array" ref="F414">_xlfn.IFS( Table1[[#This Row],[Age]]&lt;18, "&lt;18", Table1[[#This Row],[Age]]&lt;= 29, "18-29", Table1[[#This Row],[Age]]&lt;= 44, "30-44",  Table1[[#This Row],[Age]]&lt;=59, "45-59", TRUE, "60+")</f>
        <v>60+</v>
      </c>
      <c r="G414" t="s">
        <v>61</v>
      </c>
      <c r="H414" t="s">
        <v>29</v>
      </c>
      <c r="I414" t="s">
        <v>30</v>
      </c>
      <c r="J414">
        <v>2</v>
      </c>
      <c r="K414" t="s">
        <v>22</v>
      </c>
      <c r="L414" t="str" cm="1">
        <f t="array" ref="L414">_xlfn.IFS(Table1[[#This Row],[Customer Tenure in months]]&lt;=6, "0-6 months", Table1[[#This Row],[Customer Tenure in months]] &lt;=12, "7-12 months", Table1[[#This Row],[Customer Tenure in months]] &lt;=24, "1-2 years", TRUE, "2+ years")</f>
        <v>2+ years</v>
      </c>
      <c r="M414">
        <v>30</v>
      </c>
      <c r="N414" t="s">
        <v>102</v>
      </c>
      <c r="O414" s="1">
        <v>900</v>
      </c>
      <c r="P414">
        <v>12</v>
      </c>
      <c r="Q414" s="1">
        <v>10800</v>
      </c>
      <c r="R414">
        <v>102.55</v>
      </c>
      <c r="S414" t="s">
        <v>1091</v>
      </c>
      <c r="T414" t="s">
        <v>39</v>
      </c>
    </row>
    <row r="415" spans="1:20" x14ac:dyDescent="0.35">
      <c r="A415" s="22" t="s">
        <v>514</v>
      </c>
      <c r="B415" cm="1">
        <f t="array" ref="B415">IF(MATCH(Table1[[#This Row],[Customer ID]], Table1[Customer ID], 0) = ROW() - ROW(Table1[#Headers]), 1, 0)</f>
        <v>0</v>
      </c>
      <c r="C415" t="s">
        <v>515</v>
      </c>
      <c r="D415" s="2">
        <v>45741</v>
      </c>
      <c r="E415">
        <v>70</v>
      </c>
      <c r="F415" t="str" cm="1">
        <f t="array" ref="F415">_xlfn.IFS( Table1[[#This Row],[Age]]&lt;18, "&lt;18", Table1[[#This Row],[Age]]&lt;= 29, "18-29", Table1[[#This Row],[Age]]&lt;= 44, "30-44",  Table1[[#This Row],[Age]]&lt;=59, "45-59", TRUE, "60+")</f>
        <v>60+</v>
      </c>
      <c r="G415" t="s">
        <v>61</v>
      </c>
      <c r="H415" t="s">
        <v>36</v>
      </c>
      <c r="I415" t="s">
        <v>30</v>
      </c>
      <c r="J415">
        <v>2</v>
      </c>
      <c r="K415" t="s">
        <v>22</v>
      </c>
      <c r="L415" t="str" cm="1">
        <f t="array" ref="L415">_xlfn.IFS(Table1[[#This Row],[Customer Tenure in months]]&lt;=6, "0-6 months", Table1[[#This Row],[Customer Tenure in months]] &lt;=12, "7-12 months", Table1[[#This Row],[Customer Tenure in months]] &lt;=24, "1-2 years", TRUE, "2+ years")</f>
        <v>2+ years</v>
      </c>
      <c r="M415">
        <v>30</v>
      </c>
      <c r="N415" t="s">
        <v>62</v>
      </c>
      <c r="O415" s="1">
        <v>24000</v>
      </c>
      <c r="P415">
        <v>4</v>
      </c>
      <c r="Q415" s="1">
        <v>96000</v>
      </c>
      <c r="R415">
        <v>60.05</v>
      </c>
      <c r="S415" t="s">
        <v>1091</v>
      </c>
      <c r="T415" t="s">
        <v>39</v>
      </c>
    </row>
    <row r="416" spans="1:20" x14ac:dyDescent="0.35">
      <c r="A416" s="22" t="s">
        <v>514</v>
      </c>
      <c r="B416" cm="1">
        <f t="array" ref="B416">IF(MATCH(Table1[[#This Row],[Customer ID]], Table1[Customer ID], 0) = ROW() - ROW(Table1[#Headers]), 1, 0)</f>
        <v>0</v>
      </c>
      <c r="C416" t="s">
        <v>515</v>
      </c>
      <c r="D416" s="2">
        <v>45741</v>
      </c>
      <c r="E416">
        <v>70</v>
      </c>
      <c r="F416" t="str" cm="1">
        <f t="array" ref="F416">_xlfn.IFS( Table1[[#This Row],[Age]]&lt;18, "&lt;18", Table1[[#This Row],[Age]]&lt;= 29, "18-29", Table1[[#This Row],[Age]]&lt;= 44, "30-44",  Table1[[#This Row],[Age]]&lt;=59, "45-59", TRUE, "60+")</f>
        <v>60+</v>
      </c>
      <c r="G416" t="s">
        <v>61</v>
      </c>
      <c r="H416" t="s">
        <v>41</v>
      </c>
      <c r="I416" t="s">
        <v>30</v>
      </c>
      <c r="J416">
        <v>2</v>
      </c>
      <c r="K416" t="s">
        <v>22</v>
      </c>
      <c r="L416" t="str" cm="1">
        <f t="array" ref="L416">_xlfn.IFS(Table1[[#This Row],[Customer Tenure in months]]&lt;=6, "0-6 months", Table1[[#This Row],[Customer Tenure in months]] &lt;=12, "7-12 months", Table1[[#This Row],[Customer Tenure in months]] &lt;=24, "1-2 years", TRUE, "2+ years")</f>
        <v>2+ years</v>
      </c>
      <c r="M416">
        <v>30</v>
      </c>
      <c r="N416" t="s">
        <v>71</v>
      </c>
      <c r="O416" s="1">
        <v>14500</v>
      </c>
      <c r="P416">
        <v>9</v>
      </c>
      <c r="Q416" s="1">
        <v>130500</v>
      </c>
      <c r="R416">
        <v>13.24</v>
      </c>
      <c r="S416" t="s">
        <v>1091</v>
      </c>
      <c r="T416" t="s">
        <v>39</v>
      </c>
    </row>
    <row r="417" spans="1:20" x14ac:dyDescent="0.35">
      <c r="A417" s="22" t="s">
        <v>516</v>
      </c>
      <c r="B417" cm="1">
        <f t="array" ref="B417">IF(MATCH(Table1[[#This Row],[Customer ID]], Table1[Customer ID], 0) = ROW() - ROW(Table1[#Headers]), 1, 0)</f>
        <v>1</v>
      </c>
      <c r="C417" t="s">
        <v>517</v>
      </c>
      <c r="D417" s="2">
        <v>45713</v>
      </c>
      <c r="E417">
        <v>51</v>
      </c>
      <c r="F417" t="str" cm="1">
        <f t="array" ref="F417">_xlfn.IFS( Table1[[#This Row],[Age]]&lt;18, "&lt;18", Table1[[#This Row],[Age]]&lt;= 29, "18-29", Table1[[#This Row],[Age]]&lt;= 44, "30-44",  Table1[[#This Row],[Age]]&lt;=59, "45-59", TRUE, "60+")</f>
        <v>45-59</v>
      </c>
      <c r="G417" t="s">
        <v>143</v>
      </c>
      <c r="H417" t="s">
        <v>29</v>
      </c>
      <c r="I417" t="s">
        <v>30</v>
      </c>
      <c r="J417">
        <v>5</v>
      </c>
      <c r="K417" t="s">
        <v>55</v>
      </c>
      <c r="L417" t="str" cm="1">
        <f t="array" ref="L417">_xlfn.IFS(Table1[[#This Row],[Customer Tenure in months]]&lt;=6, "0-6 months", Table1[[#This Row],[Customer Tenure in months]] &lt;=12, "7-12 months", Table1[[#This Row],[Customer Tenure in months]] &lt;=24, "1-2 years", TRUE, "2+ years")</f>
        <v>1-2 years</v>
      </c>
      <c r="M417">
        <v>13</v>
      </c>
      <c r="N417" t="s">
        <v>56</v>
      </c>
      <c r="O417" s="1">
        <v>3500</v>
      </c>
      <c r="P417">
        <v>1</v>
      </c>
      <c r="Q417" s="1">
        <v>3500</v>
      </c>
      <c r="R417">
        <v>136.31</v>
      </c>
      <c r="S417" t="s">
        <v>1091</v>
      </c>
      <c r="T417" t="s">
        <v>39</v>
      </c>
    </row>
    <row r="418" spans="1:20" x14ac:dyDescent="0.35">
      <c r="A418" s="22" t="s">
        <v>518</v>
      </c>
      <c r="B418" cm="1">
        <f t="array" ref="B418">IF(MATCH(Table1[[#This Row],[Customer ID]], Table1[Customer ID], 0) = ROW() - ROW(Table1[#Headers]), 1, 0)</f>
        <v>1</v>
      </c>
      <c r="C418" t="s">
        <v>519</v>
      </c>
      <c r="D418" s="2">
        <v>45713</v>
      </c>
      <c r="E418">
        <v>53</v>
      </c>
      <c r="F418" t="str" cm="1">
        <f t="array" ref="F418">_xlfn.IFS( Table1[[#This Row],[Age]]&lt;18, "&lt;18", Table1[[#This Row],[Age]]&lt;= 29, "18-29", Table1[[#This Row],[Age]]&lt;= 44, "30-44",  Table1[[#This Row],[Age]]&lt;=59, "45-59", TRUE, "60+")</f>
        <v>45-59</v>
      </c>
      <c r="G418" t="s">
        <v>143</v>
      </c>
      <c r="H418" t="s">
        <v>29</v>
      </c>
      <c r="I418" t="s">
        <v>30</v>
      </c>
      <c r="J418">
        <v>1</v>
      </c>
      <c r="K418" t="s">
        <v>37</v>
      </c>
      <c r="L418" t="str" cm="1">
        <f t="array" ref="L418">_xlfn.IFS(Table1[[#This Row],[Customer Tenure in months]]&lt;=6, "0-6 months", Table1[[#This Row],[Customer Tenure in months]] &lt;=12, "7-12 months", Table1[[#This Row],[Customer Tenure in months]] &lt;=24, "1-2 years", TRUE, "2+ years")</f>
        <v>2+ years</v>
      </c>
      <c r="M418">
        <v>26</v>
      </c>
      <c r="N418" t="s">
        <v>23</v>
      </c>
      <c r="O418" s="1">
        <v>35000</v>
      </c>
      <c r="P418">
        <v>12</v>
      </c>
      <c r="Q418" s="1">
        <v>420000</v>
      </c>
      <c r="R418">
        <v>181.35</v>
      </c>
      <c r="S418" t="s">
        <v>1091</v>
      </c>
      <c r="T418" t="s">
        <v>39</v>
      </c>
    </row>
    <row r="419" spans="1:20" x14ac:dyDescent="0.35">
      <c r="A419" s="22" t="s">
        <v>518</v>
      </c>
      <c r="B419" cm="1">
        <f t="array" ref="B419">IF(MATCH(Table1[[#This Row],[Customer ID]], Table1[Customer ID], 0) = ROW() - ROW(Table1[#Headers]), 1, 0)</f>
        <v>0</v>
      </c>
      <c r="C419" t="s">
        <v>519</v>
      </c>
      <c r="D419" s="2">
        <v>45713</v>
      </c>
      <c r="E419">
        <v>53</v>
      </c>
      <c r="F419" t="str" cm="1">
        <f t="array" ref="F419">_xlfn.IFS( Table1[[#This Row],[Age]]&lt;18, "&lt;18", Table1[[#This Row],[Age]]&lt;= 29, "18-29", Table1[[#This Row],[Age]]&lt;= 44, "30-44",  Table1[[#This Row],[Age]]&lt;=59, "45-59", TRUE, "60+")</f>
        <v>45-59</v>
      </c>
      <c r="G419" t="s">
        <v>143</v>
      </c>
      <c r="H419" t="s">
        <v>29</v>
      </c>
      <c r="I419" t="s">
        <v>30</v>
      </c>
      <c r="J419">
        <v>1</v>
      </c>
      <c r="K419" t="s">
        <v>37</v>
      </c>
      <c r="L419" t="str" cm="1">
        <f t="array" ref="L419">_xlfn.IFS(Table1[[#This Row],[Customer Tenure in months]]&lt;=6, "0-6 months", Table1[[#This Row],[Customer Tenure in months]] &lt;=12, "7-12 months", Table1[[#This Row],[Customer Tenure in months]] &lt;=24, "1-2 years", TRUE, "2+ years")</f>
        <v>2+ years</v>
      </c>
      <c r="M419">
        <v>26</v>
      </c>
      <c r="N419" t="s">
        <v>193</v>
      </c>
      <c r="O419" s="1">
        <v>6500</v>
      </c>
      <c r="P419">
        <v>6</v>
      </c>
      <c r="Q419" s="1">
        <v>39000</v>
      </c>
      <c r="R419">
        <v>60.39</v>
      </c>
      <c r="S419" t="s">
        <v>1091</v>
      </c>
      <c r="T419" t="s">
        <v>39</v>
      </c>
    </row>
    <row r="420" spans="1:20" x14ac:dyDescent="0.35">
      <c r="A420" s="22" t="s">
        <v>518</v>
      </c>
      <c r="B420" cm="1">
        <f t="array" ref="B420">IF(MATCH(Table1[[#This Row],[Customer ID]], Table1[Customer ID], 0) = ROW() - ROW(Table1[#Headers]), 1, 0)</f>
        <v>0</v>
      </c>
      <c r="C420" t="s">
        <v>519</v>
      </c>
      <c r="D420" s="2">
        <v>45713</v>
      </c>
      <c r="E420">
        <v>53</v>
      </c>
      <c r="F420" t="str" cm="1">
        <f t="array" ref="F420">_xlfn.IFS( Table1[[#This Row],[Age]]&lt;18, "&lt;18", Table1[[#This Row],[Age]]&lt;= 29, "18-29", Table1[[#This Row],[Age]]&lt;= 44, "30-44",  Table1[[#This Row],[Age]]&lt;=59, "45-59", TRUE, "60+")</f>
        <v>45-59</v>
      </c>
      <c r="G420" t="s">
        <v>143</v>
      </c>
      <c r="H420" t="s">
        <v>41</v>
      </c>
      <c r="I420" t="s">
        <v>30</v>
      </c>
      <c r="J420">
        <v>1</v>
      </c>
      <c r="K420" t="s">
        <v>37</v>
      </c>
      <c r="L420" t="str" cm="1">
        <f t="array" ref="L420">_xlfn.IFS(Table1[[#This Row],[Customer Tenure in months]]&lt;=6, "0-6 months", Table1[[#This Row],[Customer Tenure in months]] &lt;=12, "7-12 months", Table1[[#This Row],[Customer Tenure in months]] &lt;=24, "1-2 years", TRUE, "2+ years")</f>
        <v>2+ years</v>
      </c>
      <c r="M420">
        <v>26</v>
      </c>
      <c r="N420" t="s">
        <v>62</v>
      </c>
      <c r="O420" s="1">
        <v>24000</v>
      </c>
      <c r="P420">
        <v>4</v>
      </c>
      <c r="Q420" s="1">
        <v>96000</v>
      </c>
      <c r="R420">
        <v>36.64</v>
      </c>
      <c r="S420" t="s">
        <v>1091</v>
      </c>
      <c r="T420" t="s">
        <v>39</v>
      </c>
    </row>
    <row r="421" spans="1:20" x14ac:dyDescent="0.35">
      <c r="A421" s="22" t="s">
        <v>520</v>
      </c>
      <c r="B421" cm="1">
        <f t="array" ref="B421">IF(MATCH(Table1[[#This Row],[Customer ID]], Table1[Customer ID], 0) = ROW() - ROW(Table1[#Headers]), 1, 0)</f>
        <v>1</v>
      </c>
      <c r="C421" t="s">
        <v>521</v>
      </c>
      <c r="D421" s="2">
        <v>45741</v>
      </c>
      <c r="E421">
        <v>32</v>
      </c>
      <c r="F421" t="str" cm="1">
        <f t="array" ref="F421">_xlfn.IFS( Table1[[#This Row],[Age]]&lt;18, "&lt;18", Table1[[#This Row],[Age]]&lt;= 29, "18-29", Table1[[#This Row],[Age]]&lt;= 44, "30-44",  Table1[[#This Row],[Age]]&lt;=59, "45-59", TRUE, "60+")</f>
        <v>30-44</v>
      </c>
      <c r="G421" t="s">
        <v>143</v>
      </c>
      <c r="H421" t="s">
        <v>36</v>
      </c>
      <c r="I421" t="s">
        <v>21</v>
      </c>
      <c r="J421">
        <v>1</v>
      </c>
      <c r="K421" t="s">
        <v>37</v>
      </c>
      <c r="L421" t="str" cm="1">
        <f t="array" ref="L421">_xlfn.IFS(Table1[[#This Row],[Customer Tenure in months]]&lt;=6, "0-6 months", Table1[[#This Row],[Customer Tenure in months]] &lt;=12, "7-12 months", Table1[[#This Row],[Customer Tenure in months]] &lt;=24, "1-2 years", TRUE, "2+ years")</f>
        <v>2+ years</v>
      </c>
      <c r="M421">
        <v>44</v>
      </c>
      <c r="N421" t="s">
        <v>115</v>
      </c>
      <c r="O421" s="1">
        <v>25000</v>
      </c>
      <c r="P421">
        <v>10</v>
      </c>
      <c r="Q421" s="1">
        <v>250000</v>
      </c>
      <c r="R421">
        <v>52.48</v>
      </c>
      <c r="S421" t="s">
        <v>265</v>
      </c>
      <c r="T421" t="s">
        <v>24</v>
      </c>
    </row>
    <row r="422" spans="1:20" x14ac:dyDescent="0.35">
      <c r="A422" s="22" t="s">
        <v>520</v>
      </c>
      <c r="B422" cm="1">
        <f t="array" ref="B422">IF(MATCH(Table1[[#This Row],[Customer ID]], Table1[Customer ID], 0) = ROW() - ROW(Table1[#Headers]), 1, 0)</f>
        <v>0</v>
      </c>
      <c r="C422" t="s">
        <v>521</v>
      </c>
      <c r="D422" s="2">
        <v>45741</v>
      </c>
      <c r="E422">
        <v>32</v>
      </c>
      <c r="F422" t="str" cm="1">
        <f t="array" ref="F422">_xlfn.IFS( Table1[[#This Row],[Age]]&lt;18, "&lt;18", Table1[[#This Row],[Age]]&lt;= 29, "18-29", Table1[[#This Row],[Age]]&lt;= 44, "30-44",  Table1[[#This Row],[Age]]&lt;=59, "45-59", TRUE, "60+")</f>
        <v>30-44</v>
      </c>
      <c r="G422" t="s">
        <v>143</v>
      </c>
      <c r="H422" t="s">
        <v>20</v>
      </c>
      <c r="I422" t="s">
        <v>21</v>
      </c>
      <c r="J422">
        <v>1</v>
      </c>
      <c r="K422" t="s">
        <v>37</v>
      </c>
      <c r="L422" t="str" cm="1">
        <f t="array" ref="L422">_xlfn.IFS(Table1[[#This Row],[Customer Tenure in months]]&lt;=6, "0-6 months", Table1[[#This Row],[Customer Tenure in months]] &lt;=12, "7-12 months", Table1[[#This Row],[Customer Tenure in months]] &lt;=24, "1-2 years", TRUE, "2+ years")</f>
        <v>2+ years</v>
      </c>
      <c r="M422">
        <v>44</v>
      </c>
      <c r="N422" t="s">
        <v>23</v>
      </c>
      <c r="O422" s="1">
        <v>35000</v>
      </c>
      <c r="P422">
        <v>16</v>
      </c>
      <c r="Q422" s="1">
        <v>560000</v>
      </c>
      <c r="R422">
        <v>170.32</v>
      </c>
      <c r="S422" t="s">
        <v>265</v>
      </c>
      <c r="T422" t="s">
        <v>24</v>
      </c>
    </row>
    <row r="423" spans="1:20" x14ac:dyDescent="0.35">
      <c r="A423" s="22" t="s">
        <v>520</v>
      </c>
      <c r="B423" cm="1">
        <f t="array" ref="B423">IF(MATCH(Table1[[#This Row],[Customer ID]], Table1[Customer ID], 0) = ROW() - ROW(Table1[#Headers]), 1, 0)</f>
        <v>0</v>
      </c>
      <c r="C423" t="s">
        <v>521</v>
      </c>
      <c r="D423" s="2">
        <v>45741</v>
      </c>
      <c r="E423">
        <v>32</v>
      </c>
      <c r="F423" t="str" cm="1">
        <f t="array" ref="F423">_xlfn.IFS( Table1[[#This Row],[Age]]&lt;18, "&lt;18", Table1[[#This Row],[Age]]&lt;= 29, "18-29", Table1[[#This Row],[Age]]&lt;= 44, "30-44",  Table1[[#This Row],[Age]]&lt;=59, "45-59", TRUE, "60+")</f>
        <v>30-44</v>
      </c>
      <c r="G423" t="s">
        <v>143</v>
      </c>
      <c r="H423" t="s">
        <v>29</v>
      </c>
      <c r="I423" t="s">
        <v>21</v>
      </c>
      <c r="J423">
        <v>1</v>
      </c>
      <c r="K423" t="s">
        <v>37</v>
      </c>
      <c r="L423" t="str" cm="1">
        <f t="array" ref="L423">_xlfn.IFS(Table1[[#This Row],[Customer Tenure in months]]&lt;=6, "0-6 months", Table1[[#This Row],[Customer Tenure in months]] &lt;=12, "7-12 months", Table1[[#This Row],[Customer Tenure in months]] &lt;=24, "1-2 years", TRUE, "2+ years")</f>
        <v>2+ years</v>
      </c>
      <c r="M423">
        <v>44</v>
      </c>
      <c r="N423" t="s">
        <v>102</v>
      </c>
      <c r="O423" s="1">
        <v>900</v>
      </c>
      <c r="P423">
        <v>19</v>
      </c>
      <c r="Q423" s="1">
        <v>17100</v>
      </c>
      <c r="R423">
        <v>173.35</v>
      </c>
      <c r="S423" t="s">
        <v>265</v>
      </c>
      <c r="T423" t="s">
        <v>24</v>
      </c>
    </row>
    <row r="424" spans="1:20" x14ac:dyDescent="0.35">
      <c r="A424" s="22" t="s">
        <v>522</v>
      </c>
      <c r="B424" cm="1">
        <f t="array" ref="B424">IF(MATCH(Table1[[#This Row],[Customer ID]], Table1[Customer ID], 0) = ROW() - ROW(Table1[#Headers]), 1, 0)</f>
        <v>1</v>
      </c>
      <c r="C424" t="s">
        <v>523</v>
      </c>
      <c r="D424" s="2">
        <v>45713</v>
      </c>
      <c r="E424">
        <v>76</v>
      </c>
      <c r="F424" t="str" cm="1">
        <f t="array" ref="F424">_xlfn.IFS( Table1[[#This Row],[Age]]&lt;18, "&lt;18", Table1[[#This Row],[Age]]&lt;= 29, "18-29", Table1[[#This Row],[Age]]&lt;= 44, "30-44",  Table1[[#This Row],[Age]]&lt;=59, "45-59", TRUE, "60+")</f>
        <v>60+</v>
      </c>
      <c r="G424" t="s">
        <v>121</v>
      </c>
      <c r="H424" t="s">
        <v>20</v>
      </c>
      <c r="I424" t="s">
        <v>21</v>
      </c>
      <c r="J424">
        <v>5</v>
      </c>
      <c r="K424" t="s">
        <v>55</v>
      </c>
      <c r="L424" t="str" cm="1">
        <f t="array" ref="L424">_xlfn.IFS(Table1[[#This Row],[Customer Tenure in months]]&lt;=6, "0-6 months", Table1[[#This Row],[Customer Tenure in months]] &lt;=12, "7-12 months", Table1[[#This Row],[Customer Tenure in months]] &lt;=24, "1-2 years", TRUE, "2+ years")</f>
        <v>2+ years</v>
      </c>
      <c r="M424">
        <v>56</v>
      </c>
      <c r="N424" t="s">
        <v>46</v>
      </c>
      <c r="O424" s="1">
        <v>4500</v>
      </c>
      <c r="P424">
        <v>19</v>
      </c>
      <c r="Q424" s="1">
        <v>85500</v>
      </c>
      <c r="R424">
        <v>68.86</v>
      </c>
      <c r="S424" t="s">
        <v>76</v>
      </c>
      <c r="T424" t="s">
        <v>24</v>
      </c>
    </row>
    <row r="425" spans="1:20" x14ac:dyDescent="0.35">
      <c r="A425" s="22" t="s">
        <v>524</v>
      </c>
      <c r="B425" cm="1">
        <f t="array" ref="B425">IF(MATCH(Table1[[#This Row],[Customer ID]], Table1[Customer ID], 0) = ROW() - ROW(Table1[#Headers]), 1, 0)</f>
        <v>1</v>
      </c>
      <c r="C425" t="s">
        <v>525</v>
      </c>
      <c r="D425" s="2">
        <v>45682</v>
      </c>
      <c r="E425">
        <v>34</v>
      </c>
      <c r="F425" t="str" cm="1">
        <f t="array" ref="F425">_xlfn.IFS( Table1[[#This Row],[Age]]&lt;18, "&lt;18", Table1[[#This Row],[Age]]&lt;= 29, "18-29", Table1[[#This Row],[Age]]&lt;= 44, "30-44",  Table1[[#This Row],[Age]]&lt;=59, "45-59", TRUE, "60+")</f>
        <v>30-44</v>
      </c>
      <c r="G425" t="s">
        <v>258</v>
      </c>
      <c r="H425" t="s">
        <v>36</v>
      </c>
      <c r="I425" t="s">
        <v>21</v>
      </c>
      <c r="J425">
        <v>4</v>
      </c>
      <c r="K425" t="s">
        <v>114</v>
      </c>
      <c r="L425" t="str" cm="1">
        <f t="array" ref="L425">_xlfn.IFS(Table1[[#This Row],[Customer Tenure in months]]&lt;=6, "0-6 months", Table1[[#This Row],[Customer Tenure in months]] &lt;=12, "7-12 months", Table1[[#This Row],[Customer Tenure in months]] &lt;=24, "1-2 years", TRUE, "2+ years")</f>
        <v>2+ years</v>
      </c>
      <c r="M425">
        <v>50</v>
      </c>
      <c r="N425" t="s">
        <v>42</v>
      </c>
      <c r="O425" s="1">
        <v>9000</v>
      </c>
      <c r="P425">
        <v>9</v>
      </c>
      <c r="Q425" s="1">
        <v>81000</v>
      </c>
      <c r="R425">
        <v>1.44</v>
      </c>
      <c r="S425" t="s">
        <v>1091</v>
      </c>
      <c r="T425" t="s">
        <v>39</v>
      </c>
    </row>
    <row r="426" spans="1:20" x14ac:dyDescent="0.35">
      <c r="A426" s="22" t="s">
        <v>526</v>
      </c>
      <c r="B426" cm="1">
        <f t="array" ref="B426">IF(MATCH(Table1[[#This Row],[Customer ID]], Table1[Customer ID], 0) = ROW() - ROW(Table1[#Headers]), 1, 0)</f>
        <v>1</v>
      </c>
      <c r="C426" t="s">
        <v>527</v>
      </c>
      <c r="D426" s="2">
        <v>45682</v>
      </c>
      <c r="E426">
        <v>37</v>
      </c>
      <c r="F426" t="str" cm="1">
        <f t="array" ref="F426">_xlfn.IFS( Table1[[#This Row],[Age]]&lt;18, "&lt;18", Table1[[#This Row],[Age]]&lt;= 29, "18-29", Table1[[#This Row],[Age]]&lt;= 44, "30-44",  Table1[[#This Row],[Age]]&lt;=59, "45-59", TRUE, "60+")</f>
        <v>30-44</v>
      </c>
      <c r="G426" t="s">
        <v>28</v>
      </c>
      <c r="H426" t="s">
        <v>29</v>
      </c>
      <c r="I426" t="s">
        <v>30</v>
      </c>
      <c r="J426">
        <v>2</v>
      </c>
      <c r="K426" t="s">
        <v>22</v>
      </c>
      <c r="L426" t="str" cm="1">
        <f t="array" ref="L426">_xlfn.IFS(Table1[[#This Row],[Customer Tenure in months]]&lt;=6, "0-6 months", Table1[[#This Row],[Customer Tenure in months]] &lt;=12, "7-12 months", Table1[[#This Row],[Customer Tenure in months]] &lt;=24, "1-2 years", TRUE, "2+ years")</f>
        <v>2+ years</v>
      </c>
      <c r="M426">
        <v>51</v>
      </c>
      <c r="N426" t="s">
        <v>31</v>
      </c>
      <c r="O426" s="1">
        <v>5500</v>
      </c>
      <c r="P426">
        <v>2</v>
      </c>
      <c r="Q426" s="1">
        <v>11000</v>
      </c>
      <c r="R426">
        <v>76.97</v>
      </c>
      <c r="S426" t="s">
        <v>1091</v>
      </c>
      <c r="T426" t="s">
        <v>39</v>
      </c>
    </row>
    <row r="427" spans="1:20" x14ac:dyDescent="0.35">
      <c r="A427" s="22" t="s">
        <v>526</v>
      </c>
      <c r="B427" cm="1">
        <f t="array" ref="B427">IF(MATCH(Table1[[#This Row],[Customer ID]], Table1[Customer ID], 0) = ROW() - ROW(Table1[#Headers]), 1, 0)</f>
        <v>0</v>
      </c>
      <c r="C427" t="s">
        <v>527</v>
      </c>
      <c r="D427" s="2">
        <v>45682</v>
      </c>
      <c r="E427">
        <v>37</v>
      </c>
      <c r="F427" t="str" cm="1">
        <f t="array" ref="F427">_xlfn.IFS( Table1[[#This Row],[Age]]&lt;18, "&lt;18", Table1[[#This Row],[Age]]&lt;= 29, "18-29", Table1[[#This Row],[Age]]&lt;= 44, "30-44",  Table1[[#This Row],[Age]]&lt;=59, "45-59", TRUE, "60+")</f>
        <v>30-44</v>
      </c>
      <c r="G427" t="s">
        <v>28</v>
      </c>
      <c r="H427" t="s">
        <v>20</v>
      </c>
      <c r="I427" t="s">
        <v>30</v>
      </c>
      <c r="J427">
        <v>2</v>
      </c>
      <c r="K427" t="s">
        <v>22</v>
      </c>
      <c r="L427" t="str" cm="1">
        <f t="array" ref="L427">_xlfn.IFS(Table1[[#This Row],[Customer Tenure in months]]&lt;=6, "0-6 months", Table1[[#This Row],[Customer Tenure in months]] &lt;=12, "7-12 months", Table1[[#This Row],[Customer Tenure in months]] &lt;=24, "1-2 years", TRUE, "2+ years")</f>
        <v>2+ years</v>
      </c>
      <c r="M427">
        <v>51</v>
      </c>
      <c r="N427" t="s">
        <v>46</v>
      </c>
      <c r="O427" s="1">
        <v>4500</v>
      </c>
      <c r="P427">
        <v>1</v>
      </c>
      <c r="Q427" s="1">
        <v>4500</v>
      </c>
      <c r="R427">
        <v>146.27000000000001</v>
      </c>
      <c r="S427" t="s">
        <v>1091</v>
      </c>
      <c r="T427" t="s">
        <v>39</v>
      </c>
    </row>
    <row r="428" spans="1:20" x14ac:dyDescent="0.35">
      <c r="A428" s="22" t="s">
        <v>526</v>
      </c>
      <c r="B428" cm="1">
        <f t="array" ref="B428">IF(MATCH(Table1[[#This Row],[Customer ID]], Table1[Customer ID], 0) = ROW() - ROW(Table1[#Headers]), 1, 0)</f>
        <v>0</v>
      </c>
      <c r="C428" t="s">
        <v>527</v>
      </c>
      <c r="D428" s="2">
        <v>45682</v>
      </c>
      <c r="E428">
        <v>37</v>
      </c>
      <c r="F428" t="str" cm="1">
        <f t="array" ref="F428">_xlfn.IFS( Table1[[#This Row],[Age]]&lt;18, "&lt;18", Table1[[#This Row],[Age]]&lt;= 29, "18-29", Table1[[#This Row],[Age]]&lt;= 44, "30-44",  Table1[[#This Row],[Age]]&lt;=59, "45-59", TRUE, "60+")</f>
        <v>30-44</v>
      </c>
      <c r="G428" t="s">
        <v>28</v>
      </c>
      <c r="H428" t="s">
        <v>36</v>
      </c>
      <c r="I428" t="s">
        <v>30</v>
      </c>
      <c r="J428">
        <v>2</v>
      </c>
      <c r="K428" t="s">
        <v>22</v>
      </c>
      <c r="L428" t="str" cm="1">
        <f t="array" ref="L428">_xlfn.IFS(Table1[[#This Row],[Customer Tenure in months]]&lt;=6, "0-6 months", Table1[[#This Row],[Customer Tenure in months]] &lt;=12, "7-12 months", Table1[[#This Row],[Customer Tenure in months]] &lt;=24, "1-2 years", TRUE, "2+ years")</f>
        <v>2+ years</v>
      </c>
      <c r="M428">
        <v>51</v>
      </c>
      <c r="N428" t="s">
        <v>115</v>
      </c>
      <c r="O428" s="1">
        <v>25000</v>
      </c>
      <c r="P428">
        <v>17</v>
      </c>
      <c r="Q428" s="1">
        <v>425000</v>
      </c>
      <c r="R428">
        <v>151.49</v>
      </c>
      <c r="S428" t="s">
        <v>1091</v>
      </c>
      <c r="T428" t="s">
        <v>39</v>
      </c>
    </row>
    <row r="429" spans="1:20" x14ac:dyDescent="0.35">
      <c r="A429" s="22" t="s">
        <v>528</v>
      </c>
      <c r="B429" cm="1">
        <f t="array" ref="B429">IF(MATCH(Table1[[#This Row],[Customer ID]], Table1[Customer ID], 0) = ROW() - ROW(Table1[#Headers]), 1, 0)</f>
        <v>1</v>
      </c>
      <c r="C429" t="s">
        <v>315</v>
      </c>
      <c r="D429" s="2">
        <v>45741</v>
      </c>
      <c r="E429">
        <v>18</v>
      </c>
      <c r="F429" t="str" cm="1">
        <f t="array" ref="F429">_xlfn.IFS( Table1[[#This Row],[Age]]&lt;18, "&lt;18", Table1[[#This Row],[Age]]&lt;= 29, "18-29", Table1[[#This Row],[Age]]&lt;= 44, "30-44",  Table1[[#This Row],[Age]]&lt;=59, "45-59", TRUE, "60+")</f>
        <v>18-29</v>
      </c>
      <c r="G429" t="s">
        <v>452</v>
      </c>
      <c r="H429" t="s">
        <v>29</v>
      </c>
      <c r="I429" t="s">
        <v>21</v>
      </c>
      <c r="J429">
        <v>3</v>
      </c>
      <c r="K429" t="s">
        <v>50</v>
      </c>
      <c r="L429" t="str" cm="1">
        <f t="array" ref="L429">_xlfn.IFS(Table1[[#This Row],[Customer Tenure in months]]&lt;=6, "0-6 months", Table1[[#This Row],[Customer Tenure in months]] &lt;=12, "7-12 months", Table1[[#This Row],[Customer Tenure in months]] &lt;=24, "1-2 years", TRUE, "2+ years")</f>
        <v>1-2 years</v>
      </c>
      <c r="M429">
        <v>15</v>
      </c>
      <c r="N429" t="s">
        <v>102</v>
      </c>
      <c r="O429" s="1">
        <v>900</v>
      </c>
      <c r="P429">
        <v>10</v>
      </c>
      <c r="Q429" s="1">
        <v>9000</v>
      </c>
      <c r="R429">
        <v>59.99</v>
      </c>
      <c r="S429" t="s">
        <v>167</v>
      </c>
      <c r="T429" t="s">
        <v>24</v>
      </c>
    </row>
    <row r="430" spans="1:20" x14ac:dyDescent="0.35">
      <c r="A430" s="22" t="s">
        <v>529</v>
      </c>
      <c r="B430" cm="1">
        <f t="array" ref="B430">IF(MATCH(Table1[[#This Row],[Customer ID]], Table1[Customer ID], 0) = ROW() - ROW(Table1[#Headers]), 1, 0)</f>
        <v>1</v>
      </c>
      <c r="C430" t="s">
        <v>530</v>
      </c>
      <c r="D430" s="2">
        <v>45713</v>
      </c>
      <c r="E430">
        <v>59</v>
      </c>
      <c r="F430" t="str" cm="1">
        <f t="array" ref="F430">_xlfn.IFS( Table1[[#This Row],[Age]]&lt;18, "&lt;18", Table1[[#This Row],[Age]]&lt;= 29, "18-29", Table1[[#This Row],[Age]]&lt;= 44, "30-44",  Table1[[#This Row],[Age]]&lt;=59, "45-59", TRUE, "60+")</f>
        <v>45-59</v>
      </c>
      <c r="G430" t="s">
        <v>19</v>
      </c>
      <c r="H430" t="s">
        <v>29</v>
      </c>
      <c r="I430" t="s">
        <v>21</v>
      </c>
      <c r="J430">
        <v>3</v>
      </c>
      <c r="K430" t="s">
        <v>50</v>
      </c>
      <c r="L430" t="str" cm="1">
        <f t="array" ref="L430">_xlfn.IFS(Table1[[#This Row],[Customer Tenure in months]]&lt;=6, "0-6 months", Table1[[#This Row],[Customer Tenure in months]] &lt;=12, "7-12 months", Table1[[#This Row],[Customer Tenure in months]] &lt;=24, "1-2 years", TRUE, "2+ years")</f>
        <v>1-2 years</v>
      </c>
      <c r="M430">
        <v>22</v>
      </c>
      <c r="N430" t="s">
        <v>102</v>
      </c>
      <c r="O430" s="1">
        <v>900</v>
      </c>
      <c r="P430">
        <v>5</v>
      </c>
      <c r="Q430" s="1">
        <v>4500</v>
      </c>
      <c r="R430">
        <v>46.07</v>
      </c>
      <c r="S430" t="s">
        <v>1091</v>
      </c>
      <c r="T430" t="s">
        <v>39</v>
      </c>
    </row>
    <row r="431" spans="1:20" x14ac:dyDescent="0.35">
      <c r="A431" s="22" t="s">
        <v>531</v>
      </c>
      <c r="B431" cm="1">
        <f t="array" ref="B431">IF(MATCH(Table1[[#This Row],[Customer ID]], Table1[Customer ID], 0) = ROW() - ROW(Table1[#Headers]), 1, 0)</f>
        <v>1</v>
      </c>
      <c r="C431" t="s">
        <v>532</v>
      </c>
      <c r="D431" s="2">
        <v>45741</v>
      </c>
      <c r="E431">
        <v>18</v>
      </c>
      <c r="F431" t="str" cm="1">
        <f t="array" ref="F431">_xlfn.IFS( Table1[[#This Row],[Age]]&lt;18, "&lt;18", Table1[[#This Row],[Age]]&lt;= 29, "18-29", Table1[[#This Row],[Age]]&lt;= 44, "30-44",  Table1[[#This Row],[Age]]&lt;=59, "45-59", TRUE, "60+")</f>
        <v>18-29</v>
      </c>
      <c r="G431" t="s">
        <v>189</v>
      </c>
      <c r="H431" t="s">
        <v>29</v>
      </c>
      <c r="I431" t="s">
        <v>21</v>
      </c>
      <c r="J431">
        <v>1</v>
      </c>
      <c r="K431" t="s">
        <v>37</v>
      </c>
      <c r="L431" t="str" cm="1">
        <f t="array" ref="L431">_xlfn.IFS(Table1[[#This Row],[Customer Tenure in months]]&lt;=6, "0-6 months", Table1[[#This Row],[Customer Tenure in months]] &lt;=12, "7-12 months", Table1[[#This Row],[Customer Tenure in months]] &lt;=24, "1-2 years", TRUE, "2+ years")</f>
        <v>7-12 months</v>
      </c>
      <c r="M431">
        <v>8</v>
      </c>
      <c r="N431" t="s">
        <v>102</v>
      </c>
      <c r="O431" s="1">
        <v>900</v>
      </c>
      <c r="P431">
        <v>1</v>
      </c>
      <c r="Q431" s="1">
        <v>900</v>
      </c>
      <c r="R431">
        <v>132.56</v>
      </c>
      <c r="S431" t="s">
        <v>1091</v>
      </c>
      <c r="T431" t="s">
        <v>39</v>
      </c>
    </row>
    <row r="432" spans="1:20" x14ac:dyDescent="0.35">
      <c r="A432" s="22" t="s">
        <v>533</v>
      </c>
      <c r="B432" cm="1">
        <f t="array" ref="B432">IF(MATCH(Table1[[#This Row],[Customer ID]], Table1[Customer ID], 0) = ROW() - ROW(Table1[#Headers]), 1, 0)</f>
        <v>1</v>
      </c>
      <c r="C432" t="s">
        <v>534</v>
      </c>
      <c r="D432" s="2">
        <v>45682</v>
      </c>
      <c r="E432">
        <v>30</v>
      </c>
      <c r="F432" t="str" cm="1">
        <f t="array" ref="F432">_xlfn.IFS( Table1[[#This Row],[Age]]&lt;18, "&lt;18", Table1[[#This Row],[Age]]&lt;= 29, "18-29", Table1[[#This Row],[Age]]&lt;= 44, "30-44",  Table1[[#This Row],[Age]]&lt;=59, "45-59", TRUE, "60+")</f>
        <v>30-44</v>
      </c>
      <c r="G432" t="s">
        <v>110</v>
      </c>
      <c r="H432" t="s">
        <v>29</v>
      </c>
      <c r="I432" t="s">
        <v>30</v>
      </c>
      <c r="J432">
        <v>5</v>
      </c>
      <c r="K432" t="s">
        <v>55</v>
      </c>
      <c r="L432" t="str" cm="1">
        <f t="array" ref="L432">_xlfn.IFS(Table1[[#This Row],[Customer Tenure in months]]&lt;=6, "0-6 months", Table1[[#This Row],[Customer Tenure in months]] &lt;=12, "7-12 months", Table1[[#This Row],[Customer Tenure in months]] &lt;=24, "1-2 years", TRUE, "2+ years")</f>
        <v>2+ years</v>
      </c>
      <c r="M432">
        <v>25</v>
      </c>
      <c r="N432" t="s">
        <v>58</v>
      </c>
      <c r="O432" s="1">
        <v>16000</v>
      </c>
      <c r="P432">
        <v>4</v>
      </c>
      <c r="Q432" s="1">
        <v>64000</v>
      </c>
      <c r="R432">
        <v>60.57</v>
      </c>
      <c r="S432" t="s">
        <v>284</v>
      </c>
      <c r="T432" t="s">
        <v>24</v>
      </c>
    </row>
    <row r="433" spans="1:20" x14ac:dyDescent="0.35">
      <c r="A433" s="22" t="s">
        <v>535</v>
      </c>
      <c r="B433" cm="1">
        <f t="array" ref="B433">IF(MATCH(Table1[[#This Row],[Customer ID]], Table1[Customer ID], 0) = ROW() - ROW(Table1[#Headers]), 1, 0)</f>
        <v>1</v>
      </c>
      <c r="C433" t="s">
        <v>536</v>
      </c>
      <c r="D433" s="2">
        <v>45682</v>
      </c>
      <c r="E433">
        <v>50</v>
      </c>
      <c r="F433" t="str" cm="1">
        <f t="array" ref="F433">_xlfn.IFS( Table1[[#This Row],[Age]]&lt;18, "&lt;18", Table1[[#This Row],[Age]]&lt;= 29, "18-29", Table1[[#This Row],[Age]]&lt;= 44, "30-44",  Table1[[#This Row],[Age]]&lt;=59, "45-59", TRUE, "60+")</f>
        <v>45-59</v>
      </c>
      <c r="G433" t="s">
        <v>140</v>
      </c>
      <c r="H433" t="s">
        <v>36</v>
      </c>
      <c r="I433" t="s">
        <v>30</v>
      </c>
      <c r="J433">
        <v>5</v>
      </c>
      <c r="K433" t="s">
        <v>55</v>
      </c>
      <c r="L433" t="str" cm="1">
        <f t="array" ref="L433">_xlfn.IFS(Table1[[#This Row],[Customer Tenure in months]]&lt;=6, "0-6 months", Table1[[#This Row],[Customer Tenure in months]] &lt;=12, "7-12 months", Table1[[#This Row],[Customer Tenure in months]] &lt;=24, "1-2 years", TRUE, "2+ years")</f>
        <v>2+ years</v>
      </c>
      <c r="M433">
        <v>54</v>
      </c>
      <c r="N433" t="s">
        <v>38</v>
      </c>
      <c r="O433" s="1">
        <v>20000</v>
      </c>
      <c r="P433">
        <v>16</v>
      </c>
      <c r="Q433" s="1">
        <v>320000</v>
      </c>
      <c r="R433">
        <v>157.06</v>
      </c>
      <c r="S433" t="s">
        <v>1091</v>
      </c>
      <c r="T433" t="s">
        <v>39</v>
      </c>
    </row>
    <row r="434" spans="1:20" x14ac:dyDescent="0.35">
      <c r="A434" s="22" t="s">
        <v>537</v>
      </c>
      <c r="B434" cm="1">
        <f t="array" ref="B434">IF(MATCH(Table1[[#This Row],[Customer ID]], Table1[Customer ID], 0) = ROW() - ROW(Table1[#Headers]), 1, 0)</f>
        <v>1</v>
      </c>
      <c r="C434" t="s">
        <v>538</v>
      </c>
      <c r="D434" s="2">
        <v>45713</v>
      </c>
      <c r="E434">
        <v>41</v>
      </c>
      <c r="F434" t="str" cm="1">
        <f t="array" ref="F434">_xlfn.IFS( Table1[[#This Row],[Age]]&lt;18, "&lt;18", Table1[[#This Row],[Age]]&lt;= 29, "18-29", Table1[[#This Row],[Age]]&lt;= 44, "30-44",  Table1[[#This Row],[Age]]&lt;=59, "45-59", TRUE, "60+")</f>
        <v>30-44</v>
      </c>
      <c r="G434" t="s">
        <v>143</v>
      </c>
      <c r="H434" t="s">
        <v>29</v>
      </c>
      <c r="I434" t="s">
        <v>21</v>
      </c>
      <c r="J434">
        <v>3</v>
      </c>
      <c r="K434" t="s">
        <v>50</v>
      </c>
      <c r="L434" t="str" cm="1">
        <f t="array" ref="L434">_xlfn.IFS(Table1[[#This Row],[Customer Tenure in months]]&lt;=6, "0-6 months", Table1[[#This Row],[Customer Tenure in months]] &lt;=12, "7-12 months", Table1[[#This Row],[Customer Tenure in months]] &lt;=24, "1-2 years", TRUE, "2+ years")</f>
        <v>1-2 years</v>
      </c>
      <c r="M434">
        <v>23</v>
      </c>
      <c r="N434" t="s">
        <v>23</v>
      </c>
      <c r="O434" s="1">
        <v>35000</v>
      </c>
      <c r="P434">
        <v>1</v>
      </c>
      <c r="Q434" s="1">
        <v>35000</v>
      </c>
      <c r="R434">
        <v>66.459999999999994</v>
      </c>
      <c r="S434" t="s">
        <v>25</v>
      </c>
      <c r="T434" t="s">
        <v>24</v>
      </c>
    </row>
    <row r="435" spans="1:20" x14ac:dyDescent="0.35">
      <c r="A435" s="22" t="s">
        <v>537</v>
      </c>
      <c r="B435" cm="1">
        <f t="array" ref="B435">IF(MATCH(Table1[[#This Row],[Customer ID]], Table1[Customer ID], 0) = ROW() - ROW(Table1[#Headers]), 1, 0)</f>
        <v>0</v>
      </c>
      <c r="C435" t="s">
        <v>538</v>
      </c>
      <c r="D435" s="2">
        <v>45713</v>
      </c>
      <c r="E435">
        <v>41</v>
      </c>
      <c r="F435" t="str" cm="1">
        <f t="array" ref="F435">_xlfn.IFS( Table1[[#This Row],[Age]]&lt;18, "&lt;18", Table1[[#This Row],[Age]]&lt;= 29, "18-29", Table1[[#This Row],[Age]]&lt;= 44, "30-44",  Table1[[#This Row],[Age]]&lt;=59, "45-59", TRUE, "60+")</f>
        <v>30-44</v>
      </c>
      <c r="G435" t="s">
        <v>143</v>
      </c>
      <c r="H435" t="s">
        <v>36</v>
      </c>
      <c r="I435" t="s">
        <v>21</v>
      </c>
      <c r="J435">
        <v>3</v>
      </c>
      <c r="K435" t="s">
        <v>50</v>
      </c>
      <c r="L435" t="str" cm="1">
        <f t="array" ref="L435">_xlfn.IFS(Table1[[#This Row],[Customer Tenure in months]]&lt;=6, "0-6 months", Table1[[#This Row],[Customer Tenure in months]] &lt;=12, "7-12 months", Table1[[#This Row],[Customer Tenure in months]] &lt;=24, "1-2 years", TRUE, "2+ years")</f>
        <v>1-2 years</v>
      </c>
      <c r="M435">
        <v>23</v>
      </c>
      <c r="N435" t="s">
        <v>42</v>
      </c>
      <c r="O435" s="1">
        <v>9000</v>
      </c>
      <c r="P435">
        <v>4</v>
      </c>
      <c r="Q435" s="1">
        <v>36000</v>
      </c>
      <c r="R435">
        <v>134.49</v>
      </c>
      <c r="S435" t="s">
        <v>25</v>
      </c>
      <c r="T435" t="s">
        <v>24</v>
      </c>
    </row>
    <row r="436" spans="1:20" x14ac:dyDescent="0.35">
      <c r="A436" s="22" t="s">
        <v>539</v>
      </c>
      <c r="B436" cm="1">
        <f t="array" ref="B436">IF(MATCH(Table1[[#This Row],[Customer ID]], Table1[Customer ID], 0) = ROW() - ROW(Table1[#Headers]), 1, 0)</f>
        <v>1</v>
      </c>
      <c r="C436" t="s">
        <v>540</v>
      </c>
      <c r="D436" s="2">
        <v>45682</v>
      </c>
      <c r="E436">
        <v>35</v>
      </c>
      <c r="F436" t="str" cm="1">
        <f t="array" ref="F436">_xlfn.IFS( Table1[[#This Row],[Age]]&lt;18, "&lt;18", Table1[[#This Row],[Age]]&lt;= 29, "18-29", Table1[[#This Row],[Age]]&lt;= 44, "30-44",  Table1[[#This Row],[Age]]&lt;=59, "45-59", TRUE, "60+")</f>
        <v>30-44</v>
      </c>
      <c r="G436" t="s">
        <v>299</v>
      </c>
      <c r="H436" t="s">
        <v>36</v>
      </c>
      <c r="I436" t="s">
        <v>21</v>
      </c>
      <c r="J436">
        <v>3</v>
      </c>
      <c r="K436" t="s">
        <v>50</v>
      </c>
      <c r="L436" t="str" cm="1">
        <f t="array" ref="L436">_xlfn.IFS(Table1[[#This Row],[Customer Tenure in months]]&lt;=6, "0-6 months", Table1[[#This Row],[Customer Tenure in months]] &lt;=12, "7-12 months", Table1[[#This Row],[Customer Tenure in months]] &lt;=24, "1-2 years", TRUE, "2+ years")</f>
        <v>2+ years</v>
      </c>
      <c r="M436">
        <v>47</v>
      </c>
      <c r="N436" t="s">
        <v>57</v>
      </c>
      <c r="O436" s="1">
        <v>150000</v>
      </c>
      <c r="P436">
        <v>6</v>
      </c>
      <c r="Q436" s="1">
        <v>900000</v>
      </c>
      <c r="R436">
        <v>10.49</v>
      </c>
      <c r="S436" t="s">
        <v>1091</v>
      </c>
      <c r="T436" t="s">
        <v>39</v>
      </c>
    </row>
    <row r="437" spans="1:20" x14ac:dyDescent="0.35">
      <c r="A437" s="22" t="s">
        <v>539</v>
      </c>
      <c r="B437" cm="1">
        <f t="array" ref="B437">IF(MATCH(Table1[[#This Row],[Customer ID]], Table1[Customer ID], 0) = ROW() - ROW(Table1[#Headers]), 1, 0)</f>
        <v>0</v>
      </c>
      <c r="C437" t="s">
        <v>540</v>
      </c>
      <c r="D437" s="2">
        <v>45682</v>
      </c>
      <c r="E437">
        <v>35</v>
      </c>
      <c r="F437" t="str" cm="1">
        <f t="array" ref="F437">_xlfn.IFS( Table1[[#This Row],[Age]]&lt;18, "&lt;18", Table1[[#This Row],[Age]]&lt;= 29, "18-29", Table1[[#This Row],[Age]]&lt;= 44, "30-44",  Table1[[#This Row],[Age]]&lt;=59, "45-59", TRUE, "60+")</f>
        <v>30-44</v>
      </c>
      <c r="G437" t="s">
        <v>299</v>
      </c>
      <c r="H437" t="s">
        <v>20</v>
      </c>
      <c r="I437" t="s">
        <v>21</v>
      </c>
      <c r="J437">
        <v>3</v>
      </c>
      <c r="K437" t="s">
        <v>50</v>
      </c>
      <c r="L437" t="str" cm="1">
        <f t="array" ref="L437">_xlfn.IFS(Table1[[#This Row],[Customer Tenure in months]]&lt;=6, "0-6 months", Table1[[#This Row],[Customer Tenure in months]] &lt;=12, "7-12 months", Table1[[#This Row],[Customer Tenure in months]] &lt;=24, "1-2 years", TRUE, "2+ years")</f>
        <v>2+ years</v>
      </c>
      <c r="M437">
        <v>47</v>
      </c>
      <c r="N437" t="s">
        <v>58</v>
      </c>
      <c r="O437" s="1">
        <v>16000</v>
      </c>
      <c r="P437">
        <v>12</v>
      </c>
      <c r="Q437" s="1">
        <v>192000</v>
      </c>
      <c r="R437">
        <v>170.52</v>
      </c>
      <c r="S437" t="s">
        <v>1091</v>
      </c>
      <c r="T437" t="s">
        <v>39</v>
      </c>
    </row>
    <row r="438" spans="1:20" x14ac:dyDescent="0.35">
      <c r="A438" s="22" t="s">
        <v>541</v>
      </c>
      <c r="B438" cm="1">
        <f t="array" ref="B438">IF(MATCH(Table1[[#This Row],[Customer ID]], Table1[Customer ID], 0) = ROW() - ROW(Table1[#Headers]), 1, 0)</f>
        <v>1</v>
      </c>
      <c r="C438" t="s">
        <v>542</v>
      </c>
      <c r="D438" s="2">
        <v>45682</v>
      </c>
      <c r="E438">
        <v>70</v>
      </c>
      <c r="F438" t="str" cm="1">
        <f t="array" ref="F438">_xlfn.IFS( Table1[[#This Row],[Age]]&lt;18, "&lt;18", Table1[[#This Row],[Age]]&lt;= 29, "18-29", Table1[[#This Row],[Age]]&lt;= 44, "30-44",  Table1[[#This Row],[Age]]&lt;=59, "45-59", TRUE, "60+")</f>
        <v>60+</v>
      </c>
      <c r="G438" t="s">
        <v>176</v>
      </c>
      <c r="H438" t="s">
        <v>20</v>
      </c>
      <c r="I438" t="s">
        <v>21</v>
      </c>
      <c r="J438">
        <v>1</v>
      </c>
      <c r="K438" t="s">
        <v>37</v>
      </c>
      <c r="L438" t="str" cm="1">
        <f t="array" ref="L438">_xlfn.IFS(Table1[[#This Row],[Customer Tenure in months]]&lt;=6, "0-6 months", Table1[[#This Row],[Customer Tenure in months]] &lt;=12, "7-12 months", Table1[[#This Row],[Customer Tenure in months]] &lt;=24, "1-2 years", TRUE, "2+ years")</f>
        <v>2+ years</v>
      </c>
      <c r="M438">
        <v>55</v>
      </c>
      <c r="N438" t="s">
        <v>23</v>
      </c>
      <c r="O438" s="1">
        <v>35000</v>
      </c>
      <c r="P438">
        <v>9</v>
      </c>
      <c r="Q438" s="1">
        <v>315000</v>
      </c>
      <c r="R438">
        <v>191.04</v>
      </c>
      <c r="S438" t="s">
        <v>1091</v>
      </c>
      <c r="T438" t="s">
        <v>39</v>
      </c>
    </row>
    <row r="439" spans="1:20" x14ac:dyDescent="0.35">
      <c r="A439" s="22" t="s">
        <v>541</v>
      </c>
      <c r="B439" cm="1">
        <f t="array" ref="B439">IF(MATCH(Table1[[#This Row],[Customer ID]], Table1[Customer ID], 0) = ROW() - ROW(Table1[#Headers]), 1, 0)</f>
        <v>0</v>
      </c>
      <c r="C439" t="s">
        <v>542</v>
      </c>
      <c r="D439" s="2">
        <v>45682</v>
      </c>
      <c r="E439">
        <v>70</v>
      </c>
      <c r="F439" t="str" cm="1">
        <f t="array" ref="F439">_xlfn.IFS( Table1[[#This Row],[Age]]&lt;18, "&lt;18", Table1[[#This Row],[Age]]&lt;= 29, "18-29", Table1[[#This Row],[Age]]&lt;= 44, "30-44",  Table1[[#This Row],[Age]]&lt;=59, "45-59", TRUE, "60+")</f>
        <v>60+</v>
      </c>
      <c r="G439" t="s">
        <v>176</v>
      </c>
      <c r="H439" t="s">
        <v>29</v>
      </c>
      <c r="I439" t="s">
        <v>21</v>
      </c>
      <c r="J439">
        <v>1</v>
      </c>
      <c r="K439" t="s">
        <v>37</v>
      </c>
      <c r="L439" t="str" cm="1">
        <f t="array" ref="L439">_xlfn.IFS(Table1[[#This Row],[Customer Tenure in months]]&lt;=6, "0-6 months", Table1[[#This Row],[Customer Tenure in months]] &lt;=12, "7-12 months", Table1[[#This Row],[Customer Tenure in months]] &lt;=24, "1-2 years", TRUE, "2+ years")</f>
        <v>2+ years</v>
      </c>
      <c r="M439">
        <v>55</v>
      </c>
      <c r="N439" t="s">
        <v>83</v>
      </c>
      <c r="O439" s="1">
        <v>1000</v>
      </c>
      <c r="P439">
        <v>11</v>
      </c>
      <c r="Q439" s="1">
        <v>11000</v>
      </c>
      <c r="R439">
        <v>74.84</v>
      </c>
      <c r="S439" t="s">
        <v>1091</v>
      </c>
      <c r="T439" t="s">
        <v>39</v>
      </c>
    </row>
    <row r="440" spans="1:20" x14ac:dyDescent="0.35">
      <c r="A440" s="22" t="s">
        <v>541</v>
      </c>
      <c r="B440" cm="1">
        <f t="array" ref="B440">IF(MATCH(Table1[[#This Row],[Customer ID]], Table1[Customer ID], 0) = ROW() - ROW(Table1[#Headers]), 1, 0)</f>
        <v>0</v>
      </c>
      <c r="C440" t="s">
        <v>542</v>
      </c>
      <c r="D440" s="2">
        <v>45682</v>
      </c>
      <c r="E440">
        <v>70</v>
      </c>
      <c r="F440" t="str" cm="1">
        <f t="array" ref="F440">_xlfn.IFS( Table1[[#This Row],[Age]]&lt;18, "&lt;18", Table1[[#This Row],[Age]]&lt;= 29, "18-29", Table1[[#This Row],[Age]]&lt;= 44, "30-44",  Table1[[#This Row],[Age]]&lt;=59, "45-59", TRUE, "60+")</f>
        <v>60+</v>
      </c>
      <c r="G440" t="s">
        <v>176</v>
      </c>
      <c r="H440" t="s">
        <v>36</v>
      </c>
      <c r="I440" t="s">
        <v>21</v>
      </c>
      <c r="J440">
        <v>1</v>
      </c>
      <c r="K440" t="s">
        <v>37</v>
      </c>
      <c r="L440" t="str" cm="1">
        <f t="array" ref="L440">_xlfn.IFS(Table1[[#This Row],[Customer Tenure in months]]&lt;=6, "0-6 months", Table1[[#This Row],[Customer Tenure in months]] &lt;=12, "7-12 months", Table1[[#This Row],[Customer Tenure in months]] &lt;=24, "1-2 years", TRUE, "2+ years")</f>
        <v>2+ years</v>
      </c>
      <c r="M440">
        <v>55</v>
      </c>
      <c r="N440" t="s">
        <v>65</v>
      </c>
      <c r="O440" s="1">
        <v>30000</v>
      </c>
      <c r="P440">
        <v>13</v>
      </c>
      <c r="Q440" s="1">
        <v>390000</v>
      </c>
      <c r="R440">
        <v>23.21</v>
      </c>
      <c r="S440" t="s">
        <v>1091</v>
      </c>
      <c r="T440" t="s">
        <v>39</v>
      </c>
    </row>
    <row r="441" spans="1:20" x14ac:dyDescent="0.35">
      <c r="A441" s="22" t="s">
        <v>543</v>
      </c>
      <c r="B441" cm="1">
        <f t="array" ref="B441">IF(MATCH(Table1[[#This Row],[Customer ID]], Table1[Customer ID], 0) = ROW() - ROW(Table1[#Headers]), 1, 0)</f>
        <v>1</v>
      </c>
      <c r="C441" t="s">
        <v>544</v>
      </c>
      <c r="D441" s="2">
        <v>45713</v>
      </c>
      <c r="E441">
        <v>50</v>
      </c>
      <c r="F441" t="str" cm="1">
        <f t="array" ref="F441">_xlfn.IFS( Table1[[#This Row],[Age]]&lt;18, "&lt;18", Table1[[#This Row],[Age]]&lt;= 29, "18-29", Table1[[#This Row],[Age]]&lt;= 44, "30-44",  Table1[[#This Row],[Age]]&lt;=59, "45-59", TRUE, "60+")</f>
        <v>45-59</v>
      </c>
      <c r="G441" t="s">
        <v>61</v>
      </c>
      <c r="H441" t="s">
        <v>41</v>
      </c>
      <c r="I441" t="s">
        <v>30</v>
      </c>
      <c r="J441">
        <v>2</v>
      </c>
      <c r="K441" t="s">
        <v>22</v>
      </c>
      <c r="L441" t="str" cm="1">
        <f t="array" ref="L441">_xlfn.IFS(Table1[[#This Row],[Customer Tenure in months]]&lt;=6, "0-6 months", Table1[[#This Row],[Customer Tenure in months]] &lt;=12, "7-12 months", Table1[[#This Row],[Customer Tenure in months]] &lt;=24, "1-2 years", TRUE, "2+ years")</f>
        <v>2+ years</v>
      </c>
      <c r="M441">
        <v>52</v>
      </c>
      <c r="N441" t="s">
        <v>71</v>
      </c>
      <c r="O441" s="1">
        <v>14500</v>
      </c>
      <c r="P441">
        <v>16</v>
      </c>
      <c r="Q441" s="1">
        <v>232000</v>
      </c>
      <c r="R441">
        <v>182.29</v>
      </c>
      <c r="S441" t="s">
        <v>284</v>
      </c>
      <c r="T441" t="s">
        <v>24</v>
      </c>
    </row>
    <row r="442" spans="1:20" x14ac:dyDescent="0.35">
      <c r="A442" s="22" t="s">
        <v>543</v>
      </c>
      <c r="B442" cm="1">
        <f t="array" ref="B442">IF(MATCH(Table1[[#This Row],[Customer ID]], Table1[Customer ID], 0) = ROW() - ROW(Table1[#Headers]), 1, 0)</f>
        <v>0</v>
      </c>
      <c r="C442" t="s">
        <v>544</v>
      </c>
      <c r="D442" s="2">
        <v>45713</v>
      </c>
      <c r="E442">
        <v>50</v>
      </c>
      <c r="F442" t="str" cm="1">
        <f t="array" ref="F442">_xlfn.IFS( Table1[[#This Row],[Age]]&lt;18, "&lt;18", Table1[[#This Row],[Age]]&lt;= 29, "18-29", Table1[[#This Row],[Age]]&lt;= 44, "30-44",  Table1[[#This Row],[Age]]&lt;=59, "45-59", TRUE, "60+")</f>
        <v>45-59</v>
      </c>
      <c r="G442" t="s">
        <v>61</v>
      </c>
      <c r="H442" t="s">
        <v>29</v>
      </c>
      <c r="I442" t="s">
        <v>30</v>
      </c>
      <c r="J442">
        <v>2</v>
      </c>
      <c r="K442" t="s">
        <v>22</v>
      </c>
      <c r="L442" t="str" cm="1">
        <f t="array" ref="L442">_xlfn.IFS(Table1[[#This Row],[Customer Tenure in months]]&lt;=6, "0-6 months", Table1[[#This Row],[Customer Tenure in months]] &lt;=12, "7-12 months", Table1[[#This Row],[Customer Tenure in months]] &lt;=24, "1-2 years", TRUE, "2+ years")</f>
        <v>2+ years</v>
      </c>
      <c r="M442">
        <v>52</v>
      </c>
      <c r="N442" t="s">
        <v>31</v>
      </c>
      <c r="O442" s="1">
        <v>5500</v>
      </c>
      <c r="P442">
        <v>13</v>
      </c>
      <c r="Q442" s="1">
        <v>71500</v>
      </c>
      <c r="R442">
        <v>36.659999999999997</v>
      </c>
      <c r="S442" t="s">
        <v>284</v>
      </c>
      <c r="T442" t="s">
        <v>24</v>
      </c>
    </row>
    <row r="443" spans="1:20" x14ac:dyDescent="0.35">
      <c r="A443" s="22" t="s">
        <v>543</v>
      </c>
      <c r="B443" cm="1">
        <f t="array" ref="B443">IF(MATCH(Table1[[#This Row],[Customer ID]], Table1[Customer ID], 0) = ROW() - ROW(Table1[#Headers]), 1, 0)</f>
        <v>0</v>
      </c>
      <c r="C443" t="s">
        <v>544</v>
      </c>
      <c r="D443" s="2">
        <v>45713</v>
      </c>
      <c r="E443">
        <v>50</v>
      </c>
      <c r="F443" t="str" cm="1">
        <f t="array" ref="F443">_xlfn.IFS( Table1[[#This Row],[Age]]&lt;18, "&lt;18", Table1[[#This Row],[Age]]&lt;= 29, "18-29", Table1[[#This Row],[Age]]&lt;= 44, "30-44",  Table1[[#This Row],[Age]]&lt;=59, "45-59", TRUE, "60+")</f>
        <v>45-59</v>
      </c>
      <c r="G443" t="s">
        <v>61</v>
      </c>
      <c r="H443" t="s">
        <v>36</v>
      </c>
      <c r="I443" t="s">
        <v>30</v>
      </c>
      <c r="J443">
        <v>2</v>
      </c>
      <c r="K443" t="s">
        <v>22</v>
      </c>
      <c r="L443" t="str" cm="1">
        <f t="array" ref="L443">_xlfn.IFS(Table1[[#This Row],[Customer Tenure in months]]&lt;=6, "0-6 months", Table1[[#This Row],[Customer Tenure in months]] &lt;=12, "7-12 months", Table1[[#This Row],[Customer Tenure in months]] &lt;=24, "1-2 years", TRUE, "2+ years")</f>
        <v>2+ years</v>
      </c>
      <c r="M443">
        <v>52</v>
      </c>
      <c r="N443" t="s">
        <v>115</v>
      </c>
      <c r="O443" s="1">
        <v>25000</v>
      </c>
      <c r="P443">
        <v>5</v>
      </c>
      <c r="Q443" s="1">
        <v>125000</v>
      </c>
      <c r="R443">
        <v>122.47</v>
      </c>
      <c r="S443" t="s">
        <v>284</v>
      </c>
      <c r="T443" t="s">
        <v>24</v>
      </c>
    </row>
    <row r="444" spans="1:20" x14ac:dyDescent="0.35">
      <c r="A444" s="22" t="s">
        <v>545</v>
      </c>
      <c r="B444" cm="1">
        <f t="array" ref="B444">IF(MATCH(Table1[[#This Row],[Customer ID]], Table1[Customer ID], 0) = ROW() - ROW(Table1[#Headers]), 1, 0)</f>
        <v>1</v>
      </c>
      <c r="C444" t="s">
        <v>546</v>
      </c>
      <c r="D444" s="2">
        <v>45682</v>
      </c>
      <c r="E444">
        <v>78</v>
      </c>
      <c r="F444" t="str" cm="1">
        <f t="array" ref="F444">_xlfn.IFS( Table1[[#This Row],[Age]]&lt;18, "&lt;18", Table1[[#This Row],[Age]]&lt;= 29, "18-29", Table1[[#This Row],[Age]]&lt;= 44, "30-44",  Table1[[#This Row],[Age]]&lt;=59, "45-59", TRUE, "60+")</f>
        <v>60+</v>
      </c>
      <c r="G444" t="s">
        <v>176</v>
      </c>
      <c r="H444" t="s">
        <v>29</v>
      </c>
      <c r="I444" t="s">
        <v>30</v>
      </c>
      <c r="J444">
        <v>1</v>
      </c>
      <c r="K444" t="s">
        <v>37</v>
      </c>
      <c r="L444" t="str" cm="1">
        <f t="array" ref="L444">_xlfn.IFS(Table1[[#This Row],[Customer Tenure in months]]&lt;=6, "0-6 months", Table1[[#This Row],[Customer Tenure in months]] &lt;=12, "7-12 months", Table1[[#This Row],[Customer Tenure in months]] &lt;=24, "1-2 years", TRUE, "2+ years")</f>
        <v>2+ years</v>
      </c>
      <c r="M444">
        <v>29</v>
      </c>
      <c r="N444" t="s">
        <v>51</v>
      </c>
      <c r="O444" s="1">
        <v>9000</v>
      </c>
      <c r="P444">
        <v>20</v>
      </c>
      <c r="Q444" s="1">
        <v>180000</v>
      </c>
      <c r="R444">
        <v>104.06</v>
      </c>
      <c r="S444" t="s">
        <v>96</v>
      </c>
      <c r="T444" t="s">
        <v>24</v>
      </c>
    </row>
    <row r="445" spans="1:20" x14ac:dyDescent="0.35">
      <c r="A445" s="22" t="s">
        <v>547</v>
      </c>
      <c r="B445" cm="1">
        <f t="array" ref="B445">IF(MATCH(Table1[[#This Row],[Customer ID]], Table1[Customer ID], 0) = ROW() - ROW(Table1[#Headers]), 1, 0)</f>
        <v>1</v>
      </c>
      <c r="C445" t="s">
        <v>548</v>
      </c>
      <c r="D445" s="2">
        <v>45713</v>
      </c>
      <c r="E445">
        <v>71</v>
      </c>
      <c r="F445" t="str" cm="1">
        <f t="array" ref="F445">_xlfn.IFS( Table1[[#This Row],[Age]]&lt;18, "&lt;18", Table1[[#This Row],[Age]]&lt;= 29, "18-29", Table1[[#This Row],[Age]]&lt;= 44, "30-44",  Table1[[#This Row],[Age]]&lt;=59, "45-59", TRUE, "60+")</f>
        <v>60+</v>
      </c>
      <c r="G445" t="s">
        <v>70</v>
      </c>
      <c r="H445" t="s">
        <v>41</v>
      </c>
      <c r="I445" t="s">
        <v>30</v>
      </c>
      <c r="J445">
        <v>2</v>
      </c>
      <c r="K445" t="s">
        <v>22</v>
      </c>
      <c r="L445" t="str" cm="1">
        <f t="array" ref="L445">_xlfn.IFS(Table1[[#This Row],[Customer Tenure in months]]&lt;=6, "0-6 months", Table1[[#This Row],[Customer Tenure in months]] &lt;=12, "7-12 months", Table1[[#This Row],[Customer Tenure in months]] &lt;=24, "1-2 years", TRUE, "2+ years")</f>
        <v>1-2 years</v>
      </c>
      <c r="M445">
        <v>23</v>
      </c>
      <c r="N445" t="s">
        <v>62</v>
      </c>
      <c r="O445" s="1">
        <v>24000</v>
      </c>
      <c r="P445">
        <v>16</v>
      </c>
      <c r="Q445" s="1">
        <v>384000</v>
      </c>
      <c r="R445">
        <v>169.84</v>
      </c>
      <c r="S445" t="s">
        <v>1091</v>
      </c>
      <c r="T445" t="s">
        <v>39</v>
      </c>
    </row>
    <row r="446" spans="1:20" x14ac:dyDescent="0.35">
      <c r="A446" s="22" t="s">
        <v>547</v>
      </c>
      <c r="B446" cm="1">
        <f t="array" ref="B446">IF(MATCH(Table1[[#This Row],[Customer ID]], Table1[Customer ID], 0) = ROW() - ROW(Table1[#Headers]), 1, 0)</f>
        <v>0</v>
      </c>
      <c r="C446" t="s">
        <v>548</v>
      </c>
      <c r="D446" s="2">
        <v>45713</v>
      </c>
      <c r="E446">
        <v>71</v>
      </c>
      <c r="F446" t="str" cm="1">
        <f t="array" ref="F446">_xlfn.IFS( Table1[[#This Row],[Age]]&lt;18, "&lt;18", Table1[[#This Row],[Age]]&lt;= 29, "18-29", Table1[[#This Row],[Age]]&lt;= 44, "30-44",  Table1[[#This Row],[Age]]&lt;=59, "45-59", TRUE, "60+")</f>
        <v>60+</v>
      </c>
      <c r="G446" t="s">
        <v>70</v>
      </c>
      <c r="H446" t="s">
        <v>29</v>
      </c>
      <c r="I446" t="s">
        <v>30</v>
      </c>
      <c r="J446">
        <v>2</v>
      </c>
      <c r="K446" t="s">
        <v>22</v>
      </c>
      <c r="L446" t="str" cm="1">
        <f t="array" ref="L446">_xlfn.IFS(Table1[[#This Row],[Customer Tenure in months]]&lt;=6, "0-6 months", Table1[[#This Row],[Customer Tenure in months]] &lt;=12, "7-12 months", Table1[[#This Row],[Customer Tenure in months]] &lt;=24, "1-2 years", TRUE, "2+ years")</f>
        <v>1-2 years</v>
      </c>
      <c r="M446">
        <v>23</v>
      </c>
      <c r="N446" t="s">
        <v>164</v>
      </c>
      <c r="O446" s="1">
        <v>600</v>
      </c>
      <c r="P446">
        <v>16</v>
      </c>
      <c r="Q446" s="1">
        <v>9600</v>
      </c>
      <c r="R446">
        <v>15.44</v>
      </c>
      <c r="S446" t="s">
        <v>1091</v>
      </c>
      <c r="T446" t="s">
        <v>39</v>
      </c>
    </row>
    <row r="447" spans="1:20" x14ac:dyDescent="0.35">
      <c r="A447" s="22" t="s">
        <v>547</v>
      </c>
      <c r="B447" cm="1">
        <f t="array" ref="B447">IF(MATCH(Table1[[#This Row],[Customer ID]], Table1[Customer ID], 0) = ROW() - ROW(Table1[#Headers]), 1, 0)</f>
        <v>0</v>
      </c>
      <c r="C447" t="s">
        <v>548</v>
      </c>
      <c r="D447" s="2">
        <v>45713</v>
      </c>
      <c r="E447">
        <v>71</v>
      </c>
      <c r="F447" t="str" cm="1">
        <f t="array" ref="F447">_xlfn.IFS( Table1[[#This Row],[Age]]&lt;18, "&lt;18", Table1[[#This Row],[Age]]&lt;= 29, "18-29", Table1[[#This Row],[Age]]&lt;= 44, "30-44",  Table1[[#This Row],[Age]]&lt;=59, "45-59", TRUE, "60+")</f>
        <v>60+</v>
      </c>
      <c r="G447" t="s">
        <v>70</v>
      </c>
      <c r="H447" t="s">
        <v>36</v>
      </c>
      <c r="I447" t="s">
        <v>30</v>
      </c>
      <c r="J447">
        <v>2</v>
      </c>
      <c r="K447" t="s">
        <v>22</v>
      </c>
      <c r="L447" t="str" cm="1">
        <f t="array" ref="L447">_xlfn.IFS(Table1[[#This Row],[Customer Tenure in months]]&lt;=6, "0-6 months", Table1[[#This Row],[Customer Tenure in months]] &lt;=12, "7-12 months", Table1[[#This Row],[Customer Tenure in months]] &lt;=24, "1-2 years", TRUE, "2+ years")</f>
        <v>1-2 years</v>
      </c>
      <c r="M447">
        <v>23</v>
      </c>
      <c r="N447" t="s">
        <v>115</v>
      </c>
      <c r="O447" s="1">
        <v>25000</v>
      </c>
      <c r="P447">
        <v>9</v>
      </c>
      <c r="Q447" s="1">
        <v>225000</v>
      </c>
      <c r="R447">
        <v>48.56</v>
      </c>
      <c r="S447" t="s">
        <v>1091</v>
      </c>
      <c r="T447" t="s">
        <v>39</v>
      </c>
    </row>
    <row r="448" spans="1:20" x14ac:dyDescent="0.35">
      <c r="A448" s="22" t="s">
        <v>549</v>
      </c>
      <c r="B448" cm="1">
        <f t="array" ref="B448">IF(MATCH(Table1[[#This Row],[Customer ID]], Table1[Customer ID], 0) = ROW() - ROW(Table1[#Headers]), 1, 0)</f>
        <v>1</v>
      </c>
      <c r="C448" t="s">
        <v>550</v>
      </c>
      <c r="D448" s="2">
        <v>45713</v>
      </c>
      <c r="E448">
        <v>80</v>
      </c>
      <c r="F448" t="str" cm="1">
        <f t="array" ref="F448">_xlfn.IFS( Table1[[#This Row],[Age]]&lt;18, "&lt;18", Table1[[#This Row],[Age]]&lt;= 29, "18-29", Table1[[#This Row],[Age]]&lt;= 44, "30-44",  Table1[[#This Row],[Age]]&lt;=59, "45-59", TRUE, "60+")</f>
        <v>60+</v>
      </c>
      <c r="G448" t="s">
        <v>113</v>
      </c>
      <c r="H448" t="s">
        <v>29</v>
      </c>
      <c r="I448" t="s">
        <v>30</v>
      </c>
      <c r="J448">
        <v>1</v>
      </c>
      <c r="K448" t="s">
        <v>37</v>
      </c>
      <c r="L448" t="str" cm="1">
        <f t="array" ref="L448">_xlfn.IFS(Table1[[#This Row],[Customer Tenure in months]]&lt;=6, "0-6 months", Table1[[#This Row],[Customer Tenure in months]] &lt;=12, "7-12 months", Table1[[#This Row],[Customer Tenure in months]] &lt;=24, "1-2 years", TRUE, "2+ years")</f>
        <v>2+ years</v>
      </c>
      <c r="M448">
        <v>26</v>
      </c>
      <c r="N448" t="s">
        <v>31</v>
      </c>
      <c r="O448" s="1">
        <v>5500</v>
      </c>
      <c r="P448">
        <v>16</v>
      </c>
      <c r="Q448" s="1">
        <v>88000</v>
      </c>
      <c r="R448">
        <v>63.55</v>
      </c>
      <c r="S448" t="s">
        <v>1091</v>
      </c>
      <c r="T448" t="s">
        <v>39</v>
      </c>
    </row>
    <row r="449" spans="1:20" x14ac:dyDescent="0.35">
      <c r="A449" s="22" t="s">
        <v>549</v>
      </c>
      <c r="B449" cm="1">
        <f t="array" ref="B449">IF(MATCH(Table1[[#This Row],[Customer ID]], Table1[Customer ID], 0) = ROW() - ROW(Table1[#Headers]), 1, 0)</f>
        <v>0</v>
      </c>
      <c r="C449" t="s">
        <v>550</v>
      </c>
      <c r="D449" s="2">
        <v>45713</v>
      </c>
      <c r="E449">
        <v>80</v>
      </c>
      <c r="F449" t="str" cm="1">
        <f t="array" ref="F449">_xlfn.IFS( Table1[[#This Row],[Age]]&lt;18, "&lt;18", Table1[[#This Row],[Age]]&lt;= 29, "18-29", Table1[[#This Row],[Age]]&lt;= 44, "30-44",  Table1[[#This Row],[Age]]&lt;=59, "45-59", TRUE, "60+")</f>
        <v>60+</v>
      </c>
      <c r="G449" t="s">
        <v>113</v>
      </c>
      <c r="H449" t="s">
        <v>41</v>
      </c>
      <c r="I449" t="s">
        <v>30</v>
      </c>
      <c r="J449">
        <v>1</v>
      </c>
      <c r="K449" t="s">
        <v>37</v>
      </c>
      <c r="L449" t="str" cm="1">
        <f t="array" ref="L449">_xlfn.IFS(Table1[[#This Row],[Customer Tenure in months]]&lt;=6, "0-6 months", Table1[[#This Row],[Customer Tenure in months]] &lt;=12, "7-12 months", Table1[[#This Row],[Customer Tenure in months]] &lt;=24, "1-2 years", TRUE, "2+ years")</f>
        <v>2+ years</v>
      </c>
      <c r="M449">
        <v>26</v>
      </c>
      <c r="N449" t="s">
        <v>42</v>
      </c>
      <c r="O449" s="1">
        <v>9000</v>
      </c>
      <c r="P449">
        <v>14</v>
      </c>
      <c r="Q449" s="1">
        <v>126000</v>
      </c>
      <c r="R449">
        <v>20.98</v>
      </c>
      <c r="S449" t="s">
        <v>1091</v>
      </c>
      <c r="T449" t="s">
        <v>39</v>
      </c>
    </row>
    <row r="450" spans="1:20" x14ac:dyDescent="0.35">
      <c r="A450" s="22" t="s">
        <v>549</v>
      </c>
      <c r="B450" cm="1">
        <f t="array" ref="B450">IF(MATCH(Table1[[#This Row],[Customer ID]], Table1[Customer ID], 0) = ROW() - ROW(Table1[#Headers]), 1, 0)</f>
        <v>0</v>
      </c>
      <c r="C450" t="s">
        <v>550</v>
      </c>
      <c r="D450" s="2">
        <v>45713</v>
      </c>
      <c r="E450">
        <v>80</v>
      </c>
      <c r="F450" t="str" cm="1">
        <f t="array" ref="F450">_xlfn.IFS( Table1[[#This Row],[Age]]&lt;18, "&lt;18", Table1[[#This Row],[Age]]&lt;= 29, "18-29", Table1[[#This Row],[Age]]&lt;= 44, "30-44",  Table1[[#This Row],[Age]]&lt;=59, "45-59", TRUE, "60+")</f>
        <v>60+</v>
      </c>
      <c r="G450" t="s">
        <v>113</v>
      </c>
      <c r="H450" t="s">
        <v>29</v>
      </c>
      <c r="I450" t="s">
        <v>30</v>
      </c>
      <c r="J450">
        <v>1</v>
      </c>
      <c r="K450" t="s">
        <v>37</v>
      </c>
      <c r="L450" t="str" cm="1">
        <f t="array" ref="L450">_xlfn.IFS(Table1[[#This Row],[Customer Tenure in months]]&lt;=6, "0-6 months", Table1[[#This Row],[Customer Tenure in months]] &lt;=12, "7-12 months", Table1[[#This Row],[Customer Tenure in months]] &lt;=24, "1-2 years", TRUE, "2+ years")</f>
        <v>2+ years</v>
      </c>
      <c r="M450">
        <v>26</v>
      </c>
      <c r="N450" t="s">
        <v>58</v>
      </c>
      <c r="O450" s="1">
        <v>16000</v>
      </c>
      <c r="P450">
        <v>1</v>
      </c>
      <c r="Q450" s="1">
        <v>16000</v>
      </c>
      <c r="R450">
        <v>111.65</v>
      </c>
      <c r="S450" t="s">
        <v>1091</v>
      </c>
      <c r="T450" t="s">
        <v>39</v>
      </c>
    </row>
    <row r="451" spans="1:20" x14ac:dyDescent="0.35">
      <c r="A451" s="22" t="s">
        <v>551</v>
      </c>
      <c r="B451" cm="1">
        <f t="array" ref="B451">IF(MATCH(Table1[[#This Row],[Customer ID]], Table1[Customer ID], 0) = ROW() - ROW(Table1[#Headers]), 1, 0)</f>
        <v>1</v>
      </c>
      <c r="C451" t="s">
        <v>552</v>
      </c>
      <c r="D451" s="2">
        <v>45713</v>
      </c>
      <c r="E451">
        <v>54</v>
      </c>
      <c r="F451" t="str" cm="1">
        <f t="array" ref="F451">_xlfn.IFS( Table1[[#This Row],[Age]]&lt;18, "&lt;18", Table1[[#This Row],[Age]]&lt;= 29, "18-29", Table1[[#This Row],[Age]]&lt;= 44, "30-44",  Table1[[#This Row],[Age]]&lt;=59, "45-59", TRUE, "60+")</f>
        <v>45-59</v>
      </c>
      <c r="G451" t="s">
        <v>189</v>
      </c>
      <c r="H451" t="s">
        <v>20</v>
      </c>
      <c r="I451" t="s">
        <v>21</v>
      </c>
      <c r="J451">
        <v>3</v>
      </c>
      <c r="K451" t="s">
        <v>50</v>
      </c>
      <c r="L451" t="str" cm="1">
        <f t="array" ref="L451">_xlfn.IFS(Table1[[#This Row],[Customer Tenure in months]]&lt;=6, "0-6 months", Table1[[#This Row],[Customer Tenure in months]] &lt;=12, "7-12 months", Table1[[#This Row],[Customer Tenure in months]] &lt;=24, "1-2 years", TRUE, "2+ years")</f>
        <v>2+ years</v>
      </c>
      <c r="M451">
        <v>42</v>
      </c>
      <c r="N451" t="s">
        <v>23</v>
      </c>
      <c r="O451" s="1">
        <v>35000</v>
      </c>
      <c r="P451">
        <v>20</v>
      </c>
      <c r="Q451" s="1">
        <v>700000</v>
      </c>
      <c r="R451">
        <v>66.73</v>
      </c>
      <c r="S451" t="s">
        <v>1091</v>
      </c>
      <c r="T451" t="s">
        <v>39</v>
      </c>
    </row>
    <row r="452" spans="1:20" x14ac:dyDescent="0.35">
      <c r="A452" s="22" t="s">
        <v>553</v>
      </c>
      <c r="B452" cm="1">
        <f t="array" ref="B452">IF(MATCH(Table1[[#This Row],[Customer ID]], Table1[Customer ID], 0) = ROW() - ROW(Table1[#Headers]), 1, 0)</f>
        <v>1</v>
      </c>
      <c r="C452" t="s">
        <v>554</v>
      </c>
      <c r="D452" s="2">
        <v>45713</v>
      </c>
      <c r="E452">
        <v>62</v>
      </c>
      <c r="F452" t="str" cm="1">
        <f t="array" ref="F452">_xlfn.IFS( Table1[[#This Row],[Age]]&lt;18, "&lt;18", Table1[[#This Row],[Age]]&lt;= 29, "18-29", Table1[[#This Row],[Age]]&lt;= 44, "30-44",  Table1[[#This Row],[Age]]&lt;=59, "45-59", TRUE, "60+")</f>
        <v>60+</v>
      </c>
      <c r="G452" t="s">
        <v>198</v>
      </c>
      <c r="H452" t="s">
        <v>36</v>
      </c>
      <c r="I452" t="s">
        <v>21</v>
      </c>
      <c r="J452">
        <v>1</v>
      </c>
      <c r="K452" t="s">
        <v>37</v>
      </c>
      <c r="L452" t="str" cm="1">
        <f t="array" ref="L452">_xlfn.IFS(Table1[[#This Row],[Customer Tenure in months]]&lt;=6, "0-6 months", Table1[[#This Row],[Customer Tenure in months]] &lt;=12, "7-12 months", Table1[[#This Row],[Customer Tenure in months]] &lt;=24, "1-2 years", TRUE, "2+ years")</f>
        <v>7-12 months</v>
      </c>
      <c r="M452">
        <v>7</v>
      </c>
      <c r="N452" t="s">
        <v>38</v>
      </c>
      <c r="O452" s="1">
        <v>20000</v>
      </c>
      <c r="P452">
        <v>6</v>
      </c>
      <c r="Q452" s="1">
        <v>120000</v>
      </c>
      <c r="R452">
        <v>9.6300000000000008</v>
      </c>
      <c r="S452" t="s">
        <v>1091</v>
      </c>
      <c r="T452" t="s">
        <v>39</v>
      </c>
    </row>
    <row r="453" spans="1:20" x14ac:dyDescent="0.35">
      <c r="A453" s="22" t="s">
        <v>553</v>
      </c>
      <c r="B453" cm="1">
        <f t="array" ref="B453">IF(MATCH(Table1[[#This Row],[Customer ID]], Table1[Customer ID], 0) = ROW() - ROW(Table1[#Headers]), 1, 0)</f>
        <v>0</v>
      </c>
      <c r="C453" t="s">
        <v>554</v>
      </c>
      <c r="D453" s="2">
        <v>45713</v>
      </c>
      <c r="E453">
        <v>62</v>
      </c>
      <c r="F453" t="str" cm="1">
        <f t="array" ref="F453">_xlfn.IFS( Table1[[#This Row],[Age]]&lt;18, "&lt;18", Table1[[#This Row],[Age]]&lt;= 29, "18-29", Table1[[#This Row],[Age]]&lt;= 44, "30-44",  Table1[[#This Row],[Age]]&lt;=59, "45-59", TRUE, "60+")</f>
        <v>60+</v>
      </c>
      <c r="G453" t="s">
        <v>198</v>
      </c>
      <c r="H453" t="s">
        <v>29</v>
      </c>
      <c r="I453" t="s">
        <v>21</v>
      </c>
      <c r="J453">
        <v>1</v>
      </c>
      <c r="K453" t="s">
        <v>37</v>
      </c>
      <c r="L453" t="str" cm="1">
        <f t="array" ref="L453">_xlfn.IFS(Table1[[#This Row],[Customer Tenure in months]]&lt;=6, "0-6 months", Table1[[#This Row],[Customer Tenure in months]] &lt;=12, "7-12 months", Table1[[#This Row],[Customer Tenure in months]] &lt;=24, "1-2 years", TRUE, "2+ years")</f>
        <v>7-12 months</v>
      </c>
      <c r="M453">
        <v>7</v>
      </c>
      <c r="N453" t="s">
        <v>31</v>
      </c>
      <c r="O453" s="1">
        <v>5500</v>
      </c>
      <c r="P453">
        <v>14</v>
      </c>
      <c r="Q453" s="1">
        <v>77000</v>
      </c>
      <c r="R453">
        <v>28.52</v>
      </c>
      <c r="S453" t="s">
        <v>1091</v>
      </c>
      <c r="T453" t="s">
        <v>39</v>
      </c>
    </row>
    <row r="454" spans="1:20" x14ac:dyDescent="0.35">
      <c r="A454" s="22" t="s">
        <v>553</v>
      </c>
      <c r="B454" cm="1">
        <f t="array" ref="B454">IF(MATCH(Table1[[#This Row],[Customer ID]], Table1[Customer ID], 0) = ROW() - ROW(Table1[#Headers]), 1, 0)</f>
        <v>0</v>
      </c>
      <c r="C454" t="s">
        <v>554</v>
      </c>
      <c r="D454" s="2">
        <v>45713</v>
      </c>
      <c r="E454">
        <v>62</v>
      </c>
      <c r="F454" t="str" cm="1">
        <f t="array" ref="F454">_xlfn.IFS( Table1[[#This Row],[Age]]&lt;18, "&lt;18", Table1[[#This Row],[Age]]&lt;= 29, "18-29", Table1[[#This Row],[Age]]&lt;= 44, "30-44",  Table1[[#This Row],[Age]]&lt;=59, "45-59", TRUE, "60+")</f>
        <v>60+</v>
      </c>
      <c r="G454" t="s">
        <v>198</v>
      </c>
      <c r="H454" t="s">
        <v>20</v>
      </c>
      <c r="I454" t="s">
        <v>21</v>
      </c>
      <c r="J454">
        <v>1</v>
      </c>
      <c r="K454" t="s">
        <v>37</v>
      </c>
      <c r="L454" t="str" cm="1">
        <f t="array" ref="L454">_xlfn.IFS(Table1[[#This Row],[Customer Tenure in months]]&lt;=6, "0-6 months", Table1[[#This Row],[Customer Tenure in months]] &lt;=12, "7-12 months", Table1[[#This Row],[Customer Tenure in months]] &lt;=24, "1-2 years", TRUE, "2+ years")</f>
        <v>7-12 months</v>
      </c>
      <c r="M454">
        <v>7</v>
      </c>
      <c r="N454" t="s">
        <v>58</v>
      </c>
      <c r="O454" s="1">
        <v>16000</v>
      </c>
      <c r="P454">
        <v>7</v>
      </c>
      <c r="Q454" s="1">
        <v>112000</v>
      </c>
      <c r="R454">
        <v>51.23</v>
      </c>
      <c r="S454" t="s">
        <v>1091</v>
      </c>
      <c r="T454" t="s">
        <v>39</v>
      </c>
    </row>
    <row r="455" spans="1:20" x14ac:dyDescent="0.35">
      <c r="A455" s="22" t="s">
        <v>555</v>
      </c>
      <c r="B455" cm="1">
        <f t="array" ref="B455">IF(MATCH(Table1[[#This Row],[Customer ID]], Table1[Customer ID], 0) = ROW() - ROW(Table1[#Headers]), 1, 0)</f>
        <v>1</v>
      </c>
      <c r="C455" t="s">
        <v>556</v>
      </c>
      <c r="D455" s="2">
        <v>45713</v>
      </c>
      <c r="E455">
        <v>31</v>
      </c>
      <c r="F455" t="str" cm="1">
        <f t="array" ref="F455">_xlfn.IFS( Table1[[#This Row],[Age]]&lt;18, "&lt;18", Table1[[#This Row],[Age]]&lt;= 29, "18-29", Table1[[#This Row],[Age]]&lt;= 44, "30-44",  Table1[[#This Row],[Age]]&lt;=59, "45-59", TRUE, "60+")</f>
        <v>30-44</v>
      </c>
      <c r="G455" t="s">
        <v>82</v>
      </c>
      <c r="H455" t="s">
        <v>41</v>
      </c>
      <c r="I455" t="s">
        <v>21</v>
      </c>
      <c r="J455">
        <v>3</v>
      </c>
      <c r="K455" t="s">
        <v>50</v>
      </c>
      <c r="L455" t="str" cm="1">
        <f t="array" ref="L455">_xlfn.IFS(Table1[[#This Row],[Customer Tenure in months]]&lt;=6, "0-6 months", Table1[[#This Row],[Customer Tenure in months]] &lt;=12, "7-12 months", Table1[[#This Row],[Customer Tenure in months]] &lt;=24, "1-2 years", TRUE, "2+ years")</f>
        <v>2+ years</v>
      </c>
      <c r="M455">
        <v>30</v>
      </c>
      <c r="N455" t="s">
        <v>71</v>
      </c>
      <c r="O455" s="1">
        <v>14500</v>
      </c>
      <c r="P455">
        <v>19</v>
      </c>
      <c r="Q455" s="1">
        <v>275500</v>
      </c>
      <c r="R455">
        <v>91.75</v>
      </c>
      <c r="S455" t="s">
        <v>167</v>
      </c>
      <c r="T455" t="s">
        <v>24</v>
      </c>
    </row>
    <row r="456" spans="1:20" x14ac:dyDescent="0.35">
      <c r="A456" s="22" t="s">
        <v>557</v>
      </c>
      <c r="B456" cm="1">
        <f t="array" ref="B456">IF(MATCH(Table1[[#This Row],[Customer ID]], Table1[Customer ID], 0) = ROW() - ROW(Table1[#Headers]), 1, 0)</f>
        <v>1</v>
      </c>
      <c r="C456" t="s">
        <v>558</v>
      </c>
      <c r="D456" s="2">
        <v>45682</v>
      </c>
      <c r="E456">
        <v>33</v>
      </c>
      <c r="F456" t="str" cm="1">
        <f t="array" ref="F456">_xlfn.IFS( Table1[[#This Row],[Age]]&lt;18, "&lt;18", Table1[[#This Row],[Age]]&lt;= 29, "18-29", Table1[[#This Row],[Age]]&lt;= 44, "30-44",  Table1[[#This Row],[Age]]&lt;=59, "45-59", TRUE, "60+")</f>
        <v>30-44</v>
      </c>
      <c r="G456" t="s">
        <v>90</v>
      </c>
      <c r="H456" t="s">
        <v>29</v>
      </c>
      <c r="I456" t="s">
        <v>21</v>
      </c>
      <c r="J456">
        <v>5</v>
      </c>
      <c r="K456" t="s">
        <v>55</v>
      </c>
      <c r="L456" t="str" cm="1">
        <f t="array" ref="L456">_xlfn.IFS(Table1[[#This Row],[Customer Tenure in months]]&lt;=6, "0-6 months", Table1[[#This Row],[Customer Tenure in months]] &lt;=12, "7-12 months", Table1[[#This Row],[Customer Tenure in months]] &lt;=24, "1-2 years", TRUE, "2+ years")</f>
        <v>2+ years</v>
      </c>
      <c r="M456">
        <v>34</v>
      </c>
      <c r="N456" t="s">
        <v>164</v>
      </c>
      <c r="O456" s="1">
        <v>600</v>
      </c>
      <c r="P456">
        <v>5</v>
      </c>
      <c r="Q456" s="1">
        <v>3000</v>
      </c>
      <c r="R456">
        <v>146.22999999999999</v>
      </c>
      <c r="S456" t="s">
        <v>1091</v>
      </c>
      <c r="T456" t="s">
        <v>39</v>
      </c>
    </row>
    <row r="457" spans="1:20" x14ac:dyDescent="0.35">
      <c r="A457" s="22" t="s">
        <v>557</v>
      </c>
      <c r="B457" cm="1">
        <f t="array" ref="B457">IF(MATCH(Table1[[#This Row],[Customer ID]], Table1[Customer ID], 0) = ROW() - ROW(Table1[#Headers]), 1, 0)</f>
        <v>0</v>
      </c>
      <c r="C457" t="s">
        <v>558</v>
      </c>
      <c r="D457" s="2">
        <v>45682</v>
      </c>
      <c r="E457">
        <v>33</v>
      </c>
      <c r="F457" t="str" cm="1">
        <f t="array" ref="F457">_xlfn.IFS( Table1[[#This Row],[Age]]&lt;18, "&lt;18", Table1[[#This Row],[Age]]&lt;= 29, "18-29", Table1[[#This Row],[Age]]&lt;= 44, "30-44",  Table1[[#This Row],[Age]]&lt;=59, "45-59", TRUE, "60+")</f>
        <v>30-44</v>
      </c>
      <c r="G457" t="s">
        <v>90</v>
      </c>
      <c r="H457" t="s">
        <v>36</v>
      </c>
      <c r="I457" t="s">
        <v>21</v>
      </c>
      <c r="J457">
        <v>5</v>
      </c>
      <c r="K457" t="s">
        <v>55</v>
      </c>
      <c r="L457" t="str" cm="1">
        <f t="array" ref="L457">_xlfn.IFS(Table1[[#This Row],[Customer Tenure in months]]&lt;=6, "0-6 months", Table1[[#This Row],[Customer Tenure in months]] &lt;=12, "7-12 months", Table1[[#This Row],[Customer Tenure in months]] &lt;=24, "1-2 years", TRUE, "2+ years")</f>
        <v>2+ years</v>
      </c>
      <c r="M457">
        <v>34</v>
      </c>
      <c r="N457" t="s">
        <v>38</v>
      </c>
      <c r="O457" s="1">
        <v>20000</v>
      </c>
      <c r="P457">
        <v>20</v>
      </c>
      <c r="Q457" s="1">
        <v>400000</v>
      </c>
      <c r="R457">
        <v>77.790000000000006</v>
      </c>
      <c r="S457" t="s">
        <v>1091</v>
      </c>
      <c r="T457" t="s">
        <v>39</v>
      </c>
    </row>
    <row r="458" spans="1:20" x14ac:dyDescent="0.35">
      <c r="A458" s="22" t="s">
        <v>557</v>
      </c>
      <c r="B458" cm="1">
        <f t="array" ref="B458">IF(MATCH(Table1[[#This Row],[Customer ID]], Table1[Customer ID], 0) = ROW() - ROW(Table1[#Headers]), 1, 0)</f>
        <v>0</v>
      </c>
      <c r="C458" t="s">
        <v>558</v>
      </c>
      <c r="D458" s="2">
        <v>45682</v>
      </c>
      <c r="E458">
        <v>33</v>
      </c>
      <c r="F458" t="str" cm="1">
        <f t="array" ref="F458">_xlfn.IFS( Table1[[#This Row],[Age]]&lt;18, "&lt;18", Table1[[#This Row],[Age]]&lt;= 29, "18-29", Table1[[#This Row],[Age]]&lt;= 44, "30-44",  Table1[[#This Row],[Age]]&lt;=59, "45-59", TRUE, "60+")</f>
        <v>30-44</v>
      </c>
      <c r="G458" t="s">
        <v>90</v>
      </c>
      <c r="H458" t="s">
        <v>41</v>
      </c>
      <c r="I458" t="s">
        <v>21</v>
      </c>
      <c r="J458">
        <v>5</v>
      </c>
      <c r="K458" t="s">
        <v>55</v>
      </c>
      <c r="L458" t="str" cm="1">
        <f t="array" ref="L458">_xlfn.IFS(Table1[[#This Row],[Customer Tenure in months]]&lt;=6, "0-6 months", Table1[[#This Row],[Customer Tenure in months]] &lt;=12, "7-12 months", Table1[[#This Row],[Customer Tenure in months]] &lt;=24, "1-2 years", TRUE, "2+ years")</f>
        <v>2+ years</v>
      </c>
      <c r="M458">
        <v>34</v>
      </c>
      <c r="N458" t="s">
        <v>62</v>
      </c>
      <c r="O458" s="1">
        <v>24000</v>
      </c>
      <c r="P458">
        <v>17</v>
      </c>
      <c r="Q458" s="1">
        <v>408000</v>
      </c>
      <c r="R458">
        <v>176.6</v>
      </c>
      <c r="S458" t="s">
        <v>1091</v>
      </c>
      <c r="T458" t="s">
        <v>39</v>
      </c>
    </row>
    <row r="459" spans="1:20" x14ac:dyDescent="0.35">
      <c r="A459" s="22" t="s">
        <v>559</v>
      </c>
      <c r="B459" cm="1">
        <f t="array" ref="B459">IF(MATCH(Table1[[#This Row],[Customer ID]], Table1[Customer ID], 0) = ROW() - ROW(Table1[#Headers]), 1, 0)</f>
        <v>1</v>
      </c>
      <c r="C459" t="s">
        <v>560</v>
      </c>
      <c r="D459" s="2">
        <v>45741</v>
      </c>
      <c r="E459">
        <v>69</v>
      </c>
      <c r="F459" t="str" cm="1">
        <f t="array" ref="F459">_xlfn.IFS( Table1[[#This Row],[Age]]&lt;18, "&lt;18", Table1[[#This Row],[Age]]&lt;= 29, "18-29", Table1[[#This Row],[Age]]&lt;= 44, "30-44",  Table1[[#This Row],[Age]]&lt;=59, "45-59", TRUE, "60+")</f>
        <v>60+</v>
      </c>
      <c r="G459" t="s">
        <v>70</v>
      </c>
      <c r="H459" t="s">
        <v>29</v>
      </c>
      <c r="I459" t="s">
        <v>30</v>
      </c>
      <c r="J459">
        <v>3</v>
      </c>
      <c r="K459" t="s">
        <v>50</v>
      </c>
      <c r="L459" t="str" cm="1">
        <f t="array" ref="L459">_xlfn.IFS(Table1[[#This Row],[Customer Tenure in months]]&lt;=6, "0-6 months", Table1[[#This Row],[Customer Tenure in months]] &lt;=12, "7-12 months", Table1[[#This Row],[Customer Tenure in months]] &lt;=24, "1-2 years", TRUE, "2+ years")</f>
        <v>2+ years</v>
      </c>
      <c r="M459">
        <v>26</v>
      </c>
      <c r="N459" t="s">
        <v>23</v>
      </c>
      <c r="O459" s="1">
        <v>35000</v>
      </c>
      <c r="P459">
        <v>17</v>
      </c>
      <c r="Q459" s="1">
        <v>595000</v>
      </c>
      <c r="R459">
        <v>120.7</v>
      </c>
      <c r="S459" t="s">
        <v>1091</v>
      </c>
      <c r="T459" t="s">
        <v>39</v>
      </c>
    </row>
    <row r="460" spans="1:20" x14ac:dyDescent="0.35">
      <c r="A460" s="22" t="s">
        <v>561</v>
      </c>
      <c r="B460" cm="1">
        <f t="array" ref="B460">IF(MATCH(Table1[[#This Row],[Customer ID]], Table1[Customer ID], 0) = ROW() - ROW(Table1[#Headers]), 1, 0)</f>
        <v>1</v>
      </c>
      <c r="C460" t="s">
        <v>562</v>
      </c>
      <c r="D460" s="2">
        <v>45741</v>
      </c>
      <c r="E460">
        <v>56</v>
      </c>
      <c r="F460" t="str" cm="1">
        <f t="array" ref="F460">_xlfn.IFS( Table1[[#This Row],[Age]]&lt;18, "&lt;18", Table1[[#This Row],[Age]]&lt;= 29, "18-29", Table1[[#This Row],[Age]]&lt;= 44, "30-44",  Table1[[#This Row],[Age]]&lt;=59, "45-59", TRUE, "60+")</f>
        <v>45-59</v>
      </c>
      <c r="G460" t="s">
        <v>79</v>
      </c>
      <c r="H460" t="s">
        <v>20</v>
      </c>
      <c r="I460" t="s">
        <v>21</v>
      </c>
      <c r="J460">
        <v>3</v>
      </c>
      <c r="K460" t="s">
        <v>50</v>
      </c>
      <c r="L460" t="str" cm="1">
        <f t="array" ref="L460">_xlfn.IFS(Table1[[#This Row],[Customer Tenure in months]]&lt;=6, "0-6 months", Table1[[#This Row],[Customer Tenure in months]] &lt;=12, "7-12 months", Table1[[#This Row],[Customer Tenure in months]] &lt;=24, "1-2 years", TRUE, "2+ years")</f>
        <v>1-2 years</v>
      </c>
      <c r="M460">
        <v>14</v>
      </c>
      <c r="N460" t="s">
        <v>51</v>
      </c>
      <c r="O460" s="1">
        <v>9000</v>
      </c>
      <c r="P460">
        <v>12</v>
      </c>
      <c r="Q460" s="1">
        <v>108000</v>
      </c>
      <c r="R460">
        <v>142.22</v>
      </c>
      <c r="S460" t="s">
        <v>1091</v>
      </c>
      <c r="T460" t="s">
        <v>39</v>
      </c>
    </row>
    <row r="461" spans="1:20" x14ac:dyDescent="0.35">
      <c r="A461" s="22" t="s">
        <v>563</v>
      </c>
      <c r="B461" cm="1">
        <f t="array" ref="B461">IF(MATCH(Table1[[#This Row],[Customer ID]], Table1[Customer ID], 0) = ROW() - ROW(Table1[#Headers]), 1, 0)</f>
        <v>1</v>
      </c>
      <c r="C461" t="s">
        <v>564</v>
      </c>
      <c r="D461" s="2">
        <v>45713</v>
      </c>
      <c r="E461">
        <v>69</v>
      </c>
      <c r="F461" t="str" cm="1">
        <f t="array" ref="F461">_xlfn.IFS( Table1[[#This Row],[Age]]&lt;18, "&lt;18", Table1[[#This Row],[Age]]&lt;= 29, "18-29", Table1[[#This Row],[Age]]&lt;= 44, "30-44",  Table1[[#This Row],[Age]]&lt;=59, "45-59", TRUE, "60+")</f>
        <v>60+</v>
      </c>
      <c r="G461" t="s">
        <v>86</v>
      </c>
      <c r="H461" t="s">
        <v>29</v>
      </c>
      <c r="I461" t="s">
        <v>30</v>
      </c>
      <c r="J461">
        <v>1</v>
      </c>
      <c r="K461" t="s">
        <v>37</v>
      </c>
      <c r="L461" t="str" cm="1">
        <f t="array" ref="L461">_xlfn.IFS(Table1[[#This Row],[Customer Tenure in months]]&lt;=6, "0-6 months", Table1[[#This Row],[Customer Tenure in months]] &lt;=12, "7-12 months", Table1[[#This Row],[Customer Tenure in months]] &lt;=24, "1-2 years", TRUE, "2+ years")</f>
        <v>2+ years</v>
      </c>
      <c r="M461">
        <v>57</v>
      </c>
      <c r="N461" t="s">
        <v>164</v>
      </c>
      <c r="O461" s="1">
        <v>600</v>
      </c>
      <c r="P461">
        <v>2</v>
      </c>
      <c r="Q461" s="1">
        <v>1200</v>
      </c>
      <c r="R461">
        <v>11.09</v>
      </c>
      <c r="S461" t="s">
        <v>1091</v>
      </c>
      <c r="T461" t="s">
        <v>39</v>
      </c>
    </row>
    <row r="462" spans="1:20" x14ac:dyDescent="0.35">
      <c r="A462" s="22" t="s">
        <v>565</v>
      </c>
      <c r="B462" cm="1">
        <f t="array" ref="B462">IF(MATCH(Table1[[#This Row],[Customer ID]], Table1[Customer ID], 0) = ROW() - ROW(Table1[#Headers]), 1, 0)</f>
        <v>1</v>
      </c>
      <c r="C462" t="s">
        <v>566</v>
      </c>
      <c r="D462" s="2">
        <v>45741</v>
      </c>
      <c r="E462">
        <v>50</v>
      </c>
      <c r="F462" t="str" cm="1">
        <f t="array" ref="F462">_xlfn.IFS( Table1[[#This Row],[Age]]&lt;18, "&lt;18", Table1[[#This Row],[Age]]&lt;= 29, "18-29", Table1[[#This Row],[Age]]&lt;= 44, "30-44",  Table1[[#This Row],[Age]]&lt;=59, "45-59", TRUE, "60+")</f>
        <v>45-59</v>
      </c>
      <c r="G462" t="s">
        <v>28</v>
      </c>
      <c r="H462" t="s">
        <v>36</v>
      </c>
      <c r="I462" t="s">
        <v>30</v>
      </c>
      <c r="J462">
        <v>2</v>
      </c>
      <c r="K462" t="s">
        <v>22</v>
      </c>
      <c r="L462" t="str" cm="1">
        <f t="array" ref="L462">_xlfn.IFS(Table1[[#This Row],[Customer Tenure in months]]&lt;=6, "0-6 months", Table1[[#This Row],[Customer Tenure in months]] &lt;=12, "7-12 months", Table1[[#This Row],[Customer Tenure in months]] &lt;=24, "1-2 years", TRUE, "2+ years")</f>
        <v>2+ years</v>
      </c>
      <c r="M462">
        <v>44</v>
      </c>
      <c r="N462" t="s">
        <v>115</v>
      </c>
      <c r="O462" s="1">
        <v>25000</v>
      </c>
      <c r="P462">
        <v>4</v>
      </c>
      <c r="Q462" s="1">
        <v>100000</v>
      </c>
      <c r="R462">
        <v>162.9</v>
      </c>
      <c r="S462" t="s">
        <v>1091</v>
      </c>
      <c r="T462" t="s">
        <v>39</v>
      </c>
    </row>
    <row r="463" spans="1:20" x14ac:dyDescent="0.35">
      <c r="A463" s="22" t="s">
        <v>565</v>
      </c>
      <c r="B463" cm="1">
        <f t="array" ref="B463">IF(MATCH(Table1[[#This Row],[Customer ID]], Table1[Customer ID], 0) = ROW() - ROW(Table1[#Headers]), 1, 0)</f>
        <v>0</v>
      </c>
      <c r="C463" t="s">
        <v>566</v>
      </c>
      <c r="D463" s="2">
        <v>45741</v>
      </c>
      <c r="E463">
        <v>50</v>
      </c>
      <c r="F463" t="str" cm="1">
        <f t="array" ref="F463">_xlfn.IFS( Table1[[#This Row],[Age]]&lt;18, "&lt;18", Table1[[#This Row],[Age]]&lt;= 29, "18-29", Table1[[#This Row],[Age]]&lt;= 44, "30-44",  Table1[[#This Row],[Age]]&lt;=59, "45-59", TRUE, "60+")</f>
        <v>45-59</v>
      </c>
      <c r="G463" t="s">
        <v>28</v>
      </c>
      <c r="H463" t="s">
        <v>41</v>
      </c>
      <c r="I463" t="s">
        <v>30</v>
      </c>
      <c r="J463">
        <v>2</v>
      </c>
      <c r="K463" t="s">
        <v>22</v>
      </c>
      <c r="L463" t="str" cm="1">
        <f t="array" ref="L463">_xlfn.IFS(Table1[[#This Row],[Customer Tenure in months]]&lt;=6, "0-6 months", Table1[[#This Row],[Customer Tenure in months]] &lt;=12, "7-12 months", Table1[[#This Row],[Customer Tenure in months]] &lt;=24, "1-2 years", TRUE, "2+ years")</f>
        <v>2+ years</v>
      </c>
      <c r="M463">
        <v>44</v>
      </c>
      <c r="N463" t="s">
        <v>62</v>
      </c>
      <c r="O463" s="1">
        <v>24000</v>
      </c>
      <c r="P463">
        <v>18</v>
      </c>
      <c r="Q463" s="1">
        <v>432000</v>
      </c>
      <c r="R463">
        <v>173.67</v>
      </c>
      <c r="S463" t="s">
        <v>1091</v>
      </c>
      <c r="T463" t="s">
        <v>39</v>
      </c>
    </row>
    <row r="464" spans="1:20" x14ac:dyDescent="0.35">
      <c r="A464" s="22" t="s">
        <v>565</v>
      </c>
      <c r="B464" cm="1">
        <f t="array" ref="B464">IF(MATCH(Table1[[#This Row],[Customer ID]], Table1[Customer ID], 0) = ROW() - ROW(Table1[#Headers]), 1, 0)</f>
        <v>0</v>
      </c>
      <c r="C464" t="s">
        <v>566</v>
      </c>
      <c r="D464" s="2">
        <v>45741</v>
      </c>
      <c r="E464">
        <v>50</v>
      </c>
      <c r="F464" t="str" cm="1">
        <f t="array" ref="F464">_xlfn.IFS( Table1[[#This Row],[Age]]&lt;18, "&lt;18", Table1[[#This Row],[Age]]&lt;= 29, "18-29", Table1[[#This Row],[Age]]&lt;= 44, "30-44",  Table1[[#This Row],[Age]]&lt;=59, "45-59", TRUE, "60+")</f>
        <v>45-59</v>
      </c>
      <c r="G464" t="s">
        <v>28</v>
      </c>
      <c r="H464" t="s">
        <v>29</v>
      </c>
      <c r="I464" t="s">
        <v>30</v>
      </c>
      <c r="J464">
        <v>2</v>
      </c>
      <c r="K464" t="s">
        <v>22</v>
      </c>
      <c r="L464" t="str" cm="1">
        <f t="array" ref="L464">_xlfn.IFS(Table1[[#This Row],[Customer Tenure in months]]&lt;=6, "0-6 months", Table1[[#This Row],[Customer Tenure in months]] &lt;=12, "7-12 months", Table1[[#This Row],[Customer Tenure in months]] &lt;=24, "1-2 years", TRUE, "2+ years")</f>
        <v>2+ years</v>
      </c>
      <c r="M464">
        <v>44</v>
      </c>
      <c r="N464" t="s">
        <v>72</v>
      </c>
      <c r="O464" s="1">
        <v>350</v>
      </c>
      <c r="P464">
        <v>18</v>
      </c>
      <c r="Q464" s="1">
        <v>6300</v>
      </c>
      <c r="R464">
        <v>148.61000000000001</v>
      </c>
      <c r="S464" t="s">
        <v>1091</v>
      </c>
      <c r="T464" t="s">
        <v>39</v>
      </c>
    </row>
    <row r="465" spans="1:20" x14ac:dyDescent="0.35">
      <c r="A465" s="22" t="s">
        <v>567</v>
      </c>
      <c r="B465" cm="1">
        <f t="array" ref="B465">IF(MATCH(Table1[[#This Row],[Customer ID]], Table1[Customer ID], 0) = ROW() - ROW(Table1[#Headers]), 1, 0)</f>
        <v>1</v>
      </c>
      <c r="C465" t="s">
        <v>568</v>
      </c>
      <c r="D465" s="2">
        <v>45682</v>
      </c>
      <c r="E465">
        <v>46</v>
      </c>
      <c r="F465" t="str" cm="1">
        <f t="array" ref="F465">_xlfn.IFS( Table1[[#This Row],[Age]]&lt;18, "&lt;18", Table1[[#This Row],[Age]]&lt;= 29, "18-29", Table1[[#This Row],[Age]]&lt;= 44, "30-44",  Table1[[#This Row],[Age]]&lt;=59, "45-59", TRUE, "60+")</f>
        <v>45-59</v>
      </c>
      <c r="G465" t="s">
        <v>189</v>
      </c>
      <c r="H465" t="s">
        <v>36</v>
      </c>
      <c r="I465" t="s">
        <v>30</v>
      </c>
      <c r="J465">
        <v>4</v>
      </c>
      <c r="K465" t="s">
        <v>114</v>
      </c>
      <c r="L465" t="str" cm="1">
        <f t="array" ref="L465">_xlfn.IFS(Table1[[#This Row],[Customer Tenure in months]]&lt;=6, "0-6 months", Table1[[#This Row],[Customer Tenure in months]] &lt;=12, "7-12 months", Table1[[#This Row],[Customer Tenure in months]] &lt;=24, "1-2 years", TRUE, "2+ years")</f>
        <v>2+ years</v>
      </c>
      <c r="M465">
        <v>45</v>
      </c>
      <c r="N465" t="s">
        <v>42</v>
      </c>
      <c r="O465" s="1">
        <v>9000</v>
      </c>
      <c r="P465">
        <v>7</v>
      </c>
      <c r="Q465" s="1">
        <v>63000</v>
      </c>
      <c r="R465">
        <v>148.86000000000001</v>
      </c>
      <c r="S465" t="s">
        <v>1091</v>
      </c>
      <c r="T465" t="s">
        <v>39</v>
      </c>
    </row>
    <row r="466" spans="1:20" x14ac:dyDescent="0.35">
      <c r="A466" s="22" t="s">
        <v>567</v>
      </c>
      <c r="B466" cm="1">
        <f t="array" ref="B466">IF(MATCH(Table1[[#This Row],[Customer ID]], Table1[Customer ID], 0) = ROW() - ROW(Table1[#Headers]), 1, 0)</f>
        <v>0</v>
      </c>
      <c r="C466" t="s">
        <v>568</v>
      </c>
      <c r="D466" s="2">
        <v>45682</v>
      </c>
      <c r="E466">
        <v>46</v>
      </c>
      <c r="F466" t="str" cm="1">
        <f t="array" ref="F466">_xlfn.IFS( Table1[[#This Row],[Age]]&lt;18, "&lt;18", Table1[[#This Row],[Age]]&lt;= 29, "18-29", Table1[[#This Row],[Age]]&lt;= 44, "30-44",  Table1[[#This Row],[Age]]&lt;=59, "45-59", TRUE, "60+")</f>
        <v>45-59</v>
      </c>
      <c r="G466" t="s">
        <v>189</v>
      </c>
      <c r="H466" t="s">
        <v>29</v>
      </c>
      <c r="I466" t="s">
        <v>30</v>
      </c>
      <c r="J466">
        <v>4</v>
      </c>
      <c r="K466" t="s">
        <v>114</v>
      </c>
      <c r="L466" t="str" cm="1">
        <f t="array" ref="L466">_xlfn.IFS(Table1[[#This Row],[Customer Tenure in months]]&lt;=6, "0-6 months", Table1[[#This Row],[Customer Tenure in months]] &lt;=12, "7-12 months", Table1[[#This Row],[Customer Tenure in months]] &lt;=24, "1-2 years", TRUE, "2+ years")</f>
        <v>2+ years</v>
      </c>
      <c r="M466">
        <v>45</v>
      </c>
      <c r="N466" t="s">
        <v>31</v>
      </c>
      <c r="O466" s="1">
        <v>5500</v>
      </c>
      <c r="P466">
        <v>12</v>
      </c>
      <c r="Q466" s="1">
        <v>66000</v>
      </c>
      <c r="R466">
        <v>166.08</v>
      </c>
      <c r="S466" t="s">
        <v>1091</v>
      </c>
      <c r="T466" t="s">
        <v>39</v>
      </c>
    </row>
    <row r="467" spans="1:20" x14ac:dyDescent="0.35">
      <c r="A467" s="22" t="s">
        <v>567</v>
      </c>
      <c r="B467" cm="1">
        <f t="array" ref="B467">IF(MATCH(Table1[[#This Row],[Customer ID]], Table1[Customer ID], 0) = ROW() - ROW(Table1[#Headers]), 1, 0)</f>
        <v>0</v>
      </c>
      <c r="C467" t="s">
        <v>568</v>
      </c>
      <c r="D467" s="2">
        <v>45682</v>
      </c>
      <c r="E467">
        <v>46</v>
      </c>
      <c r="F467" t="str" cm="1">
        <f t="array" ref="F467">_xlfn.IFS( Table1[[#This Row],[Age]]&lt;18, "&lt;18", Table1[[#This Row],[Age]]&lt;= 29, "18-29", Table1[[#This Row],[Age]]&lt;= 44, "30-44",  Table1[[#This Row],[Age]]&lt;=59, "45-59", TRUE, "60+")</f>
        <v>45-59</v>
      </c>
      <c r="G467" t="s">
        <v>189</v>
      </c>
      <c r="H467" t="s">
        <v>41</v>
      </c>
      <c r="I467" t="s">
        <v>30</v>
      </c>
      <c r="J467">
        <v>4</v>
      </c>
      <c r="K467" t="s">
        <v>114</v>
      </c>
      <c r="L467" t="str" cm="1">
        <f t="array" ref="L467">_xlfn.IFS(Table1[[#This Row],[Customer Tenure in months]]&lt;=6, "0-6 months", Table1[[#This Row],[Customer Tenure in months]] &lt;=12, "7-12 months", Table1[[#This Row],[Customer Tenure in months]] &lt;=24, "1-2 years", TRUE, "2+ years")</f>
        <v>2+ years</v>
      </c>
      <c r="M467">
        <v>45</v>
      </c>
      <c r="N467" t="s">
        <v>62</v>
      </c>
      <c r="O467" s="1">
        <v>24000</v>
      </c>
      <c r="P467">
        <v>20</v>
      </c>
      <c r="Q467" s="1">
        <v>480000</v>
      </c>
      <c r="R467">
        <v>109.55</v>
      </c>
      <c r="S467" t="s">
        <v>1091</v>
      </c>
      <c r="T467" t="s">
        <v>39</v>
      </c>
    </row>
    <row r="468" spans="1:20" x14ac:dyDescent="0.35">
      <c r="A468" s="22" t="s">
        <v>569</v>
      </c>
      <c r="B468" cm="1">
        <f t="array" ref="B468">IF(MATCH(Table1[[#This Row],[Customer ID]], Table1[Customer ID], 0) = ROW() - ROW(Table1[#Headers]), 1, 0)</f>
        <v>1</v>
      </c>
      <c r="C468" t="s">
        <v>570</v>
      </c>
      <c r="D468" s="2">
        <v>45682</v>
      </c>
      <c r="E468">
        <v>40</v>
      </c>
      <c r="F468" t="str" cm="1">
        <f t="array" ref="F468">_xlfn.IFS( Table1[[#This Row],[Age]]&lt;18, "&lt;18", Table1[[#This Row],[Age]]&lt;= 29, "18-29", Table1[[#This Row],[Age]]&lt;= 44, "30-44",  Table1[[#This Row],[Age]]&lt;=59, "45-59", TRUE, "60+")</f>
        <v>30-44</v>
      </c>
      <c r="G468" t="s">
        <v>101</v>
      </c>
      <c r="H468" t="s">
        <v>41</v>
      </c>
      <c r="I468" t="s">
        <v>30</v>
      </c>
      <c r="J468">
        <v>2</v>
      </c>
      <c r="K468" t="s">
        <v>22</v>
      </c>
      <c r="L468" t="str" cm="1">
        <f t="array" ref="L468">_xlfn.IFS(Table1[[#This Row],[Customer Tenure in months]]&lt;=6, "0-6 months", Table1[[#This Row],[Customer Tenure in months]] &lt;=12, "7-12 months", Table1[[#This Row],[Customer Tenure in months]] &lt;=24, "1-2 years", TRUE, "2+ years")</f>
        <v>7-12 months</v>
      </c>
      <c r="M468">
        <v>12</v>
      </c>
      <c r="N468" t="s">
        <v>71</v>
      </c>
      <c r="O468" s="1">
        <v>14500</v>
      </c>
      <c r="P468">
        <v>9</v>
      </c>
      <c r="Q468" s="1">
        <v>130500</v>
      </c>
      <c r="R468">
        <v>56.18</v>
      </c>
      <c r="S468" t="s">
        <v>1091</v>
      </c>
      <c r="T468" t="s">
        <v>39</v>
      </c>
    </row>
    <row r="469" spans="1:20" x14ac:dyDescent="0.35">
      <c r="A469" s="22" t="s">
        <v>569</v>
      </c>
      <c r="B469" cm="1">
        <f t="array" ref="B469">IF(MATCH(Table1[[#This Row],[Customer ID]], Table1[Customer ID], 0) = ROW() - ROW(Table1[#Headers]), 1, 0)</f>
        <v>0</v>
      </c>
      <c r="C469" t="s">
        <v>570</v>
      </c>
      <c r="D469" s="2">
        <v>45682</v>
      </c>
      <c r="E469">
        <v>40</v>
      </c>
      <c r="F469" t="str" cm="1">
        <f t="array" ref="F469">_xlfn.IFS( Table1[[#This Row],[Age]]&lt;18, "&lt;18", Table1[[#This Row],[Age]]&lt;= 29, "18-29", Table1[[#This Row],[Age]]&lt;= 44, "30-44",  Table1[[#This Row],[Age]]&lt;=59, "45-59", TRUE, "60+")</f>
        <v>30-44</v>
      </c>
      <c r="G469" t="s">
        <v>101</v>
      </c>
      <c r="H469" t="s">
        <v>20</v>
      </c>
      <c r="I469" t="s">
        <v>30</v>
      </c>
      <c r="J469">
        <v>2</v>
      </c>
      <c r="K469" t="s">
        <v>22</v>
      </c>
      <c r="L469" t="str" cm="1">
        <f t="array" ref="L469">_xlfn.IFS(Table1[[#This Row],[Customer Tenure in months]]&lt;=6, "0-6 months", Table1[[#This Row],[Customer Tenure in months]] &lt;=12, "7-12 months", Table1[[#This Row],[Customer Tenure in months]] &lt;=24, "1-2 years", TRUE, "2+ years")</f>
        <v>7-12 months</v>
      </c>
      <c r="M469">
        <v>12</v>
      </c>
      <c r="N469" t="s">
        <v>46</v>
      </c>
      <c r="O469" s="1">
        <v>4500</v>
      </c>
      <c r="P469">
        <v>9</v>
      </c>
      <c r="Q469" s="1">
        <v>40500</v>
      </c>
      <c r="R469">
        <v>32.61</v>
      </c>
      <c r="S469" t="s">
        <v>1091</v>
      </c>
      <c r="T469" t="s">
        <v>39</v>
      </c>
    </row>
    <row r="470" spans="1:20" x14ac:dyDescent="0.35">
      <c r="A470" s="22" t="s">
        <v>569</v>
      </c>
      <c r="B470" cm="1">
        <f t="array" ref="B470">IF(MATCH(Table1[[#This Row],[Customer ID]], Table1[Customer ID], 0) = ROW() - ROW(Table1[#Headers]), 1, 0)</f>
        <v>0</v>
      </c>
      <c r="C470" t="s">
        <v>570</v>
      </c>
      <c r="D470" s="2">
        <v>45682</v>
      </c>
      <c r="E470">
        <v>40</v>
      </c>
      <c r="F470" t="str" cm="1">
        <f t="array" ref="F470">_xlfn.IFS( Table1[[#This Row],[Age]]&lt;18, "&lt;18", Table1[[#This Row],[Age]]&lt;= 29, "18-29", Table1[[#This Row],[Age]]&lt;= 44, "30-44",  Table1[[#This Row],[Age]]&lt;=59, "45-59", TRUE, "60+")</f>
        <v>30-44</v>
      </c>
      <c r="G470" t="s">
        <v>101</v>
      </c>
      <c r="H470" t="s">
        <v>29</v>
      </c>
      <c r="I470" t="s">
        <v>30</v>
      </c>
      <c r="J470">
        <v>2</v>
      </c>
      <c r="K470" t="s">
        <v>22</v>
      </c>
      <c r="L470" t="str" cm="1">
        <f t="array" ref="L470">_xlfn.IFS(Table1[[#This Row],[Customer Tenure in months]]&lt;=6, "0-6 months", Table1[[#This Row],[Customer Tenure in months]] &lt;=12, "7-12 months", Table1[[#This Row],[Customer Tenure in months]] &lt;=24, "1-2 years", TRUE, "2+ years")</f>
        <v>7-12 months</v>
      </c>
      <c r="M470">
        <v>12</v>
      </c>
      <c r="N470" t="s">
        <v>102</v>
      </c>
      <c r="O470" s="1">
        <v>900</v>
      </c>
      <c r="P470">
        <v>5</v>
      </c>
      <c r="Q470" s="1">
        <v>4500</v>
      </c>
      <c r="R470">
        <v>66.45</v>
      </c>
      <c r="S470" t="s">
        <v>1091</v>
      </c>
      <c r="T470" t="s">
        <v>39</v>
      </c>
    </row>
    <row r="471" spans="1:20" x14ac:dyDescent="0.35">
      <c r="A471" s="22" t="s">
        <v>571</v>
      </c>
      <c r="B471" cm="1">
        <f t="array" ref="B471">IF(MATCH(Table1[[#This Row],[Customer ID]], Table1[Customer ID], 0) = ROW() - ROW(Table1[#Headers]), 1, 0)</f>
        <v>1</v>
      </c>
      <c r="C471" t="s">
        <v>503</v>
      </c>
      <c r="D471" s="2">
        <v>45741</v>
      </c>
      <c r="E471">
        <v>35</v>
      </c>
      <c r="F471" t="str" cm="1">
        <f t="array" ref="F471">_xlfn.IFS( Table1[[#This Row],[Age]]&lt;18, "&lt;18", Table1[[#This Row],[Age]]&lt;= 29, "18-29", Table1[[#This Row],[Age]]&lt;= 44, "30-44",  Table1[[#This Row],[Age]]&lt;=59, "45-59", TRUE, "60+")</f>
        <v>30-44</v>
      </c>
      <c r="G471" t="s">
        <v>258</v>
      </c>
      <c r="H471" t="s">
        <v>36</v>
      </c>
      <c r="I471" t="s">
        <v>21</v>
      </c>
      <c r="J471">
        <v>4</v>
      </c>
      <c r="K471" t="s">
        <v>114</v>
      </c>
      <c r="L471" t="str" cm="1">
        <f t="array" ref="L471">_xlfn.IFS(Table1[[#This Row],[Customer Tenure in months]]&lt;=6, "0-6 months", Table1[[#This Row],[Customer Tenure in months]] &lt;=12, "7-12 months", Table1[[#This Row],[Customer Tenure in months]] &lt;=24, "1-2 years", TRUE, "2+ years")</f>
        <v>2+ years</v>
      </c>
      <c r="M471">
        <v>50</v>
      </c>
      <c r="N471" t="s">
        <v>71</v>
      </c>
      <c r="O471" s="1">
        <v>14500</v>
      </c>
      <c r="P471">
        <v>17</v>
      </c>
      <c r="Q471" s="1">
        <v>246500</v>
      </c>
      <c r="R471">
        <v>191.42</v>
      </c>
      <c r="S471" t="s">
        <v>1091</v>
      </c>
      <c r="T471" t="s">
        <v>39</v>
      </c>
    </row>
    <row r="472" spans="1:20" x14ac:dyDescent="0.35">
      <c r="A472" s="22" t="s">
        <v>571</v>
      </c>
      <c r="B472" cm="1">
        <f t="array" ref="B472">IF(MATCH(Table1[[#This Row],[Customer ID]], Table1[Customer ID], 0) = ROW() - ROW(Table1[#Headers]), 1, 0)</f>
        <v>0</v>
      </c>
      <c r="C472" t="s">
        <v>503</v>
      </c>
      <c r="D472" s="2">
        <v>45741</v>
      </c>
      <c r="E472">
        <v>35</v>
      </c>
      <c r="F472" t="str" cm="1">
        <f t="array" ref="F472">_xlfn.IFS( Table1[[#This Row],[Age]]&lt;18, "&lt;18", Table1[[#This Row],[Age]]&lt;= 29, "18-29", Table1[[#This Row],[Age]]&lt;= 44, "30-44",  Table1[[#This Row],[Age]]&lt;=59, "45-59", TRUE, "60+")</f>
        <v>30-44</v>
      </c>
      <c r="G472" t="s">
        <v>258</v>
      </c>
      <c r="H472" t="s">
        <v>41</v>
      </c>
      <c r="I472" t="s">
        <v>21</v>
      </c>
      <c r="J472">
        <v>4</v>
      </c>
      <c r="K472" t="s">
        <v>114</v>
      </c>
      <c r="L472" t="str" cm="1">
        <f t="array" ref="L472">_xlfn.IFS(Table1[[#This Row],[Customer Tenure in months]]&lt;=6, "0-6 months", Table1[[#This Row],[Customer Tenure in months]] &lt;=12, "7-12 months", Table1[[#This Row],[Customer Tenure in months]] &lt;=24, "1-2 years", TRUE, "2+ years")</f>
        <v>2+ years</v>
      </c>
      <c r="M472">
        <v>50</v>
      </c>
      <c r="N472" t="s">
        <v>42</v>
      </c>
      <c r="O472" s="1">
        <v>9000</v>
      </c>
      <c r="P472">
        <v>6</v>
      </c>
      <c r="Q472" s="1">
        <v>54000</v>
      </c>
      <c r="R472">
        <v>157.36000000000001</v>
      </c>
      <c r="S472" t="s">
        <v>1091</v>
      </c>
      <c r="T472" t="s">
        <v>39</v>
      </c>
    </row>
    <row r="473" spans="1:20" x14ac:dyDescent="0.35">
      <c r="A473" s="22" t="s">
        <v>571</v>
      </c>
      <c r="B473" cm="1">
        <f t="array" ref="B473">IF(MATCH(Table1[[#This Row],[Customer ID]], Table1[Customer ID], 0) = ROW() - ROW(Table1[#Headers]), 1, 0)</f>
        <v>0</v>
      </c>
      <c r="C473" t="s">
        <v>503</v>
      </c>
      <c r="D473" s="2">
        <v>45741</v>
      </c>
      <c r="E473">
        <v>35</v>
      </c>
      <c r="F473" t="str" cm="1">
        <f t="array" ref="F473">_xlfn.IFS( Table1[[#This Row],[Age]]&lt;18, "&lt;18", Table1[[#This Row],[Age]]&lt;= 29, "18-29", Table1[[#This Row],[Age]]&lt;= 44, "30-44",  Table1[[#This Row],[Age]]&lt;=59, "45-59", TRUE, "60+")</f>
        <v>30-44</v>
      </c>
      <c r="G473" t="s">
        <v>258</v>
      </c>
      <c r="H473" t="s">
        <v>20</v>
      </c>
      <c r="I473" t="s">
        <v>21</v>
      </c>
      <c r="J473">
        <v>4</v>
      </c>
      <c r="K473" t="s">
        <v>114</v>
      </c>
      <c r="L473" t="str" cm="1">
        <f t="array" ref="L473">_xlfn.IFS(Table1[[#This Row],[Customer Tenure in months]]&lt;=6, "0-6 months", Table1[[#This Row],[Customer Tenure in months]] &lt;=12, "7-12 months", Table1[[#This Row],[Customer Tenure in months]] &lt;=24, "1-2 years", TRUE, "2+ years")</f>
        <v>2+ years</v>
      </c>
      <c r="M473">
        <v>50</v>
      </c>
      <c r="N473" t="s">
        <v>23</v>
      </c>
      <c r="O473" s="1">
        <v>35000</v>
      </c>
      <c r="P473">
        <v>13</v>
      </c>
      <c r="Q473" s="1">
        <v>455000</v>
      </c>
      <c r="R473">
        <v>108.84</v>
      </c>
      <c r="S473" t="s">
        <v>1091</v>
      </c>
      <c r="T473" t="s">
        <v>39</v>
      </c>
    </row>
    <row r="474" spans="1:20" x14ac:dyDescent="0.35">
      <c r="A474" s="22" t="s">
        <v>572</v>
      </c>
      <c r="B474" cm="1">
        <f t="array" ref="B474">IF(MATCH(Table1[[#This Row],[Customer ID]], Table1[Customer ID], 0) = ROW() - ROW(Table1[#Headers]), 1, 0)</f>
        <v>1</v>
      </c>
      <c r="C474" t="s">
        <v>573</v>
      </c>
      <c r="D474" s="2">
        <v>45741</v>
      </c>
      <c r="E474">
        <v>60</v>
      </c>
      <c r="F474" t="str" cm="1">
        <f t="array" ref="F474">_xlfn.IFS( Table1[[#This Row],[Age]]&lt;18, "&lt;18", Table1[[#This Row],[Age]]&lt;= 29, "18-29", Table1[[#This Row],[Age]]&lt;= 44, "30-44",  Table1[[#This Row],[Age]]&lt;=59, "45-59", TRUE, "60+")</f>
        <v>60+</v>
      </c>
      <c r="G474" t="s">
        <v>113</v>
      </c>
      <c r="H474" t="s">
        <v>29</v>
      </c>
      <c r="I474" t="s">
        <v>21</v>
      </c>
      <c r="J474">
        <v>3</v>
      </c>
      <c r="K474" t="s">
        <v>50</v>
      </c>
      <c r="L474" t="str" cm="1">
        <f t="array" ref="L474">_xlfn.IFS(Table1[[#This Row],[Customer Tenure in months]]&lt;=6, "0-6 months", Table1[[#This Row],[Customer Tenure in months]] &lt;=12, "7-12 months", Table1[[#This Row],[Customer Tenure in months]] &lt;=24, "1-2 years", TRUE, "2+ years")</f>
        <v>2+ years</v>
      </c>
      <c r="M474">
        <v>43</v>
      </c>
      <c r="N474" t="s">
        <v>193</v>
      </c>
      <c r="O474" s="1">
        <v>6500</v>
      </c>
      <c r="P474">
        <v>1</v>
      </c>
      <c r="Q474" s="1">
        <v>6500</v>
      </c>
      <c r="R474">
        <v>164.83</v>
      </c>
      <c r="S474" t="s">
        <v>1091</v>
      </c>
      <c r="T474" t="s">
        <v>39</v>
      </c>
    </row>
    <row r="475" spans="1:20" x14ac:dyDescent="0.35">
      <c r="A475" s="22" t="s">
        <v>574</v>
      </c>
      <c r="B475" cm="1">
        <f t="array" ref="B475">IF(MATCH(Table1[[#This Row],[Customer ID]], Table1[Customer ID], 0) = ROW() - ROW(Table1[#Headers]), 1, 0)</f>
        <v>1</v>
      </c>
      <c r="C475" t="s">
        <v>575</v>
      </c>
      <c r="D475" s="2">
        <v>45713</v>
      </c>
      <c r="E475">
        <v>60</v>
      </c>
      <c r="F475" t="str" cm="1">
        <f t="array" ref="F475">_xlfn.IFS( Table1[[#This Row],[Age]]&lt;18, "&lt;18", Table1[[#This Row],[Age]]&lt;= 29, "18-29", Table1[[#This Row],[Age]]&lt;= 44, "30-44",  Table1[[#This Row],[Age]]&lt;=59, "45-59", TRUE, "60+")</f>
        <v>60+</v>
      </c>
      <c r="G475" t="s">
        <v>198</v>
      </c>
      <c r="H475" t="s">
        <v>29</v>
      </c>
      <c r="I475" t="s">
        <v>21</v>
      </c>
      <c r="J475">
        <v>1</v>
      </c>
      <c r="K475" t="s">
        <v>37</v>
      </c>
      <c r="L475" t="str" cm="1">
        <f t="array" ref="L475">_xlfn.IFS(Table1[[#This Row],[Customer Tenure in months]]&lt;=6, "0-6 months", Table1[[#This Row],[Customer Tenure in months]] &lt;=12, "7-12 months", Table1[[#This Row],[Customer Tenure in months]] &lt;=24, "1-2 years", TRUE, "2+ years")</f>
        <v>2+ years</v>
      </c>
      <c r="M475">
        <v>58</v>
      </c>
      <c r="N475" t="s">
        <v>87</v>
      </c>
      <c r="O475" s="1">
        <v>7500</v>
      </c>
      <c r="P475">
        <v>10</v>
      </c>
      <c r="Q475" s="1">
        <v>75000</v>
      </c>
      <c r="R475">
        <v>51.69</v>
      </c>
      <c r="S475" t="s">
        <v>1091</v>
      </c>
      <c r="T475" t="s">
        <v>39</v>
      </c>
    </row>
    <row r="476" spans="1:20" x14ac:dyDescent="0.35">
      <c r="A476" s="22" t="s">
        <v>574</v>
      </c>
      <c r="B476" cm="1">
        <f t="array" ref="B476">IF(MATCH(Table1[[#This Row],[Customer ID]], Table1[Customer ID], 0) = ROW() - ROW(Table1[#Headers]), 1, 0)</f>
        <v>0</v>
      </c>
      <c r="C476" t="s">
        <v>575</v>
      </c>
      <c r="D476" s="2">
        <v>45713</v>
      </c>
      <c r="E476">
        <v>60</v>
      </c>
      <c r="F476" t="str" cm="1">
        <f t="array" ref="F476">_xlfn.IFS( Table1[[#This Row],[Age]]&lt;18, "&lt;18", Table1[[#This Row],[Age]]&lt;= 29, "18-29", Table1[[#This Row],[Age]]&lt;= 44, "30-44",  Table1[[#This Row],[Age]]&lt;=59, "45-59", TRUE, "60+")</f>
        <v>60+</v>
      </c>
      <c r="G476" t="s">
        <v>198</v>
      </c>
      <c r="H476" t="s">
        <v>41</v>
      </c>
      <c r="I476" t="s">
        <v>21</v>
      </c>
      <c r="J476">
        <v>1</v>
      </c>
      <c r="K476" t="s">
        <v>37</v>
      </c>
      <c r="L476" t="str" cm="1">
        <f t="array" ref="L476">_xlfn.IFS(Table1[[#This Row],[Customer Tenure in months]]&lt;=6, "0-6 months", Table1[[#This Row],[Customer Tenure in months]] &lt;=12, "7-12 months", Table1[[#This Row],[Customer Tenure in months]] &lt;=24, "1-2 years", TRUE, "2+ years")</f>
        <v>2+ years</v>
      </c>
      <c r="M476">
        <v>58</v>
      </c>
      <c r="N476" t="s">
        <v>42</v>
      </c>
      <c r="O476" s="1">
        <v>9000</v>
      </c>
      <c r="P476">
        <v>12</v>
      </c>
      <c r="Q476" s="1">
        <v>108000</v>
      </c>
      <c r="R476">
        <v>182.31</v>
      </c>
      <c r="S476" t="s">
        <v>1091</v>
      </c>
      <c r="T476" t="s">
        <v>39</v>
      </c>
    </row>
    <row r="477" spans="1:20" x14ac:dyDescent="0.35">
      <c r="A477" s="22" t="s">
        <v>576</v>
      </c>
      <c r="B477" cm="1">
        <f t="array" ref="B477">IF(MATCH(Table1[[#This Row],[Customer ID]], Table1[Customer ID], 0) = ROW() - ROW(Table1[#Headers]), 1, 0)</f>
        <v>1</v>
      </c>
      <c r="C477" t="s">
        <v>577</v>
      </c>
      <c r="D477" s="2">
        <v>45713</v>
      </c>
      <c r="E477">
        <v>73</v>
      </c>
      <c r="F477" t="str" cm="1">
        <f t="array" ref="F477">_xlfn.IFS( Table1[[#This Row],[Age]]&lt;18, "&lt;18", Table1[[#This Row],[Age]]&lt;= 29, "18-29", Table1[[#This Row],[Age]]&lt;= 44, "30-44",  Table1[[#This Row],[Age]]&lt;=59, "45-59", TRUE, "60+")</f>
        <v>60+</v>
      </c>
      <c r="G477" t="s">
        <v>90</v>
      </c>
      <c r="H477" t="s">
        <v>20</v>
      </c>
      <c r="I477" t="s">
        <v>21</v>
      </c>
      <c r="J477">
        <v>3</v>
      </c>
      <c r="K477" t="s">
        <v>50</v>
      </c>
      <c r="L477" t="str" cm="1">
        <f t="array" ref="L477">_xlfn.IFS(Table1[[#This Row],[Customer Tenure in months]]&lt;=6, "0-6 months", Table1[[#This Row],[Customer Tenure in months]] &lt;=12, "7-12 months", Table1[[#This Row],[Customer Tenure in months]] &lt;=24, "1-2 years", TRUE, "2+ years")</f>
        <v>1-2 years</v>
      </c>
      <c r="M477">
        <v>19</v>
      </c>
      <c r="N477" t="s">
        <v>58</v>
      </c>
      <c r="O477" s="1">
        <v>16000</v>
      </c>
      <c r="P477">
        <v>7</v>
      </c>
      <c r="Q477" s="1">
        <v>112000</v>
      </c>
      <c r="R477">
        <v>125.57</v>
      </c>
      <c r="S477" t="s">
        <v>1091</v>
      </c>
      <c r="T477" t="s">
        <v>39</v>
      </c>
    </row>
    <row r="478" spans="1:20" x14ac:dyDescent="0.35">
      <c r="A478" s="22" t="s">
        <v>578</v>
      </c>
      <c r="B478" cm="1">
        <f t="array" ref="B478">IF(MATCH(Table1[[#This Row],[Customer ID]], Table1[Customer ID], 0) = ROW() - ROW(Table1[#Headers]), 1, 0)</f>
        <v>1</v>
      </c>
      <c r="C478" t="s">
        <v>579</v>
      </c>
      <c r="D478" s="2">
        <v>45713</v>
      </c>
      <c r="E478">
        <v>70</v>
      </c>
      <c r="F478" t="str" cm="1">
        <f t="array" ref="F478">_xlfn.IFS( Table1[[#This Row],[Age]]&lt;18, "&lt;18", Table1[[#This Row],[Age]]&lt;= 29, "18-29", Table1[[#This Row],[Age]]&lt;= 44, "30-44",  Table1[[#This Row],[Age]]&lt;=59, "45-59", TRUE, "60+")</f>
        <v>60+</v>
      </c>
      <c r="G478" t="s">
        <v>95</v>
      </c>
      <c r="H478" t="s">
        <v>41</v>
      </c>
      <c r="I478" t="s">
        <v>21</v>
      </c>
      <c r="J478">
        <v>1</v>
      </c>
      <c r="K478" t="s">
        <v>37</v>
      </c>
      <c r="L478" t="str" cm="1">
        <f t="array" ref="L478">_xlfn.IFS(Table1[[#This Row],[Customer Tenure in months]]&lt;=6, "0-6 months", Table1[[#This Row],[Customer Tenure in months]] &lt;=12, "7-12 months", Table1[[#This Row],[Customer Tenure in months]] &lt;=24, "1-2 years", TRUE, "2+ years")</f>
        <v>2+ years</v>
      </c>
      <c r="M478">
        <v>35</v>
      </c>
      <c r="N478" t="s">
        <v>71</v>
      </c>
      <c r="O478" s="1">
        <v>14500</v>
      </c>
      <c r="P478">
        <v>2</v>
      </c>
      <c r="Q478" s="1">
        <v>29000</v>
      </c>
      <c r="R478">
        <v>143.52000000000001</v>
      </c>
      <c r="S478" t="s">
        <v>1091</v>
      </c>
      <c r="T478" t="s">
        <v>39</v>
      </c>
    </row>
    <row r="479" spans="1:20" x14ac:dyDescent="0.35">
      <c r="A479" s="22" t="s">
        <v>580</v>
      </c>
      <c r="B479" cm="1">
        <f t="array" ref="B479">IF(MATCH(Table1[[#This Row],[Customer ID]], Table1[Customer ID], 0) = ROW() - ROW(Table1[#Headers]), 1, 0)</f>
        <v>1</v>
      </c>
      <c r="C479" t="s">
        <v>581</v>
      </c>
      <c r="D479" s="2">
        <v>45741</v>
      </c>
      <c r="E479">
        <v>25</v>
      </c>
      <c r="F479" t="str" cm="1">
        <f t="array" ref="F479">_xlfn.IFS( Table1[[#This Row],[Age]]&lt;18, "&lt;18", Table1[[#This Row],[Age]]&lt;= 29, "18-29", Table1[[#This Row],[Age]]&lt;= 44, "30-44",  Table1[[#This Row],[Age]]&lt;=59, "45-59", TRUE, "60+")</f>
        <v>18-29</v>
      </c>
      <c r="G479" t="s">
        <v>49</v>
      </c>
      <c r="H479" t="s">
        <v>36</v>
      </c>
      <c r="I479" t="s">
        <v>21</v>
      </c>
      <c r="J479">
        <v>5</v>
      </c>
      <c r="K479" t="s">
        <v>55</v>
      </c>
      <c r="L479" t="str" cm="1">
        <f t="array" ref="L479">_xlfn.IFS(Table1[[#This Row],[Customer Tenure in months]]&lt;=6, "0-6 months", Table1[[#This Row],[Customer Tenure in months]] &lt;=12, "7-12 months", Table1[[#This Row],[Customer Tenure in months]] &lt;=24, "1-2 years", TRUE, "2+ years")</f>
        <v>2+ years</v>
      </c>
      <c r="M479">
        <v>51</v>
      </c>
      <c r="N479" t="s">
        <v>105</v>
      </c>
      <c r="O479" s="1">
        <v>75000</v>
      </c>
      <c r="P479">
        <v>13</v>
      </c>
      <c r="Q479" s="1">
        <v>975000</v>
      </c>
      <c r="R479">
        <v>77.91</v>
      </c>
      <c r="S479" t="s">
        <v>32</v>
      </c>
      <c r="T479" t="s">
        <v>24</v>
      </c>
    </row>
    <row r="480" spans="1:20" x14ac:dyDescent="0.35">
      <c r="A480" s="22" t="s">
        <v>582</v>
      </c>
      <c r="B480" cm="1">
        <f t="array" ref="B480">IF(MATCH(Table1[[#This Row],[Customer ID]], Table1[Customer ID], 0) = ROW() - ROW(Table1[#Headers]), 1, 0)</f>
        <v>1</v>
      </c>
      <c r="C480" t="s">
        <v>583</v>
      </c>
      <c r="D480" s="2">
        <v>45682</v>
      </c>
      <c r="E480">
        <v>56</v>
      </c>
      <c r="F480" t="str" cm="1">
        <f t="array" ref="F480">_xlfn.IFS( Table1[[#This Row],[Age]]&lt;18, "&lt;18", Table1[[#This Row],[Age]]&lt;= 29, "18-29", Table1[[#This Row],[Age]]&lt;= 44, "30-44",  Table1[[#This Row],[Age]]&lt;=59, "45-59", TRUE, "60+")</f>
        <v>45-59</v>
      </c>
      <c r="G480" t="s">
        <v>118</v>
      </c>
      <c r="H480" t="s">
        <v>41</v>
      </c>
      <c r="I480" t="s">
        <v>30</v>
      </c>
      <c r="J480">
        <v>5</v>
      </c>
      <c r="K480" t="s">
        <v>55</v>
      </c>
      <c r="L480" t="str" cm="1">
        <f t="array" ref="L480">_xlfn.IFS(Table1[[#This Row],[Customer Tenure in months]]&lt;=6, "0-6 months", Table1[[#This Row],[Customer Tenure in months]] &lt;=12, "7-12 months", Table1[[#This Row],[Customer Tenure in months]] &lt;=24, "1-2 years", TRUE, "2+ years")</f>
        <v>2+ years</v>
      </c>
      <c r="M480">
        <v>44</v>
      </c>
      <c r="N480" t="s">
        <v>42</v>
      </c>
      <c r="O480" s="1">
        <v>9000</v>
      </c>
      <c r="P480">
        <v>17</v>
      </c>
      <c r="Q480" s="1">
        <v>153000</v>
      </c>
      <c r="R480">
        <v>71.86</v>
      </c>
      <c r="S480" t="s">
        <v>284</v>
      </c>
      <c r="T480" t="s">
        <v>24</v>
      </c>
    </row>
    <row r="481" spans="1:20" x14ac:dyDescent="0.35">
      <c r="A481" s="22" t="s">
        <v>582</v>
      </c>
      <c r="B481" cm="1">
        <f t="array" ref="B481">IF(MATCH(Table1[[#This Row],[Customer ID]], Table1[Customer ID], 0) = ROW() - ROW(Table1[#Headers]), 1, 0)</f>
        <v>0</v>
      </c>
      <c r="C481" t="s">
        <v>583</v>
      </c>
      <c r="D481" s="2">
        <v>45682</v>
      </c>
      <c r="E481">
        <v>56</v>
      </c>
      <c r="F481" t="str" cm="1">
        <f t="array" ref="F481">_xlfn.IFS( Table1[[#This Row],[Age]]&lt;18, "&lt;18", Table1[[#This Row],[Age]]&lt;= 29, "18-29", Table1[[#This Row],[Age]]&lt;= 44, "30-44",  Table1[[#This Row],[Age]]&lt;=59, "45-59", TRUE, "60+")</f>
        <v>45-59</v>
      </c>
      <c r="G481" t="s">
        <v>118</v>
      </c>
      <c r="H481" t="s">
        <v>36</v>
      </c>
      <c r="I481" t="s">
        <v>30</v>
      </c>
      <c r="J481">
        <v>5</v>
      </c>
      <c r="K481" t="s">
        <v>55</v>
      </c>
      <c r="L481" t="str" cm="1">
        <f t="array" ref="L481">_xlfn.IFS(Table1[[#This Row],[Customer Tenure in months]]&lt;=6, "0-6 months", Table1[[#This Row],[Customer Tenure in months]] &lt;=12, "7-12 months", Table1[[#This Row],[Customer Tenure in months]] &lt;=24, "1-2 years", TRUE, "2+ years")</f>
        <v>2+ years</v>
      </c>
      <c r="M481">
        <v>44</v>
      </c>
      <c r="N481" t="s">
        <v>38</v>
      </c>
      <c r="O481" s="1">
        <v>20000</v>
      </c>
      <c r="P481">
        <v>10</v>
      </c>
      <c r="Q481" s="1">
        <v>200000</v>
      </c>
      <c r="R481">
        <v>58.32</v>
      </c>
      <c r="S481" t="s">
        <v>284</v>
      </c>
      <c r="T481" t="s">
        <v>24</v>
      </c>
    </row>
    <row r="482" spans="1:20" x14ac:dyDescent="0.35">
      <c r="A482" s="22" t="s">
        <v>582</v>
      </c>
      <c r="B482" cm="1">
        <f t="array" ref="B482">IF(MATCH(Table1[[#This Row],[Customer ID]], Table1[Customer ID], 0) = ROW() - ROW(Table1[#Headers]), 1, 0)</f>
        <v>0</v>
      </c>
      <c r="C482" t="s">
        <v>583</v>
      </c>
      <c r="D482" s="2">
        <v>45682</v>
      </c>
      <c r="E482">
        <v>56</v>
      </c>
      <c r="F482" t="str" cm="1">
        <f t="array" ref="F482">_xlfn.IFS( Table1[[#This Row],[Age]]&lt;18, "&lt;18", Table1[[#This Row],[Age]]&lt;= 29, "18-29", Table1[[#This Row],[Age]]&lt;= 44, "30-44",  Table1[[#This Row],[Age]]&lt;=59, "45-59", TRUE, "60+")</f>
        <v>45-59</v>
      </c>
      <c r="G482" t="s">
        <v>118</v>
      </c>
      <c r="H482" t="s">
        <v>29</v>
      </c>
      <c r="I482" t="s">
        <v>30</v>
      </c>
      <c r="J482">
        <v>5</v>
      </c>
      <c r="K482" t="s">
        <v>55</v>
      </c>
      <c r="L482" t="str" cm="1">
        <f t="array" ref="L482">_xlfn.IFS(Table1[[#This Row],[Customer Tenure in months]]&lt;=6, "0-6 months", Table1[[#This Row],[Customer Tenure in months]] &lt;=12, "7-12 months", Table1[[#This Row],[Customer Tenure in months]] &lt;=24, "1-2 years", TRUE, "2+ years")</f>
        <v>2+ years</v>
      </c>
      <c r="M482">
        <v>44</v>
      </c>
      <c r="N482" t="s">
        <v>83</v>
      </c>
      <c r="O482" s="1">
        <v>1000</v>
      </c>
      <c r="P482">
        <v>15</v>
      </c>
      <c r="Q482" s="1">
        <v>15000</v>
      </c>
      <c r="R482">
        <v>56.66</v>
      </c>
      <c r="S482" t="s">
        <v>284</v>
      </c>
      <c r="T482" t="s">
        <v>24</v>
      </c>
    </row>
    <row r="483" spans="1:20" x14ac:dyDescent="0.35">
      <c r="A483" s="22" t="s">
        <v>584</v>
      </c>
      <c r="B483" cm="1">
        <f t="array" ref="B483">IF(MATCH(Table1[[#This Row],[Customer ID]], Table1[Customer ID], 0) = ROW() - ROW(Table1[#Headers]), 1, 0)</f>
        <v>1</v>
      </c>
      <c r="C483" t="s">
        <v>585</v>
      </c>
      <c r="D483" s="2">
        <v>45713</v>
      </c>
      <c r="E483">
        <v>66</v>
      </c>
      <c r="F483" t="str" cm="1">
        <f t="array" ref="F483">_xlfn.IFS( Table1[[#This Row],[Age]]&lt;18, "&lt;18", Table1[[#This Row],[Age]]&lt;= 29, "18-29", Table1[[#This Row],[Age]]&lt;= 44, "30-44",  Table1[[#This Row],[Age]]&lt;=59, "45-59", TRUE, "60+")</f>
        <v>60+</v>
      </c>
      <c r="G483" t="s">
        <v>118</v>
      </c>
      <c r="H483" t="s">
        <v>36</v>
      </c>
      <c r="I483" t="s">
        <v>30</v>
      </c>
      <c r="J483">
        <v>2</v>
      </c>
      <c r="K483" t="s">
        <v>22</v>
      </c>
      <c r="L483" t="str" cm="1">
        <f t="array" ref="L483">_xlfn.IFS(Table1[[#This Row],[Customer Tenure in months]]&lt;=6, "0-6 months", Table1[[#This Row],[Customer Tenure in months]] &lt;=12, "7-12 months", Table1[[#This Row],[Customer Tenure in months]] &lt;=24, "1-2 years", TRUE, "2+ years")</f>
        <v>7-12 months</v>
      </c>
      <c r="M483">
        <v>11</v>
      </c>
      <c r="N483" t="s">
        <v>62</v>
      </c>
      <c r="O483" s="1">
        <v>24000</v>
      </c>
      <c r="P483">
        <v>12</v>
      </c>
      <c r="Q483" s="1">
        <v>288000</v>
      </c>
      <c r="R483">
        <v>135.62</v>
      </c>
      <c r="S483" t="s">
        <v>1091</v>
      </c>
      <c r="T483" t="s">
        <v>39</v>
      </c>
    </row>
    <row r="484" spans="1:20" x14ac:dyDescent="0.35">
      <c r="A484" s="22" t="s">
        <v>584</v>
      </c>
      <c r="B484" cm="1">
        <f t="array" ref="B484">IF(MATCH(Table1[[#This Row],[Customer ID]], Table1[Customer ID], 0) = ROW() - ROW(Table1[#Headers]), 1, 0)</f>
        <v>0</v>
      </c>
      <c r="C484" t="s">
        <v>585</v>
      </c>
      <c r="D484" s="2">
        <v>45713</v>
      </c>
      <c r="E484">
        <v>66</v>
      </c>
      <c r="F484" t="str" cm="1">
        <f t="array" ref="F484">_xlfn.IFS( Table1[[#This Row],[Age]]&lt;18, "&lt;18", Table1[[#This Row],[Age]]&lt;= 29, "18-29", Table1[[#This Row],[Age]]&lt;= 44, "30-44",  Table1[[#This Row],[Age]]&lt;=59, "45-59", TRUE, "60+")</f>
        <v>60+</v>
      </c>
      <c r="G484" t="s">
        <v>118</v>
      </c>
      <c r="H484" t="s">
        <v>29</v>
      </c>
      <c r="I484" t="s">
        <v>30</v>
      </c>
      <c r="J484">
        <v>2</v>
      </c>
      <c r="K484" t="s">
        <v>22</v>
      </c>
      <c r="L484" t="str" cm="1">
        <f t="array" ref="L484">_xlfn.IFS(Table1[[#This Row],[Customer Tenure in months]]&lt;=6, "0-6 months", Table1[[#This Row],[Customer Tenure in months]] &lt;=12, "7-12 months", Table1[[#This Row],[Customer Tenure in months]] &lt;=24, "1-2 years", TRUE, "2+ years")</f>
        <v>7-12 months</v>
      </c>
      <c r="M484">
        <v>11</v>
      </c>
      <c r="N484" t="s">
        <v>102</v>
      </c>
      <c r="O484" s="1">
        <v>900</v>
      </c>
      <c r="P484">
        <v>18</v>
      </c>
      <c r="Q484" s="1">
        <v>16200</v>
      </c>
      <c r="R484">
        <v>110.93</v>
      </c>
      <c r="S484" t="s">
        <v>1091</v>
      </c>
      <c r="T484" t="s">
        <v>39</v>
      </c>
    </row>
    <row r="485" spans="1:20" x14ac:dyDescent="0.35">
      <c r="A485" s="22" t="s">
        <v>584</v>
      </c>
      <c r="B485" cm="1">
        <f t="array" ref="B485">IF(MATCH(Table1[[#This Row],[Customer ID]], Table1[Customer ID], 0) = ROW() - ROW(Table1[#Headers]), 1, 0)</f>
        <v>0</v>
      </c>
      <c r="C485" t="s">
        <v>585</v>
      </c>
      <c r="D485" s="2">
        <v>45713</v>
      </c>
      <c r="E485">
        <v>66</v>
      </c>
      <c r="F485" t="str" cm="1">
        <f t="array" ref="F485">_xlfn.IFS( Table1[[#This Row],[Age]]&lt;18, "&lt;18", Table1[[#This Row],[Age]]&lt;= 29, "18-29", Table1[[#This Row],[Age]]&lt;= 44, "30-44",  Table1[[#This Row],[Age]]&lt;=59, "45-59", TRUE, "60+")</f>
        <v>60+</v>
      </c>
      <c r="G485" t="s">
        <v>118</v>
      </c>
      <c r="H485" t="s">
        <v>41</v>
      </c>
      <c r="I485" t="s">
        <v>30</v>
      </c>
      <c r="J485">
        <v>2</v>
      </c>
      <c r="K485" t="s">
        <v>22</v>
      </c>
      <c r="L485" t="str" cm="1">
        <f t="array" ref="L485">_xlfn.IFS(Table1[[#This Row],[Customer Tenure in months]]&lt;=6, "0-6 months", Table1[[#This Row],[Customer Tenure in months]] &lt;=12, "7-12 months", Table1[[#This Row],[Customer Tenure in months]] &lt;=24, "1-2 years", TRUE, "2+ years")</f>
        <v>7-12 months</v>
      </c>
      <c r="M485">
        <v>11</v>
      </c>
      <c r="N485" t="s">
        <v>38</v>
      </c>
      <c r="O485" s="1">
        <v>20000</v>
      </c>
      <c r="P485">
        <v>1</v>
      </c>
      <c r="Q485" s="1">
        <v>20000</v>
      </c>
      <c r="R485">
        <v>25.09</v>
      </c>
      <c r="S485" t="s">
        <v>1091</v>
      </c>
      <c r="T485" t="s">
        <v>39</v>
      </c>
    </row>
    <row r="486" spans="1:20" x14ac:dyDescent="0.35">
      <c r="A486" s="22" t="s">
        <v>586</v>
      </c>
      <c r="B486" cm="1">
        <f t="array" ref="B486">IF(MATCH(Table1[[#This Row],[Customer ID]], Table1[Customer ID], 0) = ROW() - ROW(Table1[#Headers]), 1, 0)</f>
        <v>1</v>
      </c>
      <c r="C486" t="s">
        <v>587</v>
      </c>
      <c r="D486" s="2">
        <v>45741</v>
      </c>
      <c r="E486">
        <v>26</v>
      </c>
      <c r="F486" t="str" cm="1">
        <f t="array" ref="F486">_xlfn.IFS( Table1[[#This Row],[Age]]&lt;18, "&lt;18", Table1[[#This Row],[Age]]&lt;= 29, "18-29", Table1[[#This Row],[Age]]&lt;= 44, "30-44",  Table1[[#This Row],[Age]]&lt;=59, "45-59", TRUE, "60+")</f>
        <v>18-29</v>
      </c>
      <c r="G486" t="s">
        <v>149</v>
      </c>
      <c r="H486" t="s">
        <v>20</v>
      </c>
      <c r="I486" t="s">
        <v>21</v>
      </c>
      <c r="J486">
        <v>2</v>
      </c>
      <c r="K486" t="s">
        <v>22</v>
      </c>
      <c r="L486" t="str" cm="1">
        <f t="array" ref="L486">_xlfn.IFS(Table1[[#This Row],[Customer Tenure in months]]&lt;=6, "0-6 months", Table1[[#This Row],[Customer Tenure in months]] &lt;=12, "7-12 months", Table1[[#This Row],[Customer Tenure in months]] &lt;=24, "1-2 years", TRUE, "2+ years")</f>
        <v>2+ years</v>
      </c>
      <c r="M486">
        <v>48</v>
      </c>
      <c r="N486" t="s">
        <v>46</v>
      </c>
      <c r="O486" s="1">
        <v>4500</v>
      </c>
      <c r="P486">
        <v>9</v>
      </c>
      <c r="Q486" s="1">
        <v>40500</v>
      </c>
      <c r="R486">
        <v>123.57</v>
      </c>
      <c r="S486" t="s">
        <v>1091</v>
      </c>
      <c r="T486" t="s">
        <v>39</v>
      </c>
    </row>
    <row r="487" spans="1:20" x14ac:dyDescent="0.35">
      <c r="A487" s="22" t="s">
        <v>586</v>
      </c>
      <c r="B487" cm="1">
        <f t="array" ref="B487">IF(MATCH(Table1[[#This Row],[Customer ID]], Table1[Customer ID], 0) = ROW() - ROW(Table1[#Headers]), 1, 0)</f>
        <v>0</v>
      </c>
      <c r="C487" t="s">
        <v>587</v>
      </c>
      <c r="D487" s="2">
        <v>45741</v>
      </c>
      <c r="E487">
        <v>26</v>
      </c>
      <c r="F487" t="str" cm="1">
        <f t="array" ref="F487">_xlfn.IFS( Table1[[#This Row],[Age]]&lt;18, "&lt;18", Table1[[#This Row],[Age]]&lt;= 29, "18-29", Table1[[#This Row],[Age]]&lt;= 44, "30-44",  Table1[[#This Row],[Age]]&lt;=59, "45-59", TRUE, "60+")</f>
        <v>18-29</v>
      </c>
      <c r="G487" t="s">
        <v>149</v>
      </c>
      <c r="H487" t="s">
        <v>41</v>
      </c>
      <c r="I487" t="s">
        <v>21</v>
      </c>
      <c r="J487">
        <v>2</v>
      </c>
      <c r="K487" t="s">
        <v>22</v>
      </c>
      <c r="L487" t="str" cm="1">
        <f t="array" ref="L487">_xlfn.IFS(Table1[[#This Row],[Customer Tenure in months]]&lt;=6, "0-6 months", Table1[[#This Row],[Customer Tenure in months]] &lt;=12, "7-12 months", Table1[[#This Row],[Customer Tenure in months]] &lt;=24, "1-2 years", TRUE, "2+ years")</f>
        <v>2+ years</v>
      </c>
      <c r="M487">
        <v>48</v>
      </c>
      <c r="N487" t="s">
        <v>38</v>
      </c>
      <c r="O487" s="1">
        <v>20000</v>
      </c>
      <c r="P487">
        <v>19</v>
      </c>
      <c r="Q487" s="1">
        <v>380000</v>
      </c>
      <c r="R487">
        <v>23.37</v>
      </c>
      <c r="S487" t="s">
        <v>1091</v>
      </c>
      <c r="T487" t="s">
        <v>39</v>
      </c>
    </row>
    <row r="488" spans="1:20" x14ac:dyDescent="0.35">
      <c r="A488" s="22" t="s">
        <v>586</v>
      </c>
      <c r="B488" cm="1">
        <f t="array" ref="B488">IF(MATCH(Table1[[#This Row],[Customer ID]], Table1[Customer ID], 0) = ROW() - ROW(Table1[#Headers]), 1, 0)</f>
        <v>0</v>
      </c>
      <c r="C488" t="s">
        <v>587</v>
      </c>
      <c r="D488" s="2">
        <v>45741</v>
      </c>
      <c r="E488">
        <v>26</v>
      </c>
      <c r="F488" t="str" cm="1">
        <f t="array" ref="F488">_xlfn.IFS( Table1[[#This Row],[Age]]&lt;18, "&lt;18", Table1[[#This Row],[Age]]&lt;= 29, "18-29", Table1[[#This Row],[Age]]&lt;= 44, "30-44",  Table1[[#This Row],[Age]]&lt;=59, "45-59", TRUE, "60+")</f>
        <v>18-29</v>
      </c>
      <c r="G488" t="s">
        <v>149</v>
      </c>
      <c r="H488" t="s">
        <v>36</v>
      </c>
      <c r="I488" t="s">
        <v>21</v>
      </c>
      <c r="J488">
        <v>2</v>
      </c>
      <c r="K488" t="s">
        <v>22</v>
      </c>
      <c r="L488" t="str" cm="1">
        <f t="array" ref="L488">_xlfn.IFS(Table1[[#This Row],[Customer Tenure in months]]&lt;=6, "0-6 months", Table1[[#This Row],[Customer Tenure in months]] &lt;=12, "7-12 months", Table1[[#This Row],[Customer Tenure in months]] &lt;=24, "1-2 years", TRUE, "2+ years")</f>
        <v>2+ years</v>
      </c>
      <c r="M488">
        <v>48</v>
      </c>
      <c r="N488" t="s">
        <v>42</v>
      </c>
      <c r="O488" s="1">
        <v>9000</v>
      </c>
      <c r="P488">
        <v>18</v>
      </c>
      <c r="Q488" s="1">
        <v>162000</v>
      </c>
      <c r="R488">
        <v>170.35</v>
      </c>
      <c r="S488" t="s">
        <v>1091</v>
      </c>
      <c r="T488" t="s">
        <v>39</v>
      </c>
    </row>
    <row r="489" spans="1:20" x14ac:dyDescent="0.35">
      <c r="A489" s="22" t="s">
        <v>588</v>
      </c>
      <c r="B489" cm="1">
        <f t="array" ref="B489">IF(MATCH(Table1[[#This Row],[Customer ID]], Table1[Customer ID], 0) = ROW() - ROW(Table1[#Headers]), 1, 0)</f>
        <v>1</v>
      </c>
      <c r="C489" t="s">
        <v>589</v>
      </c>
      <c r="D489" s="2">
        <v>45682</v>
      </c>
      <c r="E489">
        <v>25</v>
      </c>
      <c r="F489" t="str" cm="1">
        <f t="array" ref="F489">_xlfn.IFS( Table1[[#This Row],[Age]]&lt;18, "&lt;18", Table1[[#This Row],[Age]]&lt;= 29, "18-29", Table1[[#This Row],[Age]]&lt;= 44, "30-44",  Table1[[#This Row],[Age]]&lt;=59, "45-59", TRUE, "60+")</f>
        <v>18-29</v>
      </c>
      <c r="G489" t="s">
        <v>101</v>
      </c>
      <c r="H489" t="s">
        <v>36</v>
      </c>
      <c r="I489" t="s">
        <v>21</v>
      </c>
      <c r="J489">
        <v>2</v>
      </c>
      <c r="K489" t="s">
        <v>22</v>
      </c>
      <c r="L489" t="str" cm="1">
        <f t="array" ref="L489">_xlfn.IFS(Table1[[#This Row],[Customer Tenure in months]]&lt;=6, "0-6 months", Table1[[#This Row],[Customer Tenure in months]] &lt;=12, "7-12 months", Table1[[#This Row],[Customer Tenure in months]] &lt;=24, "1-2 years", TRUE, "2+ years")</f>
        <v>1-2 years</v>
      </c>
      <c r="M489">
        <v>17</v>
      </c>
      <c r="N489" t="s">
        <v>65</v>
      </c>
      <c r="O489" s="1">
        <v>30000</v>
      </c>
      <c r="P489">
        <v>8</v>
      </c>
      <c r="Q489" s="1">
        <v>240000</v>
      </c>
      <c r="R489">
        <v>134.41999999999999</v>
      </c>
      <c r="S489" t="s">
        <v>1091</v>
      </c>
      <c r="T489" t="s">
        <v>39</v>
      </c>
    </row>
    <row r="490" spans="1:20" x14ac:dyDescent="0.35">
      <c r="A490" s="22" t="s">
        <v>588</v>
      </c>
      <c r="B490" cm="1">
        <f t="array" ref="B490">IF(MATCH(Table1[[#This Row],[Customer ID]], Table1[Customer ID], 0) = ROW() - ROW(Table1[#Headers]), 1, 0)</f>
        <v>0</v>
      </c>
      <c r="C490" t="s">
        <v>589</v>
      </c>
      <c r="D490" s="2">
        <v>45682</v>
      </c>
      <c r="E490">
        <v>25</v>
      </c>
      <c r="F490" t="str" cm="1">
        <f t="array" ref="F490">_xlfn.IFS( Table1[[#This Row],[Age]]&lt;18, "&lt;18", Table1[[#This Row],[Age]]&lt;= 29, "18-29", Table1[[#This Row],[Age]]&lt;= 44, "30-44",  Table1[[#This Row],[Age]]&lt;=59, "45-59", TRUE, "60+")</f>
        <v>18-29</v>
      </c>
      <c r="G490" t="s">
        <v>101</v>
      </c>
      <c r="H490" t="s">
        <v>20</v>
      </c>
      <c r="I490" t="s">
        <v>21</v>
      </c>
      <c r="J490">
        <v>2</v>
      </c>
      <c r="K490" t="s">
        <v>22</v>
      </c>
      <c r="L490" t="str" cm="1">
        <f t="array" ref="L490">_xlfn.IFS(Table1[[#This Row],[Customer Tenure in months]]&lt;=6, "0-6 months", Table1[[#This Row],[Customer Tenure in months]] &lt;=12, "7-12 months", Table1[[#This Row],[Customer Tenure in months]] &lt;=24, "1-2 years", TRUE, "2+ years")</f>
        <v>1-2 years</v>
      </c>
      <c r="M490">
        <v>17</v>
      </c>
      <c r="N490" t="s">
        <v>58</v>
      </c>
      <c r="O490" s="1">
        <v>16000</v>
      </c>
      <c r="P490">
        <v>3</v>
      </c>
      <c r="Q490" s="1">
        <v>48000</v>
      </c>
      <c r="R490">
        <v>57.38</v>
      </c>
      <c r="S490" t="s">
        <v>1091</v>
      </c>
      <c r="T490" t="s">
        <v>39</v>
      </c>
    </row>
    <row r="491" spans="1:20" x14ac:dyDescent="0.35">
      <c r="A491" s="22" t="s">
        <v>590</v>
      </c>
      <c r="B491" cm="1">
        <f t="array" ref="B491">IF(MATCH(Table1[[#This Row],[Customer ID]], Table1[Customer ID], 0) = ROW() - ROW(Table1[#Headers]), 1, 0)</f>
        <v>1</v>
      </c>
      <c r="C491" t="s">
        <v>591</v>
      </c>
      <c r="D491" s="2">
        <v>45741</v>
      </c>
      <c r="E491">
        <v>56</v>
      </c>
      <c r="F491" t="str" cm="1">
        <f t="array" ref="F491">_xlfn.IFS( Table1[[#This Row],[Age]]&lt;18, "&lt;18", Table1[[#This Row],[Age]]&lt;= 29, "18-29", Table1[[#This Row],[Age]]&lt;= 44, "30-44",  Table1[[#This Row],[Age]]&lt;=59, "45-59", TRUE, "60+")</f>
        <v>45-59</v>
      </c>
      <c r="G491" t="s">
        <v>90</v>
      </c>
      <c r="H491" t="s">
        <v>36</v>
      </c>
      <c r="I491" t="s">
        <v>30</v>
      </c>
      <c r="J491">
        <v>5</v>
      </c>
      <c r="K491" t="s">
        <v>55</v>
      </c>
      <c r="L491" t="str" cm="1">
        <f t="array" ref="L491">_xlfn.IFS(Table1[[#This Row],[Customer Tenure in months]]&lt;=6, "0-6 months", Table1[[#This Row],[Customer Tenure in months]] &lt;=12, "7-12 months", Table1[[#This Row],[Customer Tenure in months]] &lt;=24, "1-2 years", TRUE, "2+ years")</f>
        <v>1-2 years</v>
      </c>
      <c r="M491">
        <v>22</v>
      </c>
      <c r="N491" t="s">
        <v>65</v>
      </c>
      <c r="O491" s="1">
        <v>30000</v>
      </c>
      <c r="P491">
        <v>8</v>
      </c>
      <c r="Q491" s="1">
        <v>240000</v>
      </c>
      <c r="R491">
        <v>1.46</v>
      </c>
      <c r="S491" t="s">
        <v>25</v>
      </c>
      <c r="T491" t="s">
        <v>24</v>
      </c>
    </row>
    <row r="492" spans="1:20" x14ac:dyDescent="0.35">
      <c r="A492" s="22" t="s">
        <v>590</v>
      </c>
      <c r="B492" cm="1">
        <f t="array" ref="B492">IF(MATCH(Table1[[#This Row],[Customer ID]], Table1[Customer ID], 0) = ROW() - ROW(Table1[#Headers]), 1, 0)</f>
        <v>0</v>
      </c>
      <c r="C492" t="s">
        <v>591</v>
      </c>
      <c r="D492" s="2">
        <v>45741</v>
      </c>
      <c r="E492">
        <v>56</v>
      </c>
      <c r="F492" t="str" cm="1">
        <f t="array" ref="F492">_xlfn.IFS( Table1[[#This Row],[Age]]&lt;18, "&lt;18", Table1[[#This Row],[Age]]&lt;= 29, "18-29", Table1[[#This Row],[Age]]&lt;= 44, "30-44",  Table1[[#This Row],[Age]]&lt;=59, "45-59", TRUE, "60+")</f>
        <v>45-59</v>
      </c>
      <c r="G492" t="s">
        <v>90</v>
      </c>
      <c r="H492" t="s">
        <v>29</v>
      </c>
      <c r="I492" t="s">
        <v>30</v>
      </c>
      <c r="J492">
        <v>5</v>
      </c>
      <c r="K492" t="s">
        <v>55</v>
      </c>
      <c r="L492" t="str" cm="1">
        <f t="array" ref="L492">_xlfn.IFS(Table1[[#This Row],[Customer Tenure in months]]&lt;=6, "0-6 months", Table1[[#This Row],[Customer Tenure in months]] &lt;=12, "7-12 months", Table1[[#This Row],[Customer Tenure in months]] &lt;=24, "1-2 years", TRUE, "2+ years")</f>
        <v>1-2 years</v>
      </c>
      <c r="M492">
        <v>22</v>
      </c>
      <c r="N492" t="s">
        <v>46</v>
      </c>
      <c r="O492" s="1">
        <v>4500</v>
      </c>
      <c r="P492">
        <v>14</v>
      </c>
      <c r="Q492" s="1">
        <v>63000</v>
      </c>
      <c r="R492">
        <v>142.58000000000001</v>
      </c>
      <c r="S492" t="s">
        <v>25</v>
      </c>
      <c r="T492" t="s">
        <v>24</v>
      </c>
    </row>
    <row r="493" spans="1:20" x14ac:dyDescent="0.35">
      <c r="A493" s="22" t="s">
        <v>592</v>
      </c>
      <c r="B493" cm="1">
        <f t="array" ref="B493">IF(MATCH(Table1[[#This Row],[Customer ID]], Table1[Customer ID], 0) = ROW() - ROW(Table1[#Headers]), 1, 0)</f>
        <v>1</v>
      </c>
      <c r="C493" t="s">
        <v>593</v>
      </c>
      <c r="D493" s="2">
        <v>45713</v>
      </c>
      <c r="E493">
        <v>62</v>
      </c>
      <c r="F493" t="str" cm="1">
        <f t="array" ref="F493">_xlfn.IFS( Table1[[#This Row],[Age]]&lt;18, "&lt;18", Table1[[#This Row],[Age]]&lt;= 29, "18-29", Table1[[#This Row],[Age]]&lt;= 44, "30-44",  Table1[[#This Row],[Age]]&lt;=59, "45-59", TRUE, "60+")</f>
        <v>60+</v>
      </c>
      <c r="G493" t="s">
        <v>140</v>
      </c>
      <c r="H493" t="s">
        <v>29</v>
      </c>
      <c r="I493" t="s">
        <v>30</v>
      </c>
      <c r="J493">
        <v>4</v>
      </c>
      <c r="K493" t="s">
        <v>114</v>
      </c>
      <c r="L493" t="str" cm="1">
        <f t="array" ref="L493">_xlfn.IFS(Table1[[#This Row],[Customer Tenure in months]]&lt;=6, "0-6 months", Table1[[#This Row],[Customer Tenure in months]] &lt;=12, "7-12 months", Table1[[#This Row],[Customer Tenure in months]] &lt;=24, "1-2 years", TRUE, "2+ years")</f>
        <v>2+ years</v>
      </c>
      <c r="M493">
        <v>57</v>
      </c>
      <c r="N493" t="s">
        <v>83</v>
      </c>
      <c r="O493" s="1">
        <v>1000</v>
      </c>
      <c r="P493">
        <v>20</v>
      </c>
      <c r="Q493" s="1">
        <v>20000</v>
      </c>
      <c r="R493">
        <v>35.57</v>
      </c>
      <c r="S493" t="s">
        <v>1091</v>
      </c>
      <c r="T493" t="s">
        <v>39</v>
      </c>
    </row>
    <row r="494" spans="1:20" x14ac:dyDescent="0.35">
      <c r="A494" s="22" t="s">
        <v>592</v>
      </c>
      <c r="B494" cm="1">
        <f t="array" ref="B494">IF(MATCH(Table1[[#This Row],[Customer ID]], Table1[Customer ID], 0) = ROW() - ROW(Table1[#Headers]), 1, 0)</f>
        <v>0</v>
      </c>
      <c r="C494" t="s">
        <v>593</v>
      </c>
      <c r="D494" s="2">
        <v>45713</v>
      </c>
      <c r="E494">
        <v>62</v>
      </c>
      <c r="F494" t="str" cm="1">
        <f t="array" ref="F494">_xlfn.IFS( Table1[[#This Row],[Age]]&lt;18, "&lt;18", Table1[[#This Row],[Age]]&lt;= 29, "18-29", Table1[[#This Row],[Age]]&lt;= 44, "30-44",  Table1[[#This Row],[Age]]&lt;=59, "45-59", TRUE, "60+")</f>
        <v>60+</v>
      </c>
      <c r="G494" t="s">
        <v>140</v>
      </c>
      <c r="H494" t="s">
        <v>36</v>
      </c>
      <c r="I494" t="s">
        <v>30</v>
      </c>
      <c r="J494">
        <v>4</v>
      </c>
      <c r="K494" t="s">
        <v>114</v>
      </c>
      <c r="L494" t="str" cm="1">
        <f t="array" ref="L494">_xlfn.IFS(Table1[[#This Row],[Customer Tenure in months]]&lt;=6, "0-6 months", Table1[[#This Row],[Customer Tenure in months]] &lt;=12, "7-12 months", Table1[[#This Row],[Customer Tenure in months]] &lt;=24, "1-2 years", TRUE, "2+ years")</f>
        <v>2+ years</v>
      </c>
      <c r="M494">
        <v>57</v>
      </c>
      <c r="N494" t="s">
        <v>38</v>
      </c>
      <c r="O494" s="1">
        <v>20000</v>
      </c>
      <c r="P494">
        <v>5</v>
      </c>
      <c r="Q494" s="1">
        <v>100000</v>
      </c>
      <c r="R494">
        <v>168.44</v>
      </c>
      <c r="S494" t="s">
        <v>1091</v>
      </c>
      <c r="T494" t="s">
        <v>39</v>
      </c>
    </row>
    <row r="495" spans="1:20" x14ac:dyDescent="0.35">
      <c r="A495" s="22" t="s">
        <v>594</v>
      </c>
      <c r="B495" cm="1">
        <f t="array" ref="B495">IF(MATCH(Table1[[#This Row],[Customer ID]], Table1[Customer ID], 0) = ROW() - ROW(Table1[#Headers]), 1, 0)</f>
        <v>1</v>
      </c>
      <c r="C495" t="s">
        <v>595</v>
      </c>
      <c r="D495" s="2">
        <v>45682</v>
      </c>
      <c r="E495">
        <v>41</v>
      </c>
      <c r="F495" t="str" cm="1">
        <f t="array" ref="F495">_xlfn.IFS( Table1[[#This Row],[Age]]&lt;18, "&lt;18", Table1[[#This Row],[Age]]&lt;= 29, "18-29", Table1[[#This Row],[Age]]&lt;= 44, "30-44",  Table1[[#This Row],[Age]]&lt;=59, "45-59", TRUE, "60+")</f>
        <v>30-44</v>
      </c>
      <c r="G495" t="s">
        <v>143</v>
      </c>
      <c r="H495" t="s">
        <v>41</v>
      </c>
      <c r="I495" t="s">
        <v>21</v>
      </c>
      <c r="J495">
        <v>1</v>
      </c>
      <c r="K495" t="s">
        <v>37</v>
      </c>
      <c r="L495" t="str" cm="1">
        <f t="array" ref="L495">_xlfn.IFS(Table1[[#This Row],[Customer Tenure in months]]&lt;=6, "0-6 months", Table1[[#This Row],[Customer Tenure in months]] &lt;=12, "7-12 months", Table1[[#This Row],[Customer Tenure in months]] &lt;=24, "1-2 years", TRUE, "2+ years")</f>
        <v>2+ years</v>
      </c>
      <c r="M495">
        <v>47</v>
      </c>
      <c r="N495" t="s">
        <v>62</v>
      </c>
      <c r="O495" s="1">
        <v>24000</v>
      </c>
      <c r="P495">
        <v>2</v>
      </c>
      <c r="Q495" s="1">
        <v>48000</v>
      </c>
      <c r="R495">
        <v>42.95</v>
      </c>
      <c r="S495" t="s">
        <v>1091</v>
      </c>
      <c r="T495" t="s">
        <v>39</v>
      </c>
    </row>
    <row r="496" spans="1:20" x14ac:dyDescent="0.35">
      <c r="A496" s="22" t="s">
        <v>594</v>
      </c>
      <c r="B496" cm="1">
        <f t="array" ref="B496">IF(MATCH(Table1[[#This Row],[Customer ID]], Table1[Customer ID], 0) = ROW() - ROW(Table1[#Headers]), 1, 0)</f>
        <v>0</v>
      </c>
      <c r="C496" t="s">
        <v>595</v>
      </c>
      <c r="D496" s="2">
        <v>45682</v>
      </c>
      <c r="E496">
        <v>41</v>
      </c>
      <c r="F496" t="str" cm="1">
        <f t="array" ref="F496">_xlfn.IFS( Table1[[#This Row],[Age]]&lt;18, "&lt;18", Table1[[#This Row],[Age]]&lt;= 29, "18-29", Table1[[#This Row],[Age]]&lt;= 44, "30-44",  Table1[[#This Row],[Age]]&lt;=59, "45-59", TRUE, "60+")</f>
        <v>30-44</v>
      </c>
      <c r="G496" t="s">
        <v>143</v>
      </c>
      <c r="H496" t="s">
        <v>36</v>
      </c>
      <c r="I496" t="s">
        <v>21</v>
      </c>
      <c r="J496">
        <v>1</v>
      </c>
      <c r="K496" t="s">
        <v>37</v>
      </c>
      <c r="L496" t="str" cm="1">
        <f t="array" ref="L496">_xlfn.IFS(Table1[[#This Row],[Customer Tenure in months]]&lt;=6, "0-6 months", Table1[[#This Row],[Customer Tenure in months]] &lt;=12, "7-12 months", Table1[[#This Row],[Customer Tenure in months]] &lt;=24, "1-2 years", TRUE, "2+ years")</f>
        <v>2+ years</v>
      </c>
      <c r="M496">
        <v>47</v>
      </c>
      <c r="N496" t="s">
        <v>62</v>
      </c>
      <c r="O496" s="1">
        <v>24000</v>
      </c>
      <c r="P496">
        <v>18</v>
      </c>
      <c r="Q496" s="1">
        <v>432000</v>
      </c>
      <c r="R496">
        <v>108.92</v>
      </c>
      <c r="S496" t="s">
        <v>1091</v>
      </c>
      <c r="T496" t="s">
        <v>39</v>
      </c>
    </row>
    <row r="497" spans="1:20" x14ac:dyDescent="0.35">
      <c r="A497" s="22" t="s">
        <v>594</v>
      </c>
      <c r="B497" cm="1">
        <f t="array" ref="B497">IF(MATCH(Table1[[#This Row],[Customer ID]], Table1[Customer ID], 0) = ROW() - ROW(Table1[#Headers]), 1, 0)</f>
        <v>0</v>
      </c>
      <c r="C497" t="s">
        <v>595</v>
      </c>
      <c r="D497" s="2">
        <v>45682</v>
      </c>
      <c r="E497">
        <v>41</v>
      </c>
      <c r="F497" t="str" cm="1">
        <f t="array" ref="F497">_xlfn.IFS( Table1[[#This Row],[Age]]&lt;18, "&lt;18", Table1[[#This Row],[Age]]&lt;= 29, "18-29", Table1[[#This Row],[Age]]&lt;= 44, "30-44",  Table1[[#This Row],[Age]]&lt;=59, "45-59", TRUE, "60+")</f>
        <v>30-44</v>
      </c>
      <c r="G497" t="s">
        <v>143</v>
      </c>
      <c r="H497" t="s">
        <v>20</v>
      </c>
      <c r="I497" t="s">
        <v>21</v>
      </c>
      <c r="J497">
        <v>1</v>
      </c>
      <c r="K497" t="s">
        <v>37</v>
      </c>
      <c r="L497" t="str" cm="1">
        <f t="array" ref="L497">_xlfn.IFS(Table1[[#This Row],[Customer Tenure in months]]&lt;=6, "0-6 months", Table1[[#This Row],[Customer Tenure in months]] &lt;=12, "7-12 months", Table1[[#This Row],[Customer Tenure in months]] &lt;=24, "1-2 years", TRUE, "2+ years")</f>
        <v>2+ years</v>
      </c>
      <c r="M497">
        <v>47</v>
      </c>
      <c r="N497" t="s">
        <v>23</v>
      </c>
      <c r="O497" s="1">
        <v>35000</v>
      </c>
      <c r="P497">
        <v>5</v>
      </c>
      <c r="Q497" s="1">
        <v>175000</v>
      </c>
      <c r="R497">
        <v>130.94999999999999</v>
      </c>
      <c r="S497" t="s">
        <v>1091</v>
      </c>
      <c r="T497" t="s">
        <v>39</v>
      </c>
    </row>
    <row r="498" spans="1:20" x14ac:dyDescent="0.35">
      <c r="A498" s="22" t="s">
        <v>596</v>
      </c>
      <c r="B498" cm="1">
        <f t="array" ref="B498">IF(MATCH(Table1[[#This Row],[Customer ID]], Table1[Customer ID], 0) = ROW() - ROW(Table1[#Headers]), 1, 0)</f>
        <v>1</v>
      </c>
      <c r="C498" t="s">
        <v>597</v>
      </c>
      <c r="D498" s="2">
        <v>45713</v>
      </c>
      <c r="E498">
        <v>66</v>
      </c>
      <c r="F498" t="str" cm="1">
        <f t="array" ref="F498">_xlfn.IFS( Table1[[#This Row],[Age]]&lt;18, "&lt;18", Table1[[#This Row],[Age]]&lt;= 29, "18-29", Table1[[#This Row],[Age]]&lt;= 44, "30-44",  Table1[[#This Row],[Age]]&lt;=59, "45-59", TRUE, "60+")</f>
        <v>60+</v>
      </c>
      <c r="G498" t="s">
        <v>113</v>
      </c>
      <c r="H498" t="s">
        <v>36</v>
      </c>
      <c r="I498" t="s">
        <v>30</v>
      </c>
      <c r="J498">
        <v>5</v>
      </c>
      <c r="K498" t="s">
        <v>55</v>
      </c>
      <c r="L498" t="str" cm="1">
        <f t="array" ref="L498">_xlfn.IFS(Table1[[#This Row],[Customer Tenure in months]]&lt;=6, "0-6 months", Table1[[#This Row],[Customer Tenure in months]] &lt;=12, "7-12 months", Table1[[#This Row],[Customer Tenure in months]] &lt;=24, "1-2 years", TRUE, "2+ years")</f>
        <v>7-12 months</v>
      </c>
      <c r="M498">
        <v>9</v>
      </c>
      <c r="N498" t="s">
        <v>42</v>
      </c>
      <c r="O498" s="1">
        <v>9000</v>
      </c>
      <c r="P498">
        <v>20</v>
      </c>
      <c r="Q498" s="1">
        <v>180000</v>
      </c>
      <c r="R498">
        <v>132.69999999999999</v>
      </c>
      <c r="S498" t="s">
        <v>1091</v>
      </c>
      <c r="T498" t="s">
        <v>39</v>
      </c>
    </row>
    <row r="499" spans="1:20" x14ac:dyDescent="0.35">
      <c r="A499" s="22" t="s">
        <v>596</v>
      </c>
      <c r="B499" cm="1">
        <f t="array" ref="B499">IF(MATCH(Table1[[#This Row],[Customer ID]], Table1[Customer ID], 0) = ROW() - ROW(Table1[#Headers]), 1, 0)</f>
        <v>0</v>
      </c>
      <c r="C499" t="s">
        <v>597</v>
      </c>
      <c r="D499" s="2">
        <v>45713</v>
      </c>
      <c r="E499">
        <v>66</v>
      </c>
      <c r="F499" t="str" cm="1">
        <f t="array" ref="F499">_xlfn.IFS( Table1[[#This Row],[Age]]&lt;18, "&lt;18", Table1[[#This Row],[Age]]&lt;= 29, "18-29", Table1[[#This Row],[Age]]&lt;= 44, "30-44",  Table1[[#This Row],[Age]]&lt;=59, "45-59", TRUE, "60+")</f>
        <v>60+</v>
      </c>
      <c r="G499" t="s">
        <v>113</v>
      </c>
      <c r="H499" t="s">
        <v>29</v>
      </c>
      <c r="I499" t="s">
        <v>30</v>
      </c>
      <c r="J499">
        <v>5</v>
      </c>
      <c r="K499" t="s">
        <v>55</v>
      </c>
      <c r="L499" t="str" cm="1">
        <f t="array" ref="L499">_xlfn.IFS(Table1[[#This Row],[Customer Tenure in months]]&lt;=6, "0-6 months", Table1[[#This Row],[Customer Tenure in months]] &lt;=12, "7-12 months", Table1[[#This Row],[Customer Tenure in months]] &lt;=24, "1-2 years", TRUE, "2+ years")</f>
        <v>7-12 months</v>
      </c>
      <c r="M499">
        <v>9</v>
      </c>
      <c r="N499" t="s">
        <v>164</v>
      </c>
      <c r="O499" s="1">
        <v>600</v>
      </c>
      <c r="P499">
        <v>5</v>
      </c>
      <c r="Q499" s="1">
        <v>3000</v>
      </c>
      <c r="R499">
        <v>151.56</v>
      </c>
      <c r="S499" t="s">
        <v>1091</v>
      </c>
      <c r="T499" t="s">
        <v>39</v>
      </c>
    </row>
    <row r="500" spans="1:20" x14ac:dyDescent="0.35">
      <c r="A500" s="22" t="s">
        <v>598</v>
      </c>
      <c r="B500" cm="1">
        <f t="array" ref="B500">IF(MATCH(Table1[[#This Row],[Customer ID]], Table1[Customer ID], 0) = ROW() - ROW(Table1[#Headers]), 1, 0)</f>
        <v>1</v>
      </c>
      <c r="C500" t="s">
        <v>599</v>
      </c>
      <c r="D500" s="2">
        <v>45713</v>
      </c>
      <c r="E500">
        <v>36</v>
      </c>
      <c r="F500" t="str" cm="1">
        <f t="array" ref="F500">_xlfn.IFS( Table1[[#This Row],[Age]]&lt;18, "&lt;18", Table1[[#This Row],[Age]]&lt;= 29, "18-29", Table1[[#This Row],[Age]]&lt;= 44, "30-44",  Table1[[#This Row],[Age]]&lt;=59, "45-59", TRUE, "60+")</f>
        <v>30-44</v>
      </c>
      <c r="G500" t="s">
        <v>131</v>
      </c>
      <c r="H500" t="s">
        <v>20</v>
      </c>
      <c r="I500" t="s">
        <v>21</v>
      </c>
      <c r="J500">
        <v>3</v>
      </c>
      <c r="K500" t="s">
        <v>50</v>
      </c>
      <c r="L500" t="str" cm="1">
        <f t="array" ref="L500">_xlfn.IFS(Table1[[#This Row],[Customer Tenure in months]]&lt;=6, "0-6 months", Table1[[#This Row],[Customer Tenure in months]] &lt;=12, "7-12 months", Table1[[#This Row],[Customer Tenure in months]] &lt;=24, "1-2 years", TRUE, "2+ years")</f>
        <v>2+ years</v>
      </c>
      <c r="M500">
        <v>48</v>
      </c>
      <c r="N500" t="s">
        <v>51</v>
      </c>
      <c r="O500" s="1">
        <v>9000</v>
      </c>
      <c r="P500">
        <v>2</v>
      </c>
      <c r="Q500" s="1">
        <v>18000</v>
      </c>
      <c r="R500">
        <v>74.2</v>
      </c>
      <c r="S500" t="s">
        <v>32</v>
      </c>
      <c r="T500" t="s">
        <v>24</v>
      </c>
    </row>
    <row r="501" spans="1:20" x14ac:dyDescent="0.35">
      <c r="A501" s="22" t="s">
        <v>598</v>
      </c>
      <c r="B501" cm="1">
        <f t="array" ref="B501">IF(MATCH(Table1[[#This Row],[Customer ID]], Table1[Customer ID], 0) = ROW() - ROW(Table1[#Headers]), 1, 0)</f>
        <v>0</v>
      </c>
      <c r="C501" t="s">
        <v>599</v>
      </c>
      <c r="D501" s="2">
        <v>45713</v>
      </c>
      <c r="E501">
        <v>36</v>
      </c>
      <c r="F501" t="str" cm="1">
        <f t="array" ref="F501">_xlfn.IFS( Table1[[#This Row],[Age]]&lt;18, "&lt;18", Table1[[#This Row],[Age]]&lt;= 29, "18-29", Table1[[#This Row],[Age]]&lt;= 44, "30-44",  Table1[[#This Row],[Age]]&lt;=59, "45-59", TRUE, "60+")</f>
        <v>30-44</v>
      </c>
      <c r="G501" t="s">
        <v>131</v>
      </c>
      <c r="H501" t="s">
        <v>41</v>
      </c>
      <c r="I501" t="s">
        <v>21</v>
      </c>
      <c r="J501">
        <v>3</v>
      </c>
      <c r="K501" t="s">
        <v>50</v>
      </c>
      <c r="L501" t="str" cm="1">
        <f t="array" ref="L501">_xlfn.IFS(Table1[[#This Row],[Customer Tenure in months]]&lt;=6, "0-6 months", Table1[[#This Row],[Customer Tenure in months]] &lt;=12, "7-12 months", Table1[[#This Row],[Customer Tenure in months]] &lt;=24, "1-2 years", TRUE, "2+ years")</f>
        <v>2+ years</v>
      </c>
      <c r="M501">
        <v>48</v>
      </c>
      <c r="N501" t="s">
        <v>38</v>
      </c>
      <c r="O501" s="1">
        <v>20000</v>
      </c>
      <c r="P501">
        <v>12</v>
      </c>
      <c r="Q501" s="1">
        <v>240000</v>
      </c>
      <c r="R501">
        <v>103.82</v>
      </c>
      <c r="S501" t="s">
        <v>32</v>
      </c>
      <c r="T501" t="s">
        <v>24</v>
      </c>
    </row>
    <row r="502" spans="1:20" x14ac:dyDescent="0.35">
      <c r="A502" s="22" t="s">
        <v>600</v>
      </c>
      <c r="B502" cm="1">
        <f t="array" ref="B502">IF(MATCH(Table1[[#This Row],[Customer ID]], Table1[Customer ID], 0) = ROW() - ROW(Table1[#Headers]), 1, 0)</f>
        <v>1</v>
      </c>
      <c r="C502" t="s">
        <v>601</v>
      </c>
      <c r="D502" s="2">
        <v>45741</v>
      </c>
      <c r="E502">
        <v>76</v>
      </c>
      <c r="F502" t="str" cm="1">
        <f t="array" ref="F502">_xlfn.IFS( Table1[[#This Row],[Age]]&lt;18, "&lt;18", Table1[[#This Row],[Age]]&lt;= 29, "18-29", Table1[[#This Row],[Age]]&lt;= 44, "30-44",  Table1[[#This Row],[Age]]&lt;=59, "45-59", TRUE, "60+")</f>
        <v>60+</v>
      </c>
      <c r="G502" t="s">
        <v>35</v>
      </c>
      <c r="H502" t="s">
        <v>36</v>
      </c>
      <c r="I502" t="s">
        <v>21</v>
      </c>
      <c r="J502">
        <v>1</v>
      </c>
      <c r="K502" t="s">
        <v>37</v>
      </c>
      <c r="L502" t="str" cm="1">
        <f t="array" ref="L502">_xlfn.IFS(Table1[[#This Row],[Customer Tenure in months]]&lt;=6, "0-6 months", Table1[[#This Row],[Customer Tenure in months]] &lt;=12, "7-12 months", Table1[[#This Row],[Customer Tenure in months]] &lt;=24, "1-2 years", TRUE, "2+ years")</f>
        <v>0-6 months</v>
      </c>
      <c r="M502">
        <v>3</v>
      </c>
      <c r="N502" t="s">
        <v>65</v>
      </c>
      <c r="O502" s="1">
        <v>30000</v>
      </c>
      <c r="P502">
        <v>13</v>
      </c>
      <c r="Q502" s="1">
        <v>390000</v>
      </c>
      <c r="R502">
        <v>75.64</v>
      </c>
      <c r="S502" t="s">
        <v>1091</v>
      </c>
      <c r="T502" t="s">
        <v>39</v>
      </c>
    </row>
    <row r="503" spans="1:20" x14ac:dyDescent="0.35">
      <c r="A503" s="22" t="s">
        <v>600</v>
      </c>
      <c r="B503" cm="1">
        <f t="array" ref="B503">IF(MATCH(Table1[[#This Row],[Customer ID]], Table1[Customer ID], 0) = ROW() - ROW(Table1[#Headers]), 1, 0)</f>
        <v>0</v>
      </c>
      <c r="C503" t="s">
        <v>601</v>
      </c>
      <c r="D503" s="2">
        <v>45741</v>
      </c>
      <c r="E503">
        <v>76</v>
      </c>
      <c r="F503" t="str" cm="1">
        <f t="array" ref="F503">_xlfn.IFS( Table1[[#This Row],[Age]]&lt;18, "&lt;18", Table1[[#This Row],[Age]]&lt;= 29, "18-29", Table1[[#This Row],[Age]]&lt;= 44, "30-44",  Table1[[#This Row],[Age]]&lt;=59, "45-59", TRUE, "60+")</f>
        <v>60+</v>
      </c>
      <c r="G503" t="s">
        <v>35</v>
      </c>
      <c r="H503" t="s">
        <v>29</v>
      </c>
      <c r="I503" t="s">
        <v>21</v>
      </c>
      <c r="J503">
        <v>1</v>
      </c>
      <c r="K503" t="s">
        <v>37</v>
      </c>
      <c r="L503" t="str" cm="1">
        <f t="array" ref="L503">_xlfn.IFS(Table1[[#This Row],[Customer Tenure in months]]&lt;=6, "0-6 months", Table1[[#This Row],[Customer Tenure in months]] &lt;=12, "7-12 months", Table1[[#This Row],[Customer Tenure in months]] &lt;=24, "1-2 years", TRUE, "2+ years")</f>
        <v>0-6 months</v>
      </c>
      <c r="M503">
        <v>3</v>
      </c>
      <c r="N503" t="s">
        <v>56</v>
      </c>
      <c r="O503" s="1">
        <v>3500</v>
      </c>
      <c r="P503">
        <v>3</v>
      </c>
      <c r="Q503" s="1">
        <v>10500</v>
      </c>
      <c r="R503">
        <v>117.74</v>
      </c>
      <c r="S503" t="s">
        <v>1091</v>
      </c>
      <c r="T503" t="s">
        <v>39</v>
      </c>
    </row>
    <row r="504" spans="1:20" x14ac:dyDescent="0.35">
      <c r="A504" s="22" t="s">
        <v>600</v>
      </c>
      <c r="B504" cm="1">
        <f t="array" ref="B504">IF(MATCH(Table1[[#This Row],[Customer ID]], Table1[Customer ID], 0) = ROW() - ROW(Table1[#Headers]), 1, 0)</f>
        <v>0</v>
      </c>
      <c r="C504" t="s">
        <v>601</v>
      </c>
      <c r="D504" s="2">
        <v>45741</v>
      </c>
      <c r="E504">
        <v>76</v>
      </c>
      <c r="F504" t="str" cm="1">
        <f t="array" ref="F504">_xlfn.IFS( Table1[[#This Row],[Age]]&lt;18, "&lt;18", Table1[[#This Row],[Age]]&lt;= 29, "18-29", Table1[[#This Row],[Age]]&lt;= 44, "30-44",  Table1[[#This Row],[Age]]&lt;=59, "45-59", TRUE, "60+")</f>
        <v>60+</v>
      </c>
      <c r="G504" t="s">
        <v>35</v>
      </c>
      <c r="H504" t="s">
        <v>20</v>
      </c>
      <c r="I504" t="s">
        <v>21</v>
      </c>
      <c r="J504">
        <v>1</v>
      </c>
      <c r="K504" t="s">
        <v>37</v>
      </c>
      <c r="L504" t="str" cm="1">
        <f t="array" ref="L504">_xlfn.IFS(Table1[[#This Row],[Customer Tenure in months]]&lt;=6, "0-6 months", Table1[[#This Row],[Customer Tenure in months]] &lt;=12, "7-12 months", Table1[[#This Row],[Customer Tenure in months]] &lt;=24, "1-2 years", TRUE, "2+ years")</f>
        <v>0-6 months</v>
      </c>
      <c r="M504">
        <v>3</v>
      </c>
      <c r="N504" t="s">
        <v>51</v>
      </c>
      <c r="O504" s="1">
        <v>9000</v>
      </c>
      <c r="P504">
        <v>8</v>
      </c>
      <c r="Q504" s="1">
        <v>72000</v>
      </c>
      <c r="R504">
        <v>75.58</v>
      </c>
      <c r="S504" t="s">
        <v>1091</v>
      </c>
      <c r="T504" t="s">
        <v>39</v>
      </c>
    </row>
    <row r="505" spans="1:20" x14ac:dyDescent="0.35">
      <c r="A505" s="22" t="s">
        <v>602</v>
      </c>
      <c r="B505" cm="1">
        <f t="array" ref="B505">IF(MATCH(Table1[[#This Row],[Customer ID]], Table1[Customer ID], 0) = ROW() - ROW(Table1[#Headers]), 1, 0)</f>
        <v>1</v>
      </c>
      <c r="C505" t="s">
        <v>603</v>
      </c>
      <c r="D505" s="2">
        <v>45713</v>
      </c>
      <c r="E505">
        <v>67</v>
      </c>
      <c r="F505" t="str" cm="1">
        <f t="array" ref="F505">_xlfn.IFS( Table1[[#This Row],[Age]]&lt;18, "&lt;18", Table1[[#This Row],[Age]]&lt;= 29, "18-29", Table1[[#This Row],[Age]]&lt;= 44, "30-44",  Table1[[#This Row],[Age]]&lt;=59, "45-59", TRUE, "60+")</f>
        <v>60+</v>
      </c>
      <c r="G505" t="s">
        <v>152</v>
      </c>
      <c r="H505" t="s">
        <v>29</v>
      </c>
      <c r="I505" t="s">
        <v>30</v>
      </c>
      <c r="J505">
        <v>5</v>
      </c>
      <c r="K505" t="s">
        <v>55</v>
      </c>
      <c r="L505" t="str" cm="1">
        <f t="array" ref="L505">_xlfn.IFS(Table1[[#This Row],[Customer Tenure in months]]&lt;=6, "0-6 months", Table1[[#This Row],[Customer Tenure in months]] &lt;=12, "7-12 months", Table1[[#This Row],[Customer Tenure in months]] &lt;=24, "1-2 years", TRUE, "2+ years")</f>
        <v>2+ years</v>
      </c>
      <c r="M505">
        <v>32</v>
      </c>
      <c r="N505" t="s">
        <v>58</v>
      </c>
      <c r="O505" s="1">
        <v>16000</v>
      </c>
      <c r="P505">
        <v>9</v>
      </c>
      <c r="Q505" s="1">
        <v>144000</v>
      </c>
      <c r="R505">
        <v>103.15</v>
      </c>
      <c r="S505" t="s">
        <v>265</v>
      </c>
      <c r="T505" t="s">
        <v>24</v>
      </c>
    </row>
    <row r="506" spans="1:20" x14ac:dyDescent="0.35">
      <c r="A506" s="22" t="s">
        <v>602</v>
      </c>
      <c r="B506" cm="1">
        <f t="array" ref="B506">IF(MATCH(Table1[[#This Row],[Customer ID]], Table1[Customer ID], 0) = ROW() - ROW(Table1[#Headers]), 1, 0)</f>
        <v>0</v>
      </c>
      <c r="C506" t="s">
        <v>603</v>
      </c>
      <c r="D506" s="2">
        <v>45713</v>
      </c>
      <c r="E506">
        <v>67</v>
      </c>
      <c r="F506" t="str" cm="1">
        <f t="array" ref="F506">_xlfn.IFS( Table1[[#This Row],[Age]]&lt;18, "&lt;18", Table1[[#This Row],[Age]]&lt;= 29, "18-29", Table1[[#This Row],[Age]]&lt;= 44, "30-44",  Table1[[#This Row],[Age]]&lt;=59, "45-59", TRUE, "60+")</f>
        <v>60+</v>
      </c>
      <c r="G506" t="s">
        <v>152</v>
      </c>
      <c r="H506" t="s">
        <v>41</v>
      </c>
      <c r="I506" t="s">
        <v>30</v>
      </c>
      <c r="J506">
        <v>5</v>
      </c>
      <c r="K506" t="s">
        <v>55</v>
      </c>
      <c r="L506" t="str" cm="1">
        <f t="array" ref="L506">_xlfn.IFS(Table1[[#This Row],[Customer Tenure in months]]&lt;=6, "0-6 months", Table1[[#This Row],[Customer Tenure in months]] &lt;=12, "7-12 months", Table1[[#This Row],[Customer Tenure in months]] &lt;=24, "1-2 years", TRUE, "2+ years")</f>
        <v>2+ years</v>
      </c>
      <c r="M506">
        <v>32</v>
      </c>
      <c r="N506" t="s">
        <v>38</v>
      </c>
      <c r="O506" s="1">
        <v>20000</v>
      </c>
      <c r="P506">
        <v>6</v>
      </c>
      <c r="Q506" s="1">
        <v>120000</v>
      </c>
      <c r="R506">
        <v>30.47</v>
      </c>
      <c r="S506" t="s">
        <v>265</v>
      </c>
      <c r="T506" t="s">
        <v>24</v>
      </c>
    </row>
    <row r="507" spans="1:20" x14ac:dyDescent="0.35">
      <c r="A507" s="22" t="s">
        <v>604</v>
      </c>
      <c r="B507" cm="1">
        <f t="array" ref="B507">IF(MATCH(Table1[[#This Row],[Customer ID]], Table1[Customer ID], 0) = ROW() - ROW(Table1[#Headers]), 1, 0)</f>
        <v>1</v>
      </c>
      <c r="C507" t="s">
        <v>605</v>
      </c>
      <c r="D507" s="2">
        <v>45741</v>
      </c>
      <c r="E507">
        <v>31</v>
      </c>
      <c r="F507" t="str" cm="1">
        <f t="array" ref="F507">_xlfn.IFS( Table1[[#This Row],[Age]]&lt;18, "&lt;18", Table1[[#This Row],[Age]]&lt;= 29, "18-29", Table1[[#This Row],[Age]]&lt;= 44, "30-44",  Table1[[#This Row],[Age]]&lt;=59, "45-59", TRUE, "60+")</f>
        <v>30-44</v>
      </c>
      <c r="G507" t="s">
        <v>113</v>
      </c>
      <c r="H507" t="s">
        <v>29</v>
      </c>
      <c r="I507" t="s">
        <v>30</v>
      </c>
      <c r="J507">
        <v>1</v>
      </c>
      <c r="K507" t="s">
        <v>37</v>
      </c>
      <c r="L507" t="str" cm="1">
        <f t="array" ref="L507">_xlfn.IFS(Table1[[#This Row],[Customer Tenure in months]]&lt;=6, "0-6 months", Table1[[#This Row],[Customer Tenure in months]] &lt;=12, "7-12 months", Table1[[#This Row],[Customer Tenure in months]] &lt;=24, "1-2 years", TRUE, "2+ years")</f>
        <v>2+ years</v>
      </c>
      <c r="M507">
        <v>52</v>
      </c>
      <c r="N507" t="s">
        <v>164</v>
      </c>
      <c r="O507" s="1">
        <v>600</v>
      </c>
      <c r="P507">
        <v>14</v>
      </c>
      <c r="Q507" s="1">
        <v>8400</v>
      </c>
      <c r="R507">
        <v>129.63</v>
      </c>
      <c r="S507" t="s">
        <v>1091</v>
      </c>
      <c r="T507" t="s">
        <v>39</v>
      </c>
    </row>
    <row r="508" spans="1:20" x14ac:dyDescent="0.35">
      <c r="A508" s="22" t="s">
        <v>604</v>
      </c>
      <c r="B508" cm="1">
        <f t="array" ref="B508">IF(MATCH(Table1[[#This Row],[Customer ID]], Table1[Customer ID], 0) = ROW() - ROW(Table1[#Headers]), 1, 0)</f>
        <v>0</v>
      </c>
      <c r="C508" t="s">
        <v>605</v>
      </c>
      <c r="D508" s="2">
        <v>45741</v>
      </c>
      <c r="E508">
        <v>31</v>
      </c>
      <c r="F508" t="str" cm="1">
        <f t="array" ref="F508">_xlfn.IFS( Table1[[#This Row],[Age]]&lt;18, "&lt;18", Table1[[#This Row],[Age]]&lt;= 29, "18-29", Table1[[#This Row],[Age]]&lt;= 44, "30-44",  Table1[[#This Row],[Age]]&lt;=59, "45-59", TRUE, "60+")</f>
        <v>30-44</v>
      </c>
      <c r="G508" t="s">
        <v>113</v>
      </c>
      <c r="H508" t="s">
        <v>41</v>
      </c>
      <c r="I508" t="s">
        <v>30</v>
      </c>
      <c r="J508">
        <v>1</v>
      </c>
      <c r="K508" t="s">
        <v>37</v>
      </c>
      <c r="L508" t="str" cm="1">
        <f t="array" ref="L508">_xlfn.IFS(Table1[[#This Row],[Customer Tenure in months]]&lt;=6, "0-6 months", Table1[[#This Row],[Customer Tenure in months]] &lt;=12, "7-12 months", Table1[[#This Row],[Customer Tenure in months]] &lt;=24, "1-2 years", TRUE, "2+ years")</f>
        <v>2+ years</v>
      </c>
      <c r="M508">
        <v>52</v>
      </c>
      <c r="N508" t="s">
        <v>42</v>
      </c>
      <c r="O508" s="1">
        <v>9000</v>
      </c>
      <c r="P508">
        <v>5</v>
      </c>
      <c r="Q508" s="1">
        <v>45000</v>
      </c>
      <c r="R508">
        <v>49.11</v>
      </c>
      <c r="S508" t="s">
        <v>1091</v>
      </c>
      <c r="T508" t="s">
        <v>39</v>
      </c>
    </row>
    <row r="509" spans="1:20" x14ac:dyDescent="0.35">
      <c r="A509" s="22" t="s">
        <v>606</v>
      </c>
      <c r="B509" cm="1">
        <f t="array" ref="B509">IF(MATCH(Table1[[#This Row],[Customer ID]], Table1[Customer ID], 0) = ROW() - ROW(Table1[#Headers]), 1, 0)</f>
        <v>1</v>
      </c>
      <c r="C509" t="s">
        <v>607</v>
      </c>
      <c r="D509" s="2">
        <v>45713</v>
      </c>
      <c r="E509">
        <v>33</v>
      </c>
      <c r="F509" t="str" cm="1">
        <f t="array" ref="F509">_xlfn.IFS( Table1[[#This Row],[Age]]&lt;18, "&lt;18", Table1[[#This Row],[Age]]&lt;= 29, "18-29", Table1[[#This Row],[Age]]&lt;= 44, "30-44",  Table1[[#This Row],[Age]]&lt;=59, "45-59", TRUE, "60+")</f>
        <v>30-44</v>
      </c>
      <c r="G509" t="s">
        <v>189</v>
      </c>
      <c r="H509" t="s">
        <v>29</v>
      </c>
      <c r="I509" t="s">
        <v>21</v>
      </c>
      <c r="J509">
        <v>1</v>
      </c>
      <c r="K509" t="s">
        <v>37</v>
      </c>
      <c r="L509" t="str" cm="1">
        <f t="array" ref="L509">_xlfn.IFS(Table1[[#This Row],[Customer Tenure in months]]&lt;=6, "0-6 months", Table1[[#This Row],[Customer Tenure in months]] &lt;=12, "7-12 months", Table1[[#This Row],[Customer Tenure in months]] &lt;=24, "1-2 years", TRUE, "2+ years")</f>
        <v>2+ years</v>
      </c>
      <c r="M509">
        <v>58</v>
      </c>
      <c r="N509" t="s">
        <v>40</v>
      </c>
      <c r="O509" s="1">
        <v>500</v>
      </c>
      <c r="P509">
        <v>7</v>
      </c>
      <c r="Q509" s="1">
        <v>3500</v>
      </c>
      <c r="R509">
        <v>189.48</v>
      </c>
      <c r="S509" t="s">
        <v>265</v>
      </c>
      <c r="T509" t="s">
        <v>24</v>
      </c>
    </row>
    <row r="510" spans="1:20" x14ac:dyDescent="0.35">
      <c r="A510" s="22" t="s">
        <v>606</v>
      </c>
      <c r="B510" cm="1">
        <f t="array" ref="B510">IF(MATCH(Table1[[#This Row],[Customer ID]], Table1[Customer ID], 0) = ROW() - ROW(Table1[#Headers]), 1, 0)</f>
        <v>0</v>
      </c>
      <c r="C510" t="s">
        <v>607</v>
      </c>
      <c r="D510" s="2">
        <v>45713</v>
      </c>
      <c r="E510">
        <v>33</v>
      </c>
      <c r="F510" t="str" cm="1">
        <f t="array" ref="F510">_xlfn.IFS( Table1[[#This Row],[Age]]&lt;18, "&lt;18", Table1[[#This Row],[Age]]&lt;= 29, "18-29", Table1[[#This Row],[Age]]&lt;= 44, "30-44",  Table1[[#This Row],[Age]]&lt;=59, "45-59", TRUE, "60+")</f>
        <v>30-44</v>
      </c>
      <c r="G510" t="s">
        <v>189</v>
      </c>
      <c r="H510" t="s">
        <v>36</v>
      </c>
      <c r="I510" t="s">
        <v>21</v>
      </c>
      <c r="J510">
        <v>1</v>
      </c>
      <c r="K510" t="s">
        <v>37</v>
      </c>
      <c r="L510" t="str" cm="1">
        <f t="array" ref="L510">_xlfn.IFS(Table1[[#This Row],[Customer Tenure in months]]&lt;=6, "0-6 months", Table1[[#This Row],[Customer Tenure in months]] &lt;=12, "7-12 months", Table1[[#This Row],[Customer Tenure in months]] &lt;=24, "1-2 years", TRUE, "2+ years")</f>
        <v>2+ years</v>
      </c>
      <c r="M510">
        <v>58</v>
      </c>
      <c r="N510" t="s">
        <v>57</v>
      </c>
      <c r="O510" s="1">
        <v>150000</v>
      </c>
      <c r="P510">
        <v>16</v>
      </c>
      <c r="Q510" s="1">
        <v>2400000</v>
      </c>
      <c r="R510">
        <v>121.5</v>
      </c>
      <c r="S510" t="s">
        <v>265</v>
      </c>
      <c r="T510" t="s">
        <v>24</v>
      </c>
    </row>
    <row r="511" spans="1:20" x14ac:dyDescent="0.35">
      <c r="A511" s="22" t="s">
        <v>606</v>
      </c>
      <c r="B511" cm="1">
        <f t="array" ref="B511">IF(MATCH(Table1[[#This Row],[Customer ID]], Table1[Customer ID], 0) = ROW() - ROW(Table1[#Headers]), 1, 0)</f>
        <v>0</v>
      </c>
      <c r="C511" t="s">
        <v>607</v>
      </c>
      <c r="D511" s="2">
        <v>45713</v>
      </c>
      <c r="E511">
        <v>33</v>
      </c>
      <c r="F511" t="str" cm="1">
        <f t="array" ref="F511">_xlfn.IFS( Table1[[#This Row],[Age]]&lt;18, "&lt;18", Table1[[#This Row],[Age]]&lt;= 29, "18-29", Table1[[#This Row],[Age]]&lt;= 44, "30-44",  Table1[[#This Row],[Age]]&lt;=59, "45-59", TRUE, "60+")</f>
        <v>30-44</v>
      </c>
      <c r="G511" t="s">
        <v>189</v>
      </c>
      <c r="H511" t="s">
        <v>41</v>
      </c>
      <c r="I511" t="s">
        <v>21</v>
      </c>
      <c r="J511">
        <v>1</v>
      </c>
      <c r="K511" t="s">
        <v>37</v>
      </c>
      <c r="L511" t="str" cm="1">
        <f t="array" ref="L511">_xlfn.IFS(Table1[[#This Row],[Customer Tenure in months]]&lt;=6, "0-6 months", Table1[[#This Row],[Customer Tenure in months]] &lt;=12, "7-12 months", Table1[[#This Row],[Customer Tenure in months]] &lt;=24, "1-2 years", TRUE, "2+ years")</f>
        <v>2+ years</v>
      </c>
      <c r="M511">
        <v>58</v>
      </c>
      <c r="N511" t="s">
        <v>71</v>
      </c>
      <c r="O511" s="1">
        <v>14500</v>
      </c>
      <c r="P511">
        <v>14</v>
      </c>
      <c r="Q511" s="1">
        <v>203000</v>
      </c>
      <c r="R511">
        <v>34.53</v>
      </c>
      <c r="S511" t="s">
        <v>265</v>
      </c>
      <c r="T511" t="s">
        <v>24</v>
      </c>
    </row>
    <row r="512" spans="1:20" x14ac:dyDescent="0.35">
      <c r="A512" s="22" t="s">
        <v>608</v>
      </c>
      <c r="B512" cm="1">
        <f t="array" ref="B512">IF(MATCH(Table1[[#This Row],[Customer ID]], Table1[Customer ID], 0) = ROW() - ROW(Table1[#Headers]), 1, 0)</f>
        <v>1</v>
      </c>
      <c r="C512" t="s">
        <v>609</v>
      </c>
      <c r="D512" s="2">
        <v>45741</v>
      </c>
      <c r="E512">
        <v>39</v>
      </c>
      <c r="F512" t="str" cm="1">
        <f t="array" ref="F512">_xlfn.IFS( Table1[[#This Row],[Age]]&lt;18, "&lt;18", Table1[[#This Row],[Age]]&lt;= 29, "18-29", Table1[[#This Row],[Age]]&lt;= 44, "30-44",  Table1[[#This Row],[Age]]&lt;=59, "45-59", TRUE, "60+")</f>
        <v>30-44</v>
      </c>
      <c r="G512" t="s">
        <v>189</v>
      </c>
      <c r="H512" t="s">
        <v>20</v>
      </c>
      <c r="I512" t="s">
        <v>30</v>
      </c>
      <c r="J512">
        <v>4</v>
      </c>
      <c r="K512" t="s">
        <v>114</v>
      </c>
      <c r="L512" t="str" cm="1">
        <f t="array" ref="L512">_xlfn.IFS(Table1[[#This Row],[Customer Tenure in months]]&lt;=6, "0-6 months", Table1[[#This Row],[Customer Tenure in months]] &lt;=12, "7-12 months", Table1[[#This Row],[Customer Tenure in months]] &lt;=24, "1-2 years", TRUE, "2+ years")</f>
        <v>7-12 months</v>
      </c>
      <c r="M512">
        <v>11</v>
      </c>
      <c r="N512" t="s">
        <v>23</v>
      </c>
      <c r="O512" s="1">
        <v>35000</v>
      </c>
      <c r="P512">
        <v>4</v>
      </c>
      <c r="Q512" s="1">
        <v>140000</v>
      </c>
      <c r="R512">
        <v>77.400000000000006</v>
      </c>
      <c r="S512" t="s">
        <v>1091</v>
      </c>
      <c r="T512" t="s">
        <v>39</v>
      </c>
    </row>
    <row r="513" spans="1:20" x14ac:dyDescent="0.35">
      <c r="A513" s="22" t="s">
        <v>610</v>
      </c>
      <c r="B513" cm="1">
        <f t="array" ref="B513">IF(MATCH(Table1[[#This Row],[Customer ID]], Table1[Customer ID], 0) = ROW() - ROW(Table1[#Headers]), 1, 0)</f>
        <v>1</v>
      </c>
      <c r="C513" t="s">
        <v>611</v>
      </c>
      <c r="D513" s="2">
        <v>45713</v>
      </c>
      <c r="E513">
        <v>41</v>
      </c>
      <c r="F513" t="str" cm="1">
        <f t="array" ref="F513">_xlfn.IFS( Table1[[#This Row],[Age]]&lt;18, "&lt;18", Table1[[#This Row],[Age]]&lt;= 29, "18-29", Table1[[#This Row],[Age]]&lt;= 44, "30-44",  Table1[[#This Row],[Age]]&lt;=59, "45-59", TRUE, "60+")</f>
        <v>30-44</v>
      </c>
      <c r="G513" t="s">
        <v>75</v>
      </c>
      <c r="H513" t="s">
        <v>41</v>
      </c>
      <c r="I513" t="s">
        <v>30</v>
      </c>
      <c r="J513">
        <v>5</v>
      </c>
      <c r="K513" t="s">
        <v>55</v>
      </c>
      <c r="L513" t="str" cm="1">
        <f t="array" ref="L513">_xlfn.IFS(Table1[[#This Row],[Customer Tenure in months]]&lt;=6, "0-6 months", Table1[[#This Row],[Customer Tenure in months]] &lt;=12, "7-12 months", Table1[[#This Row],[Customer Tenure in months]] &lt;=24, "1-2 years", TRUE, "2+ years")</f>
        <v>2+ years</v>
      </c>
      <c r="M513">
        <v>53</v>
      </c>
      <c r="N513" t="s">
        <v>42</v>
      </c>
      <c r="O513" s="1">
        <v>9000</v>
      </c>
      <c r="P513">
        <v>5</v>
      </c>
      <c r="Q513" s="1">
        <v>45000</v>
      </c>
      <c r="R513">
        <v>96.71</v>
      </c>
      <c r="S513" t="s">
        <v>167</v>
      </c>
      <c r="T513" t="s">
        <v>24</v>
      </c>
    </row>
    <row r="514" spans="1:20" x14ac:dyDescent="0.35">
      <c r="A514" s="22" t="s">
        <v>610</v>
      </c>
      <c r="B514" cm="1">
        <f t="array" ref="B514">IF(MATCH(Table1[[#This Row],[Customer ID]], Table1[Customer ID], 0) = ROW() - ROW(Table1[#Headers]), 1, 0)</f>
        <v>0</v>
      </c>
      <c r="C514" t="s">
        <v>611</v>
      </c>
      <c r="D514" s="2">
        <v>45713</v>
      </c>
      <c r="E514">
        <v>41</v>
      </c>
      <c r="F514" t="str" cm="1">
        <f t="array" ref="F514">_xlfn.IFS( Table1[[#This Row],[Age]]&lt;18, "&lt;18", Table1[[#This Row],[Age]]&lt;= 29, "18-29", Table1[[#This Row],[Age]]&lt;= 44, "30-44",  Table1[[#This Row],[Age]]&lt;=59, "45-59", TRUE, "60+")</f>
        <v>30-44</v>
      </c>
      <c r="G514" t="s">
        <v>75</v>
      </c>
      <c r="H514" t="s">
        <v>36</v>
      </c>
      <c r="I514" t="s">
        <v>30</v>
      </c>
      <c r="J514">
        <v>5</v>
      </c>
      <c r="K514" t="s">
        <v>55</v>
      </c>
      <c r="L514" t="str" cm="1">
        <f t="array" ref="L514">_xlfn.IFS(Table1[[#This Row],[Customer Tenure in months]]&lt;=6, "0-6 months", Table1[[#This Row],[Customer Tenure in months]] &lt;=12, "7-12 months", Table1[[#This Row],[Customer Tenure in months]] &lt;=24, "1-2 years", TRUE, "2+ years")</f>
        <v>2+ years</v>
      </c>
      <c r="M514">
        <v>53</v>
      </c>
      <c r="N514" t="s">
        <v>42</v>
      </c>
      <c r="O514" s="1">
        <v>9000</v>
      </c>
      <c r="P514">
        <v>14</v>
      </c>
      <c r="Q514" s="1">
        <v>126000</v>
      </c>
      <c r="R514">
        <v>179.45</v>
      </c>
      <c r="S514" t="s">
        <v>167</v>
      </c>
      <c r="T514" t="s">
        <v>24</v>
      </c>
    </row>
    <row r="515" spans="1:20" x14ac:dyDescent="0.35">
      <c r="A515" s="22" t="s">
        <v>610</v>
      </c>
      <c r="B515" cm="1">
        <f t="array" ref="B515">IF(MATCH(Table1[[#This Row],[Customer ID]], Table1[Customer ID], 0) = ROW() - ROW(Table1[#Headers]), 1, 0)</f>
        <v>0</v>
      </c>
      <c r="C515" t="s">
        <v>611</v>
      </c>
      <c r="D515" s="2">
        <v>45713</v>
      </c>
      <c r="E515">
        <v>41</v>
      </c>
      <c r="F515" t="str" cm="1">
        <f t="array" ref="F515">_xlfn.IFS( Table1[[#This Row],[Age]]&lt;18, "&lt;18", Table1[[#This Row],[Age]]&lt;= 29, "18-29", Table1[[#This Row],[Age]]&lt;= 44, "30-44",  Table1[[#This Row],[Age]]&lt;=59, "45-59", TRUE, "60+")</f>
        <v>30-44</v>
      </c>
      <c r="G515" t="s">
        <v>75</v>
      </c>
      <c r="H515" t="s">
        <v>29</v>
      </c>
      <c r="I515" t="s">
        <v>30</v>
      </c>
      <c r="J515">
        <v>5</v>
      </c>
      <c r="K515" t="s">
        <v>55</v>
      </c>
      <c r="L515" t="str" cm="1">
        <f t="array" ref="L515">_xlfn.IFS(Table1[[#This Row],[Customer Tenure in months]]&lt;=6, "0-6 months", Table1[[#This Row],[Customer Tenure in months]] &lt;=12, "7-12 months", Table1[[#This Row],[Customer Tenure in months]] &lt;=24, "1-2 years", TRUE, "2+ years")</f>
        <v>2+ years</v>
      </c>
      <c r="M515">
        <v>53</v>
      </c>
      <c r="N515" t="s">
        <v>193</v>
      </c>
      <c r="O515" s="1">
        <v>6500</v>
      </c>
      <c r="P515">
        <v>2</v>
      </c>
      <c r="Q515" s="1">
        <v>13000</v>
      </c>
      <c r="R515">
        <v>84.43</v>
      </c>
      <c r="S515" t="s">
        <v>167</v>
      </c>
      <c r="T515" t="s">
        <v>24</v>
      </c>
    </row>
    <row r="516" spans="1:20" x14ac:dyDescent="0.35">
      <c r="A516" s="22" t="s">
        <v>612</v>
      </c>
      <c r="B516" cm="1">
        <f t="array" ref="B516">IF(MATCH(Table1[[#This Row],[Customer ID]], Table1[Customer ID], 0) = ROW() - ROW(Table1[#Headers]), 1, 0)</f>
        <v>1</v>
      </c>
      <c r="C516" t="s">
        <v>613</v>
      </c>
      <c r="D516" s="2">
        <v>45713</v>
      </c>
      <c r="E516">
        <v>70</v>
      </c>
      <c r="F516" t="str" cm="1">
        <f t="array" ref="F516">_xlfn.IFS( Table1[[#This Row],[Age]]&lt;18, "&lt;18", Table1[[#This Row],[Age]]&lt;= 29, "18-29", Table1[[#This Row],[Age]]&lt;= 44, "30-44",  Table1[[#This Row],[Age]]&lt;=59, "45-59", TRUE, "60+")</f>
        <v>60+</v>
      </c>
      <c r="G516" t="s">
        <v>113</v>
      </c>
      <c r="H516" t="s">
        <v>41</v>
      </c>
      <c r="I516" t="s">
        <v>30</v>
      </c>
      <c r="J516">
        <v>3</v>
      </c>
      <c r="K516" t="s">
        <v>50</v>
      </c>
      <c r="L516" t="str" cm="1">
        <f t="array" ref="L516">_xlfn.IFS(Table1[[#This Row],[Customer Tenure in months]]&lt;=6, "0-6 months", Table1[[#This Row],[Customer Tenure in months]] &lt;=12, "7-12 months", Table1[[#This Row],[Customer Tenure in months]] &lt;=24, "1-2 years", TRUE, "2+ years")</f>
        <v>2+ years</v>
      </c>
      <c r="M516">
        <v>51</v>
      </c>
      <c r="N516" t="s">
        <v>65</v>
      </c>
      <c r="O516" s="1">
        <v>30000</v>
      </c>
      <c r="P516">
        <v>8</v>
      </c>
      <c r="Q516" s="1">
        <v>240000</v>
      </c>
      <c r="R516">
        <v>95.69</v>
      </c>
      <c r="S516" t="s">
        <v>1091</v>
      </c>
      <c r="T516" t="s">
        <v>39</v>
      </c>
    </row>
    <row r="517" spans="1:20" x14ac:dyDescent="0.35">
      <c r="A517" s="22" t="s">
        <v>612</v>
      </c>
      <c r="B517" cm="1">
        <f t="array" ref="B517">IF(MATCH(Table1[[#This Row],[Customer ID]], Table1[Customer ID], 0) = ROW() - ROW(Table1[#Headers]), 1, 0)</f>
        <v>0</v>
      </c>
      <c r="C517" t="s">
        <v>613</v>
      </c>
      <c r="D517" s="2">
        <v>45713</v>
      </c>
      <c r="E517">
        <v>70</v>
      </c>
      <c r="F517" t="str" cm="1">
        <f t="array" ref="F517">_xlfn.IFS( Table1[[#This Row],[Age]]&lt;18, "&lt;18", Table1[[#This Row],[Age]]&lt;= 29, "18-29", Table1[[#This Row],[Age]]&lt;= 44, "30-44",  Table1[[#This Row],[Age]]&lt;=59, "45-59", TRUE, "60+")</f>
        <v>60+</v>
      </c>
      <c r="G517" t="s">
        <v>113</v>
      </c>
      <c r="H517" t="s">
        <v>20</v>
      </c>
      <c r="I517" t="s">
        <v>30</v>
      </c>
      <c r="J517">
        <v>3</v>
      </c>
      <c r="K517" t="s">
        <v>50</v>
      </c>
      <c r="L517" t="str" cm="1">
        <f t="array" ref="L517">_xlfn.IFS(Table1[[#This Row],[Customer Tenure in months]]&lt;=6, "0-6 months", Table1[[#This Row],[Customer Tenure in months]] &lt;=12, "7-12 months", Table1[[#This Row],[Customer Tenure in months]] &lt;=24, "1-2 years", TRUE, "2+ years")</f>
        <v>2+ years</v>
      </c>
      <c r="M517">
        <v>51</v>
      </c>
      <c r="N517" t="s">
        <v>58</v>
      </c>
      <c r="O517" s="1">
        <v>16000</v>
      </c>
      <c r="P517">
        <v>18</v>
      </c>
      <c r="Q517" s="1">
        <v>288000</v>
      </c>
      <c r="R517">
        <v>57.01</v>
      </c>
      <c r="S517" t="s">
        <v>1091</v>
      </c>
      <c r="T517" t="s">
        <v>39</v>
      </c>
    </row>
    <row r="518" spans="1:20" x14ac:dyDescent="0.35">
      <c r="A518" s="22" t="s">
        <v>612</v>
      </c>
      <c r="B518" cm="1">
        <f t="array" ref="B518">IF(MATCH(Table1[[#This Row],[Customer ID]], Table1[Customer ID], 0) = ROW() - ROW(Table1[#Headers]), 1, 0)</f>
        <v>0</v>
      </c>
      <c r="C518" t="s">
        <v>613</v>
      </c>
      <c r="D518" s="2">
        <v>45713</v>
      </c>
      <c r="E518">
        <v>70</v>
      </c>
      <c r="F518" t="str" cm="1">
        <f t="array" ref="F518">_xlfn.IFS( Table1[[#This Row],[Age]]&lt;18, "&lt;18", Table1[[#This Row],[Age]]&lt;= 29, "18-29", Table1[[#This Row],[Age]]&lt;= 44, "30-44",  Table1[[#This Row],[Age]]&lt;=59, "45-59", TRUE, "60+")</f>
        <v>60+</v>
      </c>
      <c r="G518" t="s">
        <v>113</v>
      </c>
      <c r="H518" t="s">
        <v>29</v>
      </c>
      <c r="I518" t="s">
        <v>30</v>
      </c>
      <c r="J518">
        <v>3</v>
      </c>
      <c r="K518" t="s">
        <v>50</v>
      </c>
      <c r="L518" t="str" cm="1">
        <f t="array" ref="L518">_xlfn.IFS(Table1[[#This Row],[Customer Tenure in months]]&lt;=6, "0-6 months", Table1[[#This Row],[Customer Tenure in months]] &lt;=12, "7-12 months", Table1[[#This Row],[Customer Tenure in months]] &lt;=24, "1-2 years", TRUE, "2+ years")</f>
        <v>2+ years</v>
      </c>
      <c r="M518">
        <v>51</v>
      </c>
      <c r="N518" t="s">
        <v>87</v>
      </c>
      <c r="O518" s="1">
        <v>7500</v>
      </c>
      <c r="P518">
        <v>1</v>
      </c>
      <c r="Q518" s="1">
        <v>7500</v>
      </c>
      <c r="R518">
        <v>51.93</v>
      </c>
      <c r="S518" t="s">
        <v>1091</v>
      </c>
      <c r="T518" t="s">
        <v>39</v>
      </c>
    </row>
    <row r="519" spans="1:20" x14ac:dyDescent="0.35">
      <c r="A519" s="22" t="s">
        <v>614</v>
      </c>
      <c r="B519" cm="1">
        <f t="array" ref="B519">IF(MATCH(Table1[[#This Row],[Customer ID]], Table1[Customer ID], 0) = ROW() - ROW(Table1[#Headers]), 1, 0)</f>
        <v>1</v>
      </c>
      <c r="C519" t="s">
        <v>333</v>
      </c>
      <c r="D519" s="2">
        <v>45713</v>
      </c>
      <c r="E519">
        <v>31</v>
      </c>
      <c r="F519" t="str" cm="1">
        <f t="array" ref="F519">_xlfn.IFS( Table1[[#This Row],[Age]]&lt;18, "&lt;18", Table1[[#This Row],[Age]]&lt;= 29, "18-29", Table1[[#This Row],[Age]]&lt;= 44, "30-44",  Table1[[#This Row],[Age]]&lt;=59, "45-59", TRUE, "60+")</f>
        <v>30-44</v>
      </c>
      <c r="G519" t="s">
        <v>75</v>
      </c>
      <c r="H519" t="s">
        <v>29</v>
      </c>
      <c r="I519" t="s">
        <v>21</v>
      </c>
      <c r="J519">
        <v>3</v>
      </c>
      <c r="K519" t="s">
        <v>50</v>
      </c>
      <c r="L519" t="str" cm="1">
        <f t="array" ref="L519">_xlfn.IFS(Table1[[#This Row],[Customer Tenure in months]]&lt;=6, "0-6 months", Table1[[#This Row],[Customer Tenure in months]] &lt;=12, "7-12 months", Table1[[#This Row],[Customer Tenure in months]] &lt;=24, "1-2 years", TRUE, "2+ years")</f>
        <v>2+ years</v>
      </c>
      <c r="M519">
        <v>25</v>
      </c>
      <c r="N519" t="s">
        <v>23</v>
      </c>
      <c r="O519" s="1">
        <v>35000</v>
      </c>
      <c r="P519">
        <v>9</v>
      </c>
      <c r="Q519" s="1">
        <v>315000</v>
      </c>
      <c r="R519">
        <v>130.49</v>
      </c>
      <c r="S519" t="s">
        <v>1091</v>
      </c>
      <c r="T519" t="s">
        <v>39</v>
      </c>
    </row>
    <row r="520" spans="1:20" x14ac:dyDescent="0.35">
      <c r="A520" s="22" t="s">
        <v>615</v>
      </c>
      <c r="B520" cm="1">
        <f t="array" ref="B520">IF(MATCH(Table1[[#This Row],[Customer ID]], Table1[Customer ID], 0) = ROW() - ROW(Table1[#Headers]), 1, 0)</f>
        <v>1</v>
      </c>
      <c r="C520" t="s">
        <v>616</v>
      </c>
      <c r="D520" s="2">
        <v>45713</v>
      </c>
      <c r="E520">
        <v>70</v>
      </c>
      <c r="F520" t="str" cm="1">
        <f t="array" ref="F520">_xlfn.IFS( Table1[[#This Row],[Age]]&lt;18, "&lt;18", Table1[[#This Row],[Age]]&lt;= 29, "18-29", Table1[[#This Row],[Age]]&lt;= 44, "30-44",  Table1[[#This Row],[Age]]&lt;=59, "45-59", TRUE, "60+")</f>
        <v>60+</v>
      </c>
      <c r="G520" t="s">
        <v>45</v>
      </c>
      <c r="H520" t="s">
        <v>29</v>
      </c>
      <c r="I520" t="s">
        <v>30</v>
      </c>
      <c r="J520">
        <v>2</v>
      </c>
      <c r="K520" t="s">
        <v>22</v>
      </c>
      <c r="L520" t="str" cm="1">
        <f t="array" ref="L520">_xlfn.IFS(Table1[[#This Row],[Customer Tenure in months]]&lt;=6, "0-6 months", Table1[[#This Row],[Customer Tenure in months]] &lt;=12, "7-12 months", Table1[[#This Row],[Customer Tenure in months]] &lt;=24, "1-2 years", TRUE, "2+ years")</f>
        <v>2+ years</v>
      </c>
      <c r="M520">
        <v>44</v>
      </c>
      <c r="N520" t="s">
        <v>193</v>
      </c>
      <c r="O520" s="1">
        <v>6500</v>
      </c>
      <c r="P520">
        <v>9</v>
      </c>
      <c r="Q520" s="1">
        <v>58500</v>
      </c>
      <c r="R520">
        <v>111.2</v>
      </c>
      <c r="S520" t="s">
        <v>1091</v>
      </c>
      <c r="T520" t="s">
        <v>39</v>
      </c>
    </row>
    <row r="521" spans="1:20" x14ac:dyDescent="0.35">
      <c r="A521" s="22" t="s">
        <v>615</v>
      </c>
      <c r="B521" cm="1">
        <f t="array" ref="B521">IF(MATCH(Table1[[#This Row],[Customer ID]], Table1[Customer ID], 0) = ROW() - ROW(Table1[#Headers]), 1, 0)</f>
        <v>0</v>
      </c>
      <c r="C521" t="s">
        <v>616</v>
      </c>
      <c r="D521" s="2">
        <v>45713</v>
      </c>
      <c r="E521">
        <v>70</v>
      </c>
      <c r="F521" t="str" cm="1">
        <f t="array" ref="F521">_xlfn.IFS( Table1[[#This Row],[Age]]&lt;18, "&lt;18", Table1[[#This Row],[Age]]&lt;= 29, "18-29", Table1[[#This Row],[Age]]&lt;= 44, "30-44",  Table1[[#This Row],[Age]]&lt;=59, "45-59", TRUE, "60+")</f>
        <v>60+</v>
      </c>
      <c r="G521" t="s">
        <v>45</v>
      </c>
      <c r="H521" t="s">
        <v>41</v>
      </c>
      <c r="I521" t="s">
        <v>30</v>
      </c>
      <c r="J521">
        <v>2</v>
      </c>
      <c r="K521" t="s">
        <v>22</v>
      </c>
      <c r="L521" t="str" cm="1">
        <f t="array" ref="L521">_xlfn.IFS(Table1[[#This Row],[Customer Tenure in months]]&lt;=6, "0-6 months", Table1[[#This Row],[Customer Tenure in months]] &lt;=12, "7-12 months", Table1[[#This Row],[Customer Tenure in months]] &lt;=24, "1-2 years", TRUE, "2+ years")</f>
        <v>2+ years</v>
      </c>
      <c r="M521">
        <v>44</v>
      </c>
      <c r="N521" t="s">
        <v>65</v>
      </c>
      <c r="O521" s="1">
        <v>30000</v>
      </c>
      <c r="P521">
        <v>13</v>
      </c>
      <c r="Q521" s="1">
        <v>390000</v>
      </c>
      <c r="R521">
        <v>115.74</v>
      </c>
      <c r="S521" t="s">
        <v>1091</v>
      </c>
      <c r="T521" t="s">
        <v>39</v>
      </c>
    </row>
    <row r="522" spans="1:20" x14ac:dyDescent="0.35">
      <c r="A522" s="22" t="s">
        <v>615</v>
      </c>
      <c r="B522" cm="1">
        <f t="array" ref="B522">IF(MATCH(Table1[[#This Row],[Customer ID]], Table1[Customer ID], 0) = ROW() - ROW(Table1[#Headers]), 1, 0)</f>
        <v>0</v>
      </c>
      <c r="C522" t="s">
        <v>616</v>
      </c>
      <c r="D522" s="2">
        <v>45713</v>
      </c>
      <c r="E522">
        <v>70</v>
      </c>
      <c r="F522" t="str" cm="1">
        <f t="array" ref="F522">_xlfn.IFS( Table1[[#This Row],[Age]]&lt;18, "&lt;18", Table1[[#This Row],[Age]]&lt;= 29, "18-29", Table1[[#This Row],[Age]]&lt;= 44, "30-44",  Table1[[#This Row],[Age]]&lt;=59, "45-59", TRUE, "60+")</f>
        <v>60+</v>
      </c>
      <c r="G522" t="s">
        <v>45</v>
      </c>
      <c r="H522" t="s">
        <v>20</v>
      </c>
      <c r="I522" t="s">
        <v>30</v>
      </c>
      <c r="J522">
        <v>2</v>
      </c>
      <c r="K522" t="s">
        <v>22</v>
      </c>
      <c r="L522" t="str" cm="1">
        <f t="array" ref="L522">_xlfn.IFS(Table1[[#This Row],[Customer Tenure in months]]&lt;=6, "0-6 months", Table1[[#This Row],[Customer Tenure in months]] &lt;=12, "7-12 months", Table1[[#This Row],[Customer Tenure in months]] &lt;=24, "1-2 years", TRUE, "2+ years")</f>
        <v>2+ years</v>
      </c>
      <c r="M522">
        <v>44</v>
      </c>
      <c r="N522" t="s">
        <v>46</v>
      </c>
      <c r="O522" s="1">
        <v>4500</v>
      </c>
      <c r="P522">
        <v>4</v>
      </c>
      <c r="Q522" s="1">
        <v>18000</v>
      </c>
      <c r="R522">
        <v>171.07</v>
      </c>
      <c r="S522" t="s">
        <v>1091</v>
      </c>
      <c r="T522" t="s">
        <v>39</v>
      </c>
    </row>
    <row r="523" spans="1:20" x14ac:dyDescent="0.35">
      <c r="A523" s="22" t="s">
        <v>617</v>
      </c>
      <c r="B523" cm="1">
        <f t="array" ref="B523">IF(MATCH(Table1[[#This Row],[Customer ID]], Table1[Customer ID], 0) = ROW() - ROW(Table1[#Headers]), 1, 0)</f>
        <v>1</v>
      </c>
      <c r="C523" t="s">
        <v>618</v>
      </c>
      <c r="D523" s="2">
        <v>45713</v>
      </c>
      <c r="E523">
        <v>73</v>
      </c>
      <c r="F523" t="str" cm="1">
        <f t="array" ref="F523">_xlfn.IFS( Table1[[#This Row],[Age]]&lt;18, "&lt;18", Table1[[#This Row],[Age]]&lt;= 29, "18-29", Table1[[#This Row],[Age]]&lt;= 44, "30-44",  Table1[[#This Row],[Age]]&lt;=59, "45-59", TRUE, "60+")</f>
        <v>60+</v>
      </c>
      <c r="G523" t="s">
        <v>28</v>
      </c>
      <c r="H523" t="s">
        <v>41</v>
      </c>
      <c r="I523" t="s">
        <v>21</v>
      </c>
      <c r="J523">
        <v>3</v>
      </c>
      <c r="K523" t="s">
        <v>50</v>
      </c>
      <c r="L523" t="str" cm="1">
        <f t="array" ref="L523">_xlfn.IFS(Table1[[#This Row],[Customer Tenure in months]]&lt;=6, "0-6 months", Table1[[#This Row],[Customer Tenure in months]] &lt;=12, "7-12 months", Table1[[#This Row],[Customer Tenure in months]] &lt;=24, "1-2 years", TRUE, "2+ years")</f>
        <v>1-2 years</v>
      </c>
      <c r="M523">
        <v>14</v>
      </c>
      <c r="N523" t="s">
        <v>42</v>
      </c>
      <c r="O523" s="1">
        <v>9000</v>
      </c>
      <c r="P523">
        <v>5</v>
      </c>
      <c r="Q523" s="1">
        <v>45000</v>
      </c>
      <c r="R523">
        <v>160.97</v>
      </c>
      <c r="S523" t="s">
        <v>1091</v>
      </c>
      <c r="T523" t="s">
        <v>39</v>
      </c>
    </row>
    <row r="524" spans="1:20" x14ac:dyDescent="0.35">
      <c r="A524" s="22" t="s">
        <v>617</v>
      </c>
      <c r="B524" cm="1">
        <f t="array" ref="B524">IF(MATCH(Table1[[#This Row],[Customer ID]], Table1[Customer ID], 0) = ROW() - ROW(Table1[#Headers]), 1, 0)</f>
        <v>0</v>
      </c>
      <c r="C524" t="s">
        <v>618</v>
      </c>
      <c r="D524" s="2">
        <v>45713</v>
      </c>
      <c r="E524">
        <v>73</v>
      </c>
      <c r="F524" t="str" cm="1">
        <f t="array" ref="F524">_xlfn.IFS( Table1[[#This Row],[Age]]&lt;18, "&lt;18", Table1[[#This Row],[Age]]&lt;= 29, "18-29", Table1[[#This Row],[Age]]&lt;= 44, "30-44",  Table1[[#This Row],[Age]]&lt;=59, "45-59", TRUE, "60+")</f>
        <v>60+</v>
      </c>
      <c r="G524" t="s">
        <v>28</v>
      </c>
      <c r="H524" t="s">
        <v>29</v>
      </c>
      <c r="I524" t="s">
        <v>21</v>
      </c>
      <c r="J524">
        <v>3</v>
      </c>
      <c r="K524" t="s">
        <v>50</v>
      </c>
      <c r="L524" t="str" cm="1">
        <f t="array" ref="L524">_xlfn.IFS(Table1[[#This Row],[Customer Tenure in months]]&lt;=6, "0-6 months", Table1[[#This Row],[Customer Tenure in months]] &lt;=12, "7-12 months", Table1[[#This Row],[Customer Tenure in months]] &lt;=24, "1-2 years", TRUE, "2+ years")</f>
        <v>1-2 years</v>
      </c>
      <c r="M524">
        <v>14</v>
      </c>
      <c r="N524" t="s">
        <v>31</v>
      </c>
      <c r="O524" s="1">
        <v>5500</v>
      </c>
      <c r="P524">
        <v>14</v>
      </c>
      <c r="Q524" s="1">
        <v>77000</v>
      </c>
      <c r="R524">
        <v>185.21</v>
      </c>
      <c r="S524" t="s">
        <v>1091</v>
      </c>
      <c r="T524" t="s">
        <v>39</v>
      </c>
    </row>
    <row r="525" spans="1:20" x14ac:dyDescent="0.35">
      <c r="A525" s="22" t="s">
        <v>617</v>
      </c>
      <c r="B525" cm="1">
        <f t="array" ref="B525">IF(MATCH(Table1[[#This Row],[Customer ID]], Table1[Customer ID], 0) = ROW() - ROW(Table1[#Headers]), 1, 0)</f>
        <v>0</v>
      </c>
      <c r="C525" t="s">
        <v>618</v>
      </c>
      <c r="D525" s="2">
        <v>45713</v>
      </c>
      <c r="E525">
        <v>73</v>
      </c>
      <c r="F525" t="str" cm="1">
        <f t="array" ref="F525">_xlfn.IFS( Table1[[#This Row],[Age]]&lt;18, "&lt;18", Table1[[#This Row],[Age]]&lt;= 29, "18-29", Table1[[#This Row],[Age]]&lt;= 44, "30-44",  Table1[[#This Row],[Age]]&lt;=59, "45-59", TRUE, "60+")</f>
        <v>60+</v>
      </c>
      <c r="G525" t="s">
        <v>28</v>
      </c>
      <c r="H525" t="s">
        <v>20</v>
      </c>
      <c r="I525" t="s">
        <v>21</v>
      </c>
      <c r="J525">
        <v>3</v>
      </c>
      <c r="K525" t="s">
        <v>50</v>
      </c>
      <c r="L525" t="str" cm="1">
        <f t="array" ref="L525">_xlfn.IFS(Table1[[#This Row],[Customer Tenure in months]]&lt;=6, "0-6 months", Table1[[#This Row],[Customer Tenure in months]] &lt;=12, "7-12 months", Table1[[#This Row],[Customer Tenure in months]] &lt;=24, "1-2 years", TRUE, "2+ years")</f>
        <v>1-2 years</v>
      </c>
      <c r="M525">
        <v>14</v>
      </c>
      <c r="N525" t="s">
        <v>58</v>
      </c>
      <c r="O525" s="1">
        <v>16000</v>
      </c>
      <c r="P525">
        <v>8</v>
      </c>
      <c r="Q525" s="1">
        <v>128000</v>
      </c>
      <c r="R525">
        <v>13.28</v>
      </c>
      <c r="S525" t="s">
        <v>1091</v>
      </c>
      <c r="T525" t="s">
        <v>39</v>
      </c>
    </row>
    <row r="526" spans="1:20" x14ac:dyDescent="0.35">
      <c r="A526" s="22" t="s">
        <v>619</v>
      </c>
      <c r="B526" cm="1">
        <f t="array" ref="B526">IF(MATCH(Table1[[#This Row],[Customer ID]], Table1[Customer ID], 0) = ROW() - ROW(Table1[#Headers]), 1, 0)</f>
        <v>1</v>
      </c>
      <c r="C526" t="s">
        <v>620</v>
      </c>
      <c r="D526" s="2">
        <v>45713</v>
      </c>
      <c r="E526">
        <v>26</v>
      </c>
      <c r="F526" t="str" cm="1">
        <f t="array" ref="F526">_xlfn.IFS( Table1[[#This Row],[Age]]&lt;18, "&lt;18", Table1[[#This Row],[Age]]&lt;= 29, "18-29", Table1[[#This Row],[Age]]&lt;= 44, "30-44",  Table1[[#This Row],[Age]]&lt;=59, "45-59", TRUE, "60+")</f>
        <v>18-29</v>
      </c>
      <c r="G526" t="s">
        <v>128</v>
      </c>
      <c r="H526" t="s">
        <v>41</v>
      </c>
      <c r="I526" t="s">
        <v>30</v>
      </c>
      <c r="J526">
        <v>5</v>
      </c>
      <c r="K526" t="s">
        <v>55</v>
      </c>
      <c r="L526" t="str" cm="1">
        <f t="array" ref="L526">_xlfn.IFS(Table1[[#This Row],[Customer Tenure in months]]&lt;=6, "0-6 months", Table1[[#This Row],[Customer Tenure in months]] &lt;=12, "7-12 months", Table1[[#This Row],[Customer Tenure in months]] &lt;=24, "1-2 years", TRUE, "2+ years")</f>
        <v>2+ years</v>
      </c>
      <c r="M526">
        <v>60</v>
      </c>
      <c r="N526" t="s">
        <v>71</v>
      </c>
      <c r="O526" s="1">
        <v>14500</v>
      </c>
      <c r="P526">
        <v>7</v>
      </c>
      <c r="Q526" s="1">
        <v>101500</v>
      </c>
      <c r="R526">
        <v>88.07</v>
      </c>
      <c r="S526" t="s">
        <v>1091</v>
      </c>
      <c r="T526" t="s">
        <v>39</v>
      </c>
    </row>
    <row r="527" spans="1:20" x14ac:dyDescent="0.35">
      <c r="A527" s="22" t="s">
        <v>619</v>
      </c>
      <c r="B527" cm="1">
        <f t="array" ref="B527">IF(MATCH(Table1[[#This Row],[Customer ID]], Table1[Customer ID], 0) = ROW() - ROW(Table1[#Headers]), 1, 0)</f>
        <v>0</v>
      </c>
      <c r="C527" t="s">
        <v>620</v>
      </c>
      <c r="D527" s="2">
        <v>45713</v>
      </c>
      <c r="E527">
        <v>26</v>
      </c>
      <c r="F527" t="str" cm="1">
        <f t="array" ref="F527">_xlfn.IFS( Table1[[#This Row],[Age]]&lt;18, "&lt;18", Table1[[#This Row],[Age]]&lt;= 29, "18-29", Table1[[#This Row],[Age]]&lt;= 44, "30-44",  Table1[[#This Row],[Age]]&lt;=59, "45-59", TRUE, "60+")</f>
        <v>18-29</v>
      </c>
      <c r="G527" t="s">
        <v>128</v>
      </c>
      <c r="H527" t="s">
        <v>29</v>
      </c>
      <c r="I527" t="s">
        <v>30</v>
      </c>
      <c r="J527">
        <v>5</v>
      </c>
      <c r="K527" t="s">
        <v>55</v>
      </c>
      <c r="L527" t="str" cm="1">
        <f t="array" ref="L527">_xlfn.IFS(Table1[[#This Row],[Customer Tenure in months]]&lt;=6, "0-6 months", Table1[[#This Row],[Customer Tenure in months]] &lt;=12, "7-12 months", Table1[[#This Row],[Customer Tenure in months]] &lt;=24, "1-2 years", TRUE, "2+ years")</f>
        <v>2+ years</v>
      </c>
      <c r="M527">
        <v>60</v>
      </c>
      <c r="N527" t="s">
        <v>193</v>
      </c>
      <c r="O527" s="1">
        <v>6500</v>
      </c>
      <c r="P527">
        <v>2</v>
      </c>
      <c r="Q527" s="1">
        <v>13000</v>
      </c>
      <c r="R527">
        <v>57.56</v>
      </c>
      <c r="S527" t="s">
        <v>1091</v>
      </c>
      <c r="T527" t="s">
        <v>39</v>
      </c>
    </row>
    <row r="528" spans="1:20" x14ac:dyDescent="0.35">
      <c r="A528" s="22" t="s">
        <v>621</v>
      </c>
      <c r="B528" cm="1">
        <f t="array" ref="B528">IF(MATCH(Table1[[#This Row],[Customer ID]], Table1[Customer ID], 0) = ROW() - ROW(Table1[#Headers]), 1, 0)</f>
        <v>1</v>
      </c>
      <c r="C528" t="s">
        <v>622</v>
      </c>
      <c r="D528" s="2">
        <v>45713</v>
      </c>
      <c r="E528">
        <v>45</v>
      </c>
      <c r="F528" t="str" cm="1">
        <f t="array" ref="F528">_xlfn.IFS( Table1[[#This Row],[Age]]&lt;18, "&lt;18", Table1[[#This Row],[Age]]&lt;= 29, "18-29", Table1[[#This Row],[Age]]&lt;= 44, "30-44",  Table1[[#This Row],[Age]]&lt;=59, "45-59", TRUE, "60+")</f>
        <v>45-59</v>
      </c>
      <c r="G528" t="s">
        <v>28</v>
      </c>
      <c r="H528" t="s">
        <v>36</v>
      </c>
      <c r="I528" t="s">
        <v>21</v>
      </c>
      <c r="J528">
        <v>1</v>
      </c>
      <c r="K528" t="s">
        <v>37</v>
      </c>
      <c r="L528" t="str" cm="1">
        <f t="array" ref="L528">_xlfn.IFS(Table1[[#This Row],[Customer Tenure in months]]&lt;=6, "0-6 months", Table1[[#This Row],[Customer Tenure in months]] &lt;=12, "7-12 months", Table1[[#This Row],[Customer Tenure in months]] &lt;=24, "1-2 years", TRUE, "2+ years")</f>
        <v>1-2 years</v>
      </c>
      <c r="M528">
        <v>24</v>
      </c>
      <c r="N528" t="s">
        <v>105</v>
      </c>
      <c r="O528" s="1">
        <v>75000</v>
      </c>
      <c r="P528">
        <v>13</v>
      </c>
      <c r="Q528" s="1">
        <v>975000</v>
      </c>
      <c r="R528">
        <v>70.95</v>
      </c>
      <c r="S528" t="s">
        <v>1091</v>
      </c>
      <c r="T528" t="s">
        <v>39</v>
      </c>
    </row>
    <row r="529" spans="1:20" x14ac:dyDescent="0.35">
      <c r="A529" s="22" t="s">
        <v>623</v>
      </c>
      <c r="B529" cm="1">
        <f t="array" ref="B529">IF(MATCH(Table1[[#This Row],[Customer ID]], Table1[Customer ID], 0) = ROW() - ROW(Table1[#Headers]), 1, 0)</f>
        <v>1</v>
      </c>
      <c r="C529" t="s">
        <v>624</v>
      </c>
      <c r="D529" s="2">
        <v>45682</v>
      </c>
      <c r="E529">
        <v>41</v>
      </c>
      <c r="F529" t="str" cm="1">
        <f t="array" ref="F529">_xlfn.IFS( Table1[[#This Row],[Age]]&lt;18, "&lt;18", Table1[[#This Row],[Age]]&lt;= 29, "18-29", Table1[[#This Row],[Age]]&lt;= 44, "30-44",  Table1[[#This Row],[Age]]&lt;=59, "45-59", TRUE, "60+")</f>
        <v>30-44</v>
      </c>
      <c r="G529" t="s">
        <v>75</v>
      </c>
      <c r="H529" t="s">
        <v>36</v>
      </c>
      <c r="I529" t="s">
        <v>21</v>
      </c>
      <c r="J529">
        <v>1</v>
      </c>
      <c r="K529" t="s">
        <v>37</v>
      </c>
      <c r="L529" t="str" cm="1">
        <f t="array" ref="L529">_xlfn.IFS(Table1[[#This Row],[Customer Tenure in months]]&lt;=6, "0-6 months", Table1[[#This Row],[Customer Tenure in months]] &lt;=12, "7-12 months", Table1[[#This Row],[Customer Tenure in months]] &lt;=24, "1-2 years", TRUE, "2+ years")</f>
        <v>2+ years</v>
      </c>
      <c r="M529">
        <v>48</v>
      </c>
      <c r="N529" t="s">
        <v>71</v>
      </c>
      <c r="O529" s="1">
        <v>14500</v>
      </c>
      <c r="P529">
        <v>7</v>
      </c>
      <c r="Q529" s="1">
        <v>101500</v>
      </c>
      <c r="R529">
        <v>121.47</v>
      </c>
      <c r="S529" t="s">
        <v>1091</v>
      </c>
      <c r="T529" t="s">
        <v>39</v>
      </c>
    </row>
    <row r="530" spans="1:20" x14ac:dyDescent="0.35">
      <c r="A530" s="22" t="s">
        <v>623</v>
      </c>
      <c r="B530" cm="1">
        <f t="array" ref="B530">IF(MATCH(Table1[[#This Row],[Customer ID]], Table1[Customer ID], 0) = ROW() - ROW(Table1[#Headers]), 1, 0)</f>
        <v>0</v>
      </c>
      <c r="C530" t="s">
        <v>624</v>
      </c>
      <c r="D530" s="2">
        <v>45682</v>
      </c>
      <c r="E530">
        <v>41</v>
      </c>
      <c r="F530" t="str" cm="1">
        <f t="array" ref="F530">_xlfn.IFS( Table1[[#This Row],[Age]]&lt;18, "&lt;18", Table1[[#This Row],[Age]]&lt;= 29, "18-29", Table1[[#This Row],[Age]]&lt;= 44, "30-44",  Table1[[#This Row],[Age]]&lt;=59, "45-59", TRUE, "60+")</f>
        <v>30-44</v>
      </c>
      <c r="G530" t="s">
        <v>75</v>
      </c>
      <c r="H530" t="s">
        <v>20</v>
      </c>
      <c r="I530" t="s">
        <v>21</v>
      </c>
      <c r="J530">
        <v>1</v>
      </c>
      <c r="K530" t="s">
        <v>37</v>
      </c>
      <c r="L530" t="str" cm="1">
        <f t="array" ref="L530">_xlfn.IFS(Table1[[#This Row],[Customer Tenure in months]]&lt;=6, "0-6 months", Table1[[#This Row],[Customer Tenure in months]] &lt;=12, "7-12 months", Table1[[#This Row],[Customer Tenure in months]] &lt;=24, "1-2 years", TRUE, "2+ years")</f>
        <v>2+ years</v>
      </c>
      <c r="M530">
        <v>48</v>
      </c>
      <c r="N530" t="s">
        <v>23</v>
      </c>
      <c r="O530" s="1">
        <v>35000</v>
      </c>
      <c r="P530">
        <v>19</v>
      </c>
      <c r="Q530" s="1">
        <v>665000</v>
      </c>
      <c r="R530">
        <v>185.98</v>
      </c>
      <c r="S530" t="s">
        <v>1091</v>
      </c>
      <c r="T530" t="s">
        <v>39</v>
      </c>
    </row>
    <row r="531" spans="1:20" x14ac:dyDescent="0.35">
      <c r="A531" s="22" t="s">
        <v>623</v>
      </c>
      <c r="B531" cm="1">
        <f t="array" ref="B531">IF(MATCH(Table1[[#This Row],[Customer ID]], Table1[Customer ID], 0) = ROW() - ROW(Table1[#Headers]), 1, 0)</f>
        <v>0</v>
      </c>
      <c r="C531" t="s">
        <v>624</v>
      </c>
      <c r="D531" s="2">
        <v>45682</v>
      </c>
      <c r="E531">
        <v>41</v>
      </c>
      <c r="F531" t="str" cm="1">
        <f t="array" ref="F531">_xlfn.IFS( Table1[[#This Row],[Age]]&lt;18, "&lt;18", Table1[[#This Row],[Age]]&lt;= 29, "18-29", Table1[[#This Row],[Age]]&lt;= 44, "30-44",  Table1[[#This Row],[Age]]&lt;=59, "45-59", TRUE, "60+")</f>
        <v>30-44</v>
      </c>
      <c r="G531" t="s">
        <v>75</v>
      </c>
      <c r="H531" t="s">
        <v>29</v>
      </c>
      <c r="I531" t="s">
        <v>21</v>
      </c>
      <c r="J531">
        <v>1</v>
      </c>
      <c r="K531" t="s">
        <v>37</v>
      </c>
      <c r="L531" t="str" cm="1">
        <f t="array" ref="L531">_xlfn.IFS(Table1[[#This Row],[Customer Tenure in months]]&lt;=6, "0-6 months", Table1[[#This Row],[Customer Tenure in months]] &lt;=12, "7-12 months", Table1[[#This Row],[Customer Tenure in months]] &lt;=24, "1-2 years", TRUE, "2+ years")</f>
        <v>2+ years</v>
      </c>
      <c r="M531">
        <v>48</v>
      </c>
      <c r="N531" t="s">
        <v>102</v>
      </c>
      <c r="O531" s="1">
        <v>900</v>
      </c>
      <c r="P531">
        <v>14</v>
      </c>
      <c r="Q531" s="1">
        <v>12600</v>
      </c>
      <c r="R531">
        <v>52.59</v>
      </c>
      <c r="S531" t="s">
        <v>1091</v>
      </c>
      <c r="T531" t="s">
        <v>39</v>
      </c>
    </row>
    <row r="532" spans="1:20" x14ac:dyDescent="0.35">
      <c r="A532" s="22" t="s">
        <v>625</v>
      </c>
      <c r="B532" cm="1">
        <f t="array" ref="B532">IF(MATCH(Table1[[#This Row],[Customer ID]], Table1[Customer ID], 0) = ROW() - ROW(Table1[#Headers]), 1, 0)</f>
        <v>1</v>
      </c>
      <c r="C532" t="s">
        <v>626</v>
      </c>
      <c r="D532" s="2">
        <v>45682</v>
      </c>
      <c r="E532">
        <v>29</v>
      </c>
      <c r="F532" t="str" cm="1">
        <f t="array" ref="F532">_xlfn.IFS( Table1[[#This Row],[Age]]&lt;18, "&lt;18", Table1[[#This Row],[Age]]&lt;= 29, "18-29", Table1[[#This Row],[Age]]&lt;= 44, "30-44",  Table1[[#This Row],[Age]]&lt;=59, "45-59", TRUE, "60+")</f>
        <v>18-29</v>
      </c>
      <c r="G532" t="s">
        <v>146</v>
      </c>
      <c r="H532" t="s">
        <v>36</v>
      </c>
      <c r="I532" t="s">
        <v>30</v>
      </c>
      <c r="J532">
        <v>5</v>
      </c>
      <c r="K532" t="s">
        <v>55</v>
      </c>
      <c r="L532" t="str" cm="1">
        <f t="array" ref="L532">_xlfn.IFS(Table1[[#This Row],[Customer Tenure in months]]&lt;=6, "0-6 months", Table1[[#This Row],[Customer Tenure in months]] &lt;=12, "7-12 months", Table1[[#This Row],[Customer Tenure in months]] &lt;=24, "1-2 years", TRUE, "2+ years")</f>
        <v>1-2 years</v>
      </c>
      <c r="M532">
        <v>22</v>
      </c>
      <c r="N532" t="s">
        <v>105</v>
      </c>
      <c r="O532" s="1">
        <v>75000</v>
      </c>
      <c r="P532">
        <v>8</v>
      </c>
      <c r="Q532" s="1">
        <v>600000</v>
      </c>
      <c r="R532">
        <v>112.85</v>
      </c>
      <c r="S532" t="s">
        <v>1091</v>
      </c>
      <c r="T532" t="s">
        <v>39</v>
      </c>
    </row>
    <row r="533" spans="1:20" x14ac:dyDescent="0.35">
      <c r="A533" s="22" t="s">
        <v>625</v>
      </c>
      <c r="B533" cm="1">
        <f t="array" ref="B533">IF(MATCH(Table1[[#This Row],[Customer ID]], Table1[Customer ID], 0) = ROW() - ROW(Table1[#Headers]), 1, 0)</f>
        <v>0</v>
      </c>
      <c r="C533" t="s">
        <v>626</v>
      </c>
      <c r="D533" s="2">
        <v>45682</v>
      </c>
      <c r="E533">
        <v>29</v>
      </c>
      <c r="F533" t="str" cm="1">
        <f t="array" ref="F533">_xlfn.IFS( Table1[[#This Row],[Age]]&lt;18, "&lt;18", Table1[[#This Row],[Age]]&lt;= 29, "18-29", Table1[[#This Row],[Age]]&lt;= 44, "30-44",  Table1[[#This Row],[Age]]&lt;=59, "45-59", TRUE, "60+")</f>
        <v>18-29</v>
      </c>
      <c r="G533" t="s">
        <v>146</v>
      </c>
      <c r="H533" t="s">
        <v>29</v>
      </c>
      <c r="I533" t="s">
        <v>30</v>
      </c>
      <c r="J533">
        <v>5</v>
      </c>
      <c r="K533" t="s">
        <v>55</v>
      </c>
      <c r="L533" t="str" cm="1">
        <f t="array" ref="L533">_xlfn.IFS(Table1[[#This Row],[Customer Tenure in months]]&lt;=6, "0-6 months", Table1[[#This Row],[Customer Tenure in months]] &lt;=12, "7-12 months", Table1[[#This Row],[Customer Tenure in months]] &lt;=24, "1-2 years", TRUE, "2+ years")</f>
        <v>1-2 years</v>
      </c>
      <c r="M533">
        <v>22</v>
      </c>
      <c r="N533" t="s">
        <v>56</v>
      </c>
      <c r="O533" s="1">
        <v>3500</v>
      </c>
      <c r="P533">
        <v>15</v>
      </c>
      <c r="Q533" s="1">
        <v>52500</v>
      </c>
      <c r="R533">
        <v>192.27</v>
      </c>
      <c r="S533" t="s">
        <v>1091</v>
      </c>
      <c r="T533" t="s">
        <v>39</v>
      </c>
    </row>
    <row r="534" spans="1:20" x14ac:dyDescent="0.35">
      <c r="A534" s="22" t="s">
        <v>625</v>
      </c>
      <c r="B534" cm="1">
        <f t="array" ref="B534">IF(MATCH(Table1[[#This Row],[Customer ID]], Table1[Customer ID], 0) = ROW() - ROW(Table1[#Headers]), 1, 0)</f>
        <v>0</v>
      </c>
      <c r="C534" t="s">
        <v>626</v>
      </c>
      <c r="D534" s="2">
        <v>45682</v>
      </c>
      <c r="E534">
        <v>29</v>
      </c>
      <c r="F534" t="str" cm="1">
        <f t="array" ref="F534">_xlfn.IFS( Table1[[#This Row],[Age]]&lt;18, "&lt;18", Table1[[#This Row],[Age]]&lt;= 29, "18-29", Table1[[#This Row],[Age]]&lt;= 44, "30-44",  Table1[[#This Row],[Age]]&lt;=59, "45-59", TRUE, "60+")</f>
        <v>18-29</v>
      </c>
      <c r="G534" t="s">
        <v>146</v>
      </c>
      <c r="H534" t="s">
        <v>29</v>
      </c>
      <c r="I534" t="s">
        <v>30</v>
      </c>
      <c r="J534">
        <v>5</v>
      </c>
      <c r="K534" t="s">
        <v>55</v>
      </c>
      <c r="L534" t="str" cm="1">
        <f t="array" ref="L534">_xlfn.IFS(Table1[[#This Row],[Customer Tenure in months]]&lt;=6, "0-6 months", Table1[[#This Row],[Customer Tenure in months]] &lt;=12, "7-12 months", Table1[[#This Row],[Customer Tenure in months]] &lt;=24, "1-2 years", TRUE, "2+ years")</f>
        <v>1-2 years</v>
      </c>
      <c r="M534">
        <v>22</v>
      </c>
      <c r="N534" t="s">
        <v>23</v>
      </c>
      <c r="O534" s="1">
        <v>35000</v>
      </c>
      <c r="P534">
        <v>1</v>
      </c>
      <c r="Q534" s="1">
        <v>35000</v>
      </c>
      <c r="R534">
        <v>179.36</v>
      </c>
      <c r="S534" t="s">
        <v>1091</v>
      </c>
      <c r="T534" t="s">
        <v>39</v>
      </c>
    </row>
    <row r="535" spans="1:20" x14ac:dyDescent="0.35">
      <c r="A535" s="22" t="s">
        <v>627</v>
      </c>
      <c r="B535" cm="1">
        <f t="array" ref="B535">IF(MATCH(Table1[[#This Row],[Customer ID]], Table1[Customer ID], 0) = ROW() - ROW(Table1[#Headers]), 1, 0)</f>
        <v>1</v>
      </c>
      <c r="C535" t="s">
        <v>628</v>
      </c>
      <c r="D535" s="2">
        <v>45713</v>
      </c>
      <c r="E535">
        <v>30</v>
      </c>
      <c r="F535" t="str" cm="1">
        <f t="array" ref="F535">_xlfn.IFS( Table1[[#This Row],[Age]]&lt;18, "&lt;18", Table1[[#This Row],[Age]]&lt;= 29, "18-29", Table1[[#This Row],[Age]]&lt;= 44, "30-44",  Table1[[#This Row],[Age]]&lt;=59, "45-59", TRUE, "60+")</f>
        <v>30-44</v>
      </c>
      <c r="G535" t="s">
        <v>143</v>
      </c>
      <c r="H535" t="s">
        <v>36</v>
      </c>
      <c r="I535" t="s">
        <v>21</v>
      </c>
      <c r="J535">
        <v>2</v>
      </c>
      <c r="K535" t="s">
        <v>22</v>
      </c>
      <c r="L535" t="str" cm="1">
        <f t="array" ref="L535">_xlfn.IFS(Table1[[#This Row],[Customer Tenure in months]]&lt;=6, "0-6 months", Table1[[#This Row],[Customer Tenure in months]] &lt;=12, "7-12 months", Table1[[#This Row],[Customer Tenure in months]] &lt;=24, "1-2 years", TRUE, "2+ years")</f>
        <v>2+ years</v>
      </c>
      <c r="M535">
        <v>25</v>
      </c>
      <c r="N535" t="s">
        <v>42</v>
      </c>
      <c r="O535" s="1">
        <v>9000</v>
      </c>
      <c r="P535">
        <v>9</v>
      </c>
      <c r="Q535" s="1">
        <v>81000</v>
      </c>
      <c r="R535">
        <v>140.31</v>
      </c>
      <c r="S535" t="s">
        <v>1091</v>
      </c>
      <c r="T535" t="s">
        <v>39</v>
      </c>
    </row>
    <row r="536" spans="1:20" x14ac:dyDescent="0.35">
      <c r="A536" s="22" t="s">
        <v>627</v>
      </c>
      <c r="B536" cm="1">
        <f t="array" ref="B536">IF(MATCH(Table1[[#This Row],[Customer ID]], Table1[Customer ID], 0) = ROW() - ROW(Table1[#Headers]), 1, 0)</f>
        <v>0</v>
      </c>
      <c r="C536" t="s">
        <v>628</v>
      </c>
      <c r="D536" s="2">
        <v>45713</v>
      </c>
      <c r="E536">
        <v>30</v>
      </c>
      <c r="F536" t="str" cm="1">
        <f t="array" ref="F536">_xlfn.IFS( Table1[[#This Row],[Age]]&lt;18, "&lt;18", Table1[[#This Row],[Age]]&lt;= 29, "18-29", Table1[[#This Row],[Age]]&lt;= 44, "30-44",  Table1[[#This Row],[Age]]&lt;=59, "45-59", TRUE, "60+")</f>
        <v>30-44</v>
      </c>
      <c r="G536" t="s">
        <v>143</v>
      </c>
      <c r="H536" t="s">
        <v>29</v>
      </c>
      <c r="I536" t="s">
        <v>21</v>
      </c>
      <c r="J536">
        <v>2</v>
      </c>
      <c r="K536" t="s">
        <v>22</v>
      </c>
      <c r="L536" t="str" cm="1">
        <f t="array" ref="L536">_xlfn.IFS(Table1[[#This Row],[Customer Tenure in months]]&lt;=6, "0-6 months", Table1[[#This Row],[Customer Tenure in months]] &lt;=12, "7-12 months", Table1[[#This Row],[Customer Tenure in months]] &lt;=24, "1-2 years", TRUE, "2+ years")</f>
        <v>2+ years</v>
      </c>
      <c r="M536">
        <v>25</v>
      </c>
      <c r="N536" t="s">
        <v>72</v>
      </c>
      <c r="O536" s="1">
        <v>350</v>
      </c>
      <c r="P536">
        <v>13</v>
      </c>
      <c r="Q536" s="1">
        <v>4550</v>
      </c>
      <c r="R536">
        <v>57.81</v>
      </c>
      <c r="S536" t="s">
        <v>1091</v>
      </c>
      <c r="T536" t="s">
        <v>39</v>
      </c>
    </row>
    <row r="537" spans="1:20" x14ac:dyDescent="0.35">
      <c r="A537" s="22" t="s">
        <v>629</v>
      </c>
      <c r="B537" cm="1">
        <f t="array" ref="B537">IF(MATCH(Table1[[#This Row],[Customer ID]], Table1[Customer ID], 0) = ROW() - ROW(Table1[#Headers]), 1, 0)</f>
        <v>1</v>
      </c>
      <c r="C537" t="s">
        <v>630</v>
      </c>
      <c r="D537" s="2">
        <v>45741</v>
      </c>
      <c r="E537">
        <v>25</v>
      </c>
      <c r="F537" t="str" cm="1">
        <f t="array" ref="F537">_xlfn.IFS( Table1[[#This Row],[Age]]&lt;18, "&lt;18", Table1[[#This Row],[Age]]&lt;= 29, "18-29", Table1[[#This Row],[Age]]&lt;= 44, "30-44",  Table1[[#This Row],[Age]]&lt;=59, "45-59", TRUE, "60+")</f>
        <v>18-29</v>
      </c>
      <c r="G537" t="s">
        <v>131</v>
      </c>
      <c r="H537" t="s">
        <v>29</v>
      </c>
      <c r="I537" t="s">
        <v>30</v>
      </c>
      <c r="J537">
        <v>2</v>
      </c>
      <c r="K537" t="s">
        <v>22</v>
      </c>
      <c r="L537" t="str" cm="1">
        <f t="array" ref="L537">_xlfn.IFS(Table1[[#This Row],[Customer Tenure in months]]&lt;=6, "0-6 months", Table1[[#This Row],[Customer Tenure in months]] &lt;=12, "7-12 months", Table1[[#This Row],[Customer Tenure in months]] &lt;=24, "1-2 years", TRUE, "2+ years")</f>
        <v>1-2 years</v>
      </c>
      <c r="M537">
        <v>21</v>
      </c>
      <c r="N537" t="s">
        <v>46</v>
      </c>
      <c r="O537" s="1">
        <v>4500</v>
      </c>
      <c r="P537">
        <v>7</v>
      </c>
      <c r="Q537" s="1">
        <v>31500</v>
      </c>
      <c r="R537">
        <v>100.05</v>
      </c>
      <c r="S537" t="s">
        <v>1091</v>
      </c>
      <c r="T537" t="s">
        <v>39</v>
      </c>
    </row>
    <row r="538" spans="1:20" x14ac:dyDescent="0.35">
      <c r="A538" s="22" t="s">
        <v>629</v>
      </c>
      <c r="B538" cm="1">
        <f t="array" ref="B538">IF(MATCH(Table1[[#This Row],[Customer ID]], Table1[Customer ID], 0) = ROW() - ROW(Table1[#Headers]), 1, 0)</f>
        <v>0</v>
      </c>
      <c r="C538" t="s">
        <v>630</v>
      </c>
      <c r="D538" s="2">
        <v>45741</v>
      </c>
      <c r="E538">
        <v>25</v>
      </c>
      <c r="F538" t="str" cm="1">
        <f t="array" ref="F538">_xlfn.IFS( Table1[[#This Row],[Age]]&lt;18, "&lt;18", Table1[[#This Row],[Age]]&lt;= 29, "18-29", Table1[[#This Row],[Age]]&lt;= 44, "30-44",  Table1[[#This Row],[Age]]&lt;=59, "45-59", TRUE, "60+")</f>
        <v>18-29</v>
      </c>
      <c r="G538" t="s">
        <v>131</v>
      </c>
      <c r="H538" t="s">
        <v>36</v>
      </c>
      <c r="I538" t="s">
        <v>30</v>
      </c>
      <c r="J538">
        <v>2</v>
      </c>
      <c r="K538" t="s">
        <v>22</v>
      </c>
      <c r="L538" t="str" cm="1">
        <f t="array" ref="L538">_xlfn.IFS(Table1[[#This Row],[Customer Tenure in months]]&lt;=6, "0-6 months", Table1[[#This Row],[Customer Tenure in months]] &lt;=12, "7-12 months", Table1[[#This Row],[Customer Tenure in months]] &lt;=24, "1-2 years", TRUE, "2+ years")</f>
        <v>1-2 years</v>
      </c>
      <c r="M538">
        <v>21</v>
      </c>
      <c r="N538" t="s">
        <v>71</v>
      </c>
      <c r="O538" s="1">
        <v>14500</v>
      </c>
      <c r="P538">
        <v>9</v>
      </c>
      <c r="Q538" s="1">
        <v>130500</v>
      </c>
      <c r="R538">
        <v>147.22</v>
      </c>
      <c r="S538" t="s">
        <v>1091</v>
      </c>
      <c r="T538" t="s">
        <v>39</v>
      </c>
    </row>
    <row r="539" spans="1:20" x14ac:dyDescent="0.35">
      <c r="A539" s="22" t="s">
        <v>631</v>
      </c>
      <c r="B539" cm="1">
        <f t="array" ref="B539">IF(MATCH(Table1[[#This Row],[Customer ID]], Table1[Customer ID], 0) = ROW() - ROW(Table1[#Headers]), 1, 0)</f>
        <v>1</v>
      </c>
      <c r="C539" t="s">
        <v>632</v>
      </c>
      <c r="D539" s="2">
        <v>45741</v>
      </c>
      <c r="E539">
        <v>45</v>
      </c>
      <c r="F539" t="str" cm="1">
        <f t="array" ref="F539">_xlfn.IFS( Table1[[#This Row],[Age]]&lt;18, "&lt;18", Table1[[#This Row],[Age]]&lt;= 29, "18-29", Table1[[#This Row],[Age]]&lt;= 44, "30-44",  Table1[[#This Row],[Age]]&lt;=59, "45-59", TRUE, "60+")</f>
        <v>45-59</v>
      </c>
      <c r="G539" t="s">
        <v>121</v>
      </c>
      <c r="H539" t="s">
        <v>41</v>
      </c>
      <c r="I539" t="s">
        <v>21</v>
      </c>
      <c r="J539">
        <v>2</v>
      </c>
      <c r="K539" t="s">
        <v>22</v>
      </c>
      <c r="L539" t="str" cm="1">
        <f t="array" ref="L539">_xlfn.IFS(Table1[[#This Row],[Customer Tenure in months]]&lt;=6, "0-6 months", Table1[[#This Row],[Customer Tenure in months]] &lt;=12, "7-12 months", Table1[[#This Row],[Customer Tenure in months]] &lt;=24, "1-2 years", TRUE, "2+ years")</f>
        <v>2+ years</v>
      </c>
      <c r="M539">
        <v>54</v>
      </c>
      <c r="N539" t="s">
        <v>71</v>
      </c>
      <c r="O539" s="1">
        <v>14500</v>
      </c>
      <c r="P539">
        <v>18</v>
      </c>
      <c r="Q539" s="1">
        <v>261000</v>
      </c>
      <c r="R539">
        <v>122.96</v>
      </c>
      <c r="S539" t="s">
        <v>1091</v>
      </c>
      <c r="T539" t="s">
        <v>39</v>
      </c>
    </row>
    <row r="540" spans="1:20" x14ac:dyDescent="0.35">
      <c r="A540" s="22" t="s">
        <v>633</v>
      </c>
      <c r="B540" cm="1">
        <f t="array" ref="B540">IF(MATCH(Table1[[#This Row],[Customer ID]], Table1[Customer ID], 0) = ROW() - ROW(Table1[#Headers]), 1, 0)</f>
        <v>1</v>
      </c>
      <c r="C540" t="s">
        <v>634</v>
      </c>
      <c r="D540" s="2">
        <v>45741</v>
      </c>
      <c r="E540">
        <v>77</v>
      </c>
      <c r="F540" t="str" cm="1">
        <f t="array" ref="F540">_xlfn.IFS( Table1[[#This Row],[Age]]&lt;18, "&lt;18", Table1[[#This Row],[Age]]&lt;= 29, "18-29", Table1[[#This Row],[Age]]&lt;= 44, "30-44",  Table1[[#This Row],[Age]]&lt;=59, "45-59", TRUE, "60+")</f>
        <v>60+</v>
      </c>
      <c r="G540" t="s">
        <v>45</v>
      </c>
      <c r="H540" t="s">
        <v>36</v>
      </c>
      <c r="I540" t="s">
        <v>30</v>
      </c>
      <c r="J540">
        <v>4</v>
      </c>
      <c r="K540" t="s">
        <v>114</v>
      </c>
      <c r="L540" t="str" cm="1">
        <f t="array" ref="L540">_xlfn.IFS(Table1[[#This Row],[Customer Tenure in months]]&lt;=6, "0-6 months", Table1[[#This Row],[Customer Tenure in months]] &lt;=12, "7-12 months", Table1[[#This Row],[Customer Tenure in months]] &lt;=24, "1-2 years", TRUE, "2+ years")</f>
        <v>2+ years</v>
      </c>
      <c r="M540">
        <v>32</v>
      </c>
      <c r="N540" t="s">
        <v>65</v>
      </c>
      <c r="O540" s="1">
        <v>30000</v>
      </c>
      <c r="P540">
        <v>14</v>
      </c>
      <c r="Q540" s="1">
        <v>420000</v>
      </c>
      <c r="R540">
        <v>11.3</v>
      </c>
      <c r="S540" t="s">
        <v>32</v>
      </c>
      <c r="T540" t="s">
        <v>24</v>
      </c>
    </row>
    <row r="541" spans="1:20" x14ac:dyDescent="0.35">
      <c r="A541" s="22" t="s">
        <v>633</v>
      </c>
      <c r="B541" cm="1">
        <f t="array" ref="B541">IF(MATCH(Table1[[#This Row],[Customer ID]], Table1[Customer ID], 0) = ROW() - ROW(Table1[#Headers]), 1, 0)</f>
        <v>0</v>
      </c>
      <c r="C541" t="s">
        <v>634</v>
      </c>
      <c r="D541" s="2">
        <v>45741</v>
      </c>
      <c r="E541">
        <v>77</v>
      </c>
      <c r="F541" t="str" cm="1">
        <f t="array" ref="F541">_xlfn.IFS( Table1[[#This Row],[Age]]&lt;18, "&lt;18", Table1[[#This Row],[Age]]&lt;= 29, "18-29", Table1[[#This Row],[Age]]&lt;= 44, "30-44",  Table1[[#This Row],[Age]]&lt;=59, "45-59", TRUE, "60+")</f>
        <v>60+</v>
      </c>
      <c r="G541" t="s">
        <v>45</v>
      </c>
      <c r="H541" t="s">
        <v>29</v>
      </c>
      <c r="I541" t="s">
        <v>30</v>
      </c>
      <c r="J541">
        <v>4</v>
      </c>
      <c r="K541" t="s">
        <v>114</v>
      </c>
      <c r="L541" t="str" cm="1">
        <f t="array" ref="L541">_xlfn.IFS(Table1[[#This Row],[Customer Tenure in months]]&lt;=6, "0-6 months", Table1[[#This Row],[Customer Tenure in months]] &lt;=12, "7-12 months", Table1[[#This Row],[Customer Tenure in months]] &lt;=24, "1-2 years", TRUE, "2+ years")</f>
        <v>2+ years</v>
      </c>
      <c r="M541">
        <v>32</v>
      </c>
      <c r="N541" t="s">
        <v>23</v>
      </c>
      <c r="O541" s="1">
        <v>35000</v>
      </c>
      <c r="P541">
        <v>2</v>
      </c>
      <c r="Q541" s="1">
        <v>70000</v>
      </c>
      <c r="R541">
        <v>187.96</v>
      </c>
      <c r="S541" t="s">
        <v>32</v>
      </c>
      <c r="T541" t="s">
        <v>24</v>
      </c>
    </row>
    <row r="542" spans="1:20" x14ac:dyDescent="0.35">
      <c r="A542" s="22" t="s">
        <v>633</v>
      </c>
      <c r="B542" cm="1">
        <f t="array" ref="B542">IF(MATCH(Table1[[#This Row],[Customer ID]], Table1[Customer ID], 0) = ROW() - ROW(Table1[#Headers]), 1, 0)</f>
        <v>0</v>
      </c>
      <c r="C542" t="s">
        <v>634</v>
      </c>
      <c r="D542" s="2">
        <v>45741</v>
      </c>
      <c r="E542">
        <v>77</v>
      </c>
      <c r="F542" t="str" cm="1">
        <f t="array" ref="F542">_xlfn.IFS( Table1[[#This Row],[Age]]&lt;18, "&lt;18", Table1[[#This Row],[Age]]&lt;= 29, "18-29", Table1[[#This Row],[Age]]&lt;= 44, "30-44",  Table1[[#This Row],[Age]]&lt;=59, "45-59", TRUE, "60+")</f>
        <v>60+</v>
      </c>
      <c r="G542" t="s">
        <v>45</v>
      </c>
      <c r="H542" t="s">
        <v>41</v>
      </c>
      <c r="I542" t="s">
        <v>30</v>
      </c>
      <c r="J542">
        <v>4</v>
      </c>
      <c r="K542" t="s">
        <v>114</v>
      </c>
      <c r="L542" t="str" cm="1">
        <f t="array" ref="L542">_xlfn.IFS(Table1[[#This Row],[Customer Tenure in months]]&lt;=6, "0-6 months", Table1[[#This Row],[Customer Tenure in months]] &lt;=12, "7-12 months", Table1[[#This Row],[Customer Tenure in months]] &lt;=24, "1-2 years", TRUE, "2+ years")</f>
        <v>2+ years</v>
      </c>
      <c r="M542">
        <v>32</v>
      </c>
      <c r="N542" t="s">
        <v>62</v>
      </c>
      <c r="O542" s="1">
        <v>24000</v>
      </c>
      <c r="P542">
        <v>6</v>
      </c>
      <c r="Q542" s="1">
        <v>144000</v>
      </c>
      <c r="R542">
        <v>69.78</v>
      </c>
      <c r="S542" t="s">
        <v>32</v>
      </c>
      <c r="T542" t="s">
        <v>24</v>
      </c>
    </row>
    <row r="543" spans="1:20" x14ac:dyDescent="0.35">
      <c r="A543" s="22" t="s">
        <v>635</v>
      </c>
      <c r="B543" cm="1">
        <f t="array" ref="B543">IF(MATCH(Table1[[#This Row],[Customer ID]], Table1[Customer ID], 0) = ROW() - ROW(Table1[#Headers]), 1, 0)</f>
        <v>1</v>
      </c>
      <c r="C543" t="s">
        <v>636</v>
      </c>
      <c r="D543" s="2">
        <v>45682</v>
      </c>
      <c r="E543">
        <v>31</v>
      </c>
      <c r="F543" t="str" cm="1">
        <f t="array" ref="F543">_xlfn.IFS( Table1[[#This Row],[Age]]&lt;18, "&lt;18", Table1[[#This Row],[Age]]&lt;= 29, "18-29", Table1[[#This Row],[Age]]&lt;= 44, "30-44",  Table1[[#This Row],[Age]]&lt;=59, "45-59", TRUE, "60+")</f>
        <v>30-44</v>
      </c>
      <c r="G543" t="s">
        <v>75</v>
      </c>
      <c r="H543" t="s">
        <v>41</v>
      </c>
      <c r="I543" t="s">
        <v>30</v>
      </c>
      <c r="J543">
        <v>1</v>
      </c>
      <c r="K543" t="s">
        <v>37</v>
      </c>
      <c r="L543" t="str" cm="1">
        <f t="array" ref="L543">_xlfn.IFS(Table1[[#This Row],[Customer Tenure in months]]&lt;=6, "0-6 months", Table1[[#This Row],[Customer Tenure in months]] &lt;=12, "7-12 months", Table1[[#This Row],[Customer Tenure in months]] &lt;=24, "1-2 years", TRUE, "2+ years")</f>
        <v>1-2 years</v>
      </c>
      <c r="M543">
        <v>21</v>
      </c>
      <c r="N543" t="s">
        <v>65</v>
      </c>
      <c r="O543" s="1">
        <v>30000</v>
      </c>
      <c r="P543">
        <v>9</v>
      </c>
      <c r="Q543" s="1">
        <v>270000</v>
      </c>
      <c r="R543">
        <v>122.75</v>
      </c>
      <c r="S543" t="s">
        <v>1091</v>
      </c>
      <c r="T543" t="s">
        <v>39</v>
      </c>
    </row>
    <row r="544" spans="1:20" x14ac:dyDescent="0.35">
      <c r="A544" s="22" t="s">
        <v>635</v>
      </c>
      <c r="B544" cm="1">
        <f t="array" ref="B544">IF(MATCH(Table1[[#This Row],[Customer ID]], Table1[Customer ID], 0) = ROW() - ROW(Table1[#Headers]), 1, 0)</f>
        <v>0</v>
      </c>
      <c r="C544" t="s">
        <v>636</v>
      </c>
      <c r="D544" s="2">
        <v>45682</v>
      </c>
      <c r="E544">
        <v>31</v>
      </c>
      <c r="F544" t="str" cm="1">
        <f t="array" ref="F544">_xlfn.IFS( Table1[[#This Row],[Age]]&lt;18, "&lt;18", Table1[[#This Row],[Age]]&lt;= 29, "18-29", Table1[[#This Row],[Age]]&lt;= 44, "30-44",  Table1[[#This Row],[Age]]&lt;=59, "45-59", TRUE, "60+")</f>
        <v>30-44</v>
      </c>
      <c r="G544" t="s">
        <v>75</v>
      </c>
      <c r="H544" t="s">
        <v>29</v>
      </c>
      <c r="I544" t="s">
        <v>30</v>
      </c>
      <c r="J544">
        <v>1</v>
      </c>
      <c r="K544" t="s">
        <v>37</v>
      </c>
      <c r="L544" t="str" cm="1">
        <f t="array" ref="L544">_xlfn.IFS(Table1[[#This Row],[Customer Tenure in months]]&lt;=6, "0-6 months", Table1[[#This Row],[Customer Tenure in months]] &lt;=12, "7-12 months", Table1[[#This Row],[Customer Tenure in months]] &lt;=24, "1-2 years", TRUE, "2+ years")</f>
        <v>1-2 years</v>
      </c>
      <c r="M544">
        <v>21</v>
      </c>
      <c r="N544" t="s">
        <v>46</v>
      </c>
      <c r="O544" s="1">
        <v>4500</v>
      </c>
      <c r="P544">
        <v>8</v>
      </c>
      <c r="Q544" s="1">
        <v>36000</v>
      </c>
      <c r="R544">
        <v>109.94</v>
      </c>
      <c r="S544" t="s">
        <v>1091</v>
      </c>
      <c r="T544" t="s">
        <v>39</v>
      </c>
    </row>
    <row r="545" spans="1:20" x14ac:dyDescent="0.35">
      <c r="A545" s="22" t="s">
        <v>637</v>
      </c>
      <c r="B545" cm="1">
        <f t="array" ref="B545">IF(MATCH(Table1[[#This Row],[Customer ID]], Table1[Customer ID], 0) = ROW() - ROW(Table1[#Headers]), 1, 0)</f>
        <v>1</v>
      </c>
      <c r="C545" t="s">
        <v>638</v>
      </c>
      <c r="D545" s="2">
        <v>45713</v>
      </c>
      <c r="E545">
        <v>76</v>
      </c>
      <c r="F545" t="str" cm="1">
        <f t="array" ref="F545">_xlfn.IFS( Table1[[#This Row],[Age]]&lt;18, "&lt;18", Table1[[#This Row],[Age]]&lt;= 29, "18-29", Table1[[#This Row],[Age]]&lt;= 44, "30-44",  Table1[[#This Row],[Age]]&lt;=59, "45-59", TRUE, "60+")</f>
        <v>60+</v>
      </c>
      <c r="G545" t="s">
        <v>157</v>
      </c>
      <c r="H545" t="s">
        <v>36</v>
      </c>
      <c r="I545" t="s">
        <v>30</v>
      </c>
      <c r="J545">
        <v>4</v>
      </c>
      <c r="K545" t="s">
        <v>114</v>
      </c>
      <c r="L545" t="str" cm="1">
        <f t="array" ref="L545">_xlfn.IFS(Table1[[#This Row],[Customer Tenure in months]]&lt;=6, "0-6 months", Table1[[#This Row],[Customer Tenure in months]] &lt;=12, "7-12 months", Table1[[#This Row],[Customer Tenure in months]] &lt;=24, "1-2 years", TRUE, "2+ years")</f>
        <v>7-12 months</v>
      </c>
      <c r="M545">
        <v>12</v>
      </c>
      <c r="N545" t="s">
        <v>62</v>
      </c>
      <c r="O545" s="1">
        <v>24000</v>
      </c>
      <c r="P545">
        <v>19</v>
      </c>
      <c r="Q545" s="1">
        <v>456000</v>
      </c>
      <c r="R545">
        <v>90.42</v>
      </c>
      <c r="S545" t="s">
        <v>284</v>
      </c>
      <c r="T545" t="s">
        <v>24</v>
      </c>
    </row>
    <row r="546" spans="1:20" x14ac:dyDescent="0.35">
      <c r="A546" s="22" t="s">
        <v>637</v>
      </c>
      <c r="B546" cm="1">
        <f t="array" ref="B546">IF(MATCH(Table1[[#This Row],[Customer ID]], Table1[Customer ID], 0) = ROW() - ROW(Table1[#Headers]), 1, 0)</f>
        <v>0</v>
      </c>
      <c r="C546" t="s">
        <v>638</v>
      </c>
      <c r="D546" s="2">
        <v>45713</v>
      </c>
      <c r="E546">
        <v>76</v>
      </c>
      <c r="F546" t="str" cm="1">
        <f t="array" ref="F546">_xlfn.IFS( Table1[[#This Row],[Age]]&lt;18, "&lt;18", Table1[[#This Row],[Age]]&lt;= 29, "18-29", Table1[[#This Row],[Age]]&lt;= 44, "30-44",  Table1[[#This Row],[Age]]&lt;=59, "45-59", TRUE, "60+")</f>
        <v>60+</v>
      </c>
      <c r="G546" t="s">
        <v>157</v>
      </c>
      <c r="H546" t="s">
        <v>20</v>
      </c>
      <c r="I546" t="s">
        <v>30</v>
      </c>
      <c r="J546">
        <v>4</v>
      </c>
      <c r="K546" t="s">
        <v>114</v>
      </c>
      <c r="L546" t="str" cm="1">
        <f t="array" ref="L546">_xlfn.IFS(Table1[[#This Row],[Customer Tenure in months]]&lt;=6, "0-6 months", Table1[[#This Row],[Customer Tenure in months]] &lt;=12, "7-12 months", Table1[[#This Row],[Customer Tenure in months]] &lt;=24, "1-2 years", TRUE, "2+ years")</f>
        <v>7-12 months</v>
      </c>
      <c r="M546">
        <v>12</v>
      </c>
      <c r="N546" t="s">
        <v>46</v>
      </c>
      <c r="O546" s="1">
        <v>4500</v>
      </c>
      <c r="P546">
        <v>8</v>
      </c>
      <c r="Q546" s="1">
        <v>36000</v>
      </c>
      <c r="R546">
        <v>195.86</v>
      </c>
      <c r="S546" t="s">
        <v>284</v>
      </c>
      <c r="T546" t="s">
        <v>24</v>
      </c>
    </row>
    <row r="547" spans="1:20" x14ac:dyDescent="0.35">
      <c r="A547" s="22" t="s">
        <v>639</v>
      </c>
      <c r="B547" cm="1">
        <f t="array" ref="B547">IF(MATCH(Table1[[#This Row],[Customer ID]], Table1[Customer ID], 0) = ROW() - ROW(Table1[#Headers]), 1, 0)</f>
        <v>1</v>
      </c>
      <c r="C547" t="s">
        <v>640</v>
      </c>
      <c r="D547" s="2">
        <v>45713</v>
      </c>
      <c r="E547">
        <v>50</v>
      </c>
      <c r="F547" t="str" cm="1">
        <f t="array" ref="F547">_xlfn.IFS( Table1[[#This Row],[Age]]&lt;18, "&lt;18", Table1[[#This Row],[Age]]&lt;= 29, "18-29", Table1[[#This Row],[Age]]&lt;= 44, "30-44",  Table1[[#This Row],[Age]]&lt;=59, "45-59", TRUE, "60+")</f>
        <v>45-59</v>
      </c>
      <c r="G547" t="s">
        <v>70</v>
      </c>
      <c r="H547" t="s">
        <v>29</v>
      </c>
      <c r="I547" t="s">
        <v>30</v>
      </c>
      <c r="J547">
        <v>2</v>
      </c>
      <c r="K547" t="s">
        <v>22</v>
      </c>
      <c r="L547" t="str" cm="1">
        <f t="array" ref="L547">_xlfn.IFS(Table1[[#This Row],[Customer Tenure in months]]&lt;=6, "0-6 months", Table1[[#This Row],[Customer Tenure in months]] &lt;=12, "7-12 months", Table1[[#This Row],[Customer Tenure in months]] &lt;=24, "1-2 years", TRUE, "2+ years")</f>
        <v>2+ years</v>
      </c>
      <c r="M547">
        <v>55</v>
      </c>
      <c r="N547" t="s">
        <v>102</v>
      </c>
      <c r="O547" s="1">
        <v>900</v>
      </c>
      <c r="P547">
        <v>16</v>
      </c>
      <c r="Q547" s="1">
        <v>14400</v>
      </c>
      <c r="R547">
        <v>35.729999999999997</v>
      </c>
      <c r="S547" t="s">
        <v>284</v>
      </c>
      <c r="T547" t="s">
        <v>24</v>
      </c>
    </row>
    <row r="548" spans="1:20" x14ac:dyDescent="0.35">
      <c r="A548" s="22" t="s">
        <v>641</v>
      </c>
      <c r="B548" cm="1">
        <f t="array" ref="B548">IF(MATCH(Table1[[#This Row],[Customer ID]], Table1[Customer ID], 0) = ROW() - ROW(Table1[#Headers]), 1, 0)</f>
        <v>1</v>
      </c>
      <c r="C548" t="s">
        <v>642</v>
      </c>
      <c r="D548" s="2">
        <v>45682</v>
      </c>
      <c r="E548">
        <v>56</v>
      </c>
      <c r="F548" t="str" cm="1">
        <f t="array" ref="F548">_xlfn.IFS( Table1[[#This Row],[Age]]&lt;18, "&lt;18", Table1[[#This Row],[Age]]&lt;= 29, "18-29", Table1[[#This Row],[Age]]&lt;= 44, "30-44",  Table1[[#This Row],[Age]]&lt;=59, "45-59", TRUE, "60+")</f>
        <v>45-59</v>
      </c>
      <c r="G548" t="s">
        <v>90</v>
      </c>
      <c r="H548" t="s">
        <v>20</v>
      </c>
      <c r="I548" t="s">
        <v>30</v>
      </c>
      <c r="J548">
        <v>4</v>
      </c>
      <c r="K548" t="s">
        <v>114</v>
      </c>
      <c r="L548" t="str" cm="1">
        <f t="array" ref="L548">_xlfn.IFS(Table1[[#This Row],[Customer Tenure in months]]&lt;=6, "0-6 months", Table1[[#This Row],[Customer Tenure in months]] &lt;=12, "7-12 months", Table1[[#This Row],[Customer Tenure in months]] &lt;=24, "1-2 years", TRUE, "2+ years")</f>
        <v>1-2 years</v>
      </c>
      <c r="M548">
        <v>17</v>
      </c>
      <c r="N548" t="s">
        <v>51</v>
      </c>
      <c r="O548" s="1">
        <v>9000</v>
      </c>
      <c r="P548">
        <v>4</v>
      </c>
      <c r="Q548" s="1">
        <v>36000</v>
      </c>
      <c r="R548">
        <v>95.57</v>
      </c>
      <c r="S548" t="s">
        <v>265</v>
      </c>
      <c r="T548" t="s">
        <v>24</v>
      </c>
    </row>
    <row r="549" spans="1:20" x14ac:dyDescent="0.35">
      <c r="A549" s="22" t="s">
        <v>643</v>
      </c>
      <c r="B549" cm="1">
        <f t="array" ref="B549">IF(MATCH(Table1[[#This Row],[Customer ID]], Table1[Customer ID], 0) = ROW() - ROW(Table1[#Headers]), 1, 0)</f>
        <v>1</v>
      </c>
      <c r="C549" t="s">
        <v>644</v>
      </c>
      <c r="D549" s="2">
        <v>45741</v>
      </c>
      <c r="E549">
        <v>58</v>
      </c>
      <c r="F549" t="str" cm="1">
        <f t="array" ref="F549">_xlfn.IFS( Table1[[#This Row],[Age]]&lt;18, "&lt;18", Table1[[#This Row],[Age]]&lt;= 29, "18-29", Table1[[#This Row],[Age]]&lt;= 44, "30-44",  Table1[[#This Row],[Age]]&lt;=59, "45-59", TRUE, "60+")</f>
        <v>45-59</v>
      </c>
      <c r="G549" t="s">
        <v>143</v>
      </c>
      <c r="H549" t="s">
        <v>29</v>
      </c>
      <c r="I549" t="s">
        <v>30</v>
      </c>
      <c r="J549">
        <v>3</v>
      </c>
      <c r="K549" t="s">
        <v>50</v>
      </c>
      <c r="L549" t="str" cm="1">
        <f t="array" ref="L549">_xlfn.IFS(Table1[[#This Row],[Customer Tenure in months]]&lt;=6, "0-6 months", Table1[[#This Row],[Customer Tenure in months]] &lt;=12, "7-12 months", Table1[[#This Row],[Customer Tenure in months]] &lt;=24, "1-2 years", TRUE, "2+ years")</f>
        <v>1-2 years</v>
      </c>
      <c r="M549">
        <v>24</v>
      </c>
      <c r="N549" t="s">
        <v>46</v>
      </c>
      <c r="O549" s="1">
        <v>4500</v>
      </c>
      <c r="P549">
        <v>10</v>
      </c>
      <c r="Q549" s="1">
        <v>45000</v>
      </c>
      <c r="R549">
        <v>195.88</v>
      </c>
      <c r="S549" t="s">
        <v>76</v>
      </c>
      <c r="T549" t="s">
        <v>24</v>
      </c>
    </row>
    <row r="550" spans="1:20" x14ac:dyDescent="0.35">
      <c r="A550" s="22" t="s">
        <v>643</v>
      </c>
      <c r="B550" cm="1">
        <f t="array" ref="B550">IF(MATCH(Table1[[#This Row],[Customer ID]], Table1[Customer ID], 0) = ROW() - ROW(Table1[#Headers]), 1, 0)</f>
        <v>0</v>
      </c>
      <c r="C550" t="s">
        <v>644</v>
      </c>
      <c r="D550" s="2">
        <v>45741</v>
      </c>
      <c r="E550">
        <v>58</v>
      </c>
      <c r="F550" t="str" cm="1">
        <f t="array" ref="F550">_xlfn.IFS( Table1[[#This Row],[Age]]&lt;18, "&lt;18", Table1[[#This Row],[Age]]&lt;= 29, "18-29", Table1[[#This Row],[Age]]&lt;= 44, "30-44",  Table1[[#This Row],[Age]]&lt;=59, "45-59", TRUE, "60+")</f>
        <v>45-59</v>
      </c>
      <c r="G550" t="s">
        <v>143</v>
      </c>
      <c r="H550" t="s">
        <v>36</v>
      </c>
      <c r="I550" t="s">
        <v>30</v>
      </c>
      <c r="J550">
        <v>3</v>
      </c>
      <c r="K550" t="s">
        <v>50</v>
      </c>
      <c r="L550" t="str" cm="1">
        <f t="array" ref="L550">_xlfn.IFS(Table1[[#This Row],[Customer Tenure in months]]&lt;=6, "0-6 months", Table1[[#This Row],[Customer Tenure in months]] &lt;=12, "7-12 months", Table1[[#This Row],[Customer Tenure in months]] &lt;=24, "1-2 years", TRUE, "2+ years")</f>
        <v>1-2 years</v>
      </c>
      <c r="M550">
        <v>24</v>
      </c>
      <c r="N550" t="s">
        <v>115</v>
      </c>
      <c r="O550" s="1">
        <v>25000</v>
      </c>
      <c r="P550">
        <v>17</v>
      </c>
      <c r="Q550" s="1">
        <v>425000</v>
      </c>
      <c r="R550">
        <v>65.36</v>
      </c>
      <c r="S550" t="s">
        <v>76</v>
      </c>
      <c r="T550" t="s">
        <v>24</v>
      </c>
    </row>
    <row r="551" spans="1:20" x14ac:dyDescent="0.35">
      <c r="A551" s="22" t="s">
        <v>645</v>
      </c>
      <c r="B551" cm="1">
        <f t="array" ref="B551">IF(MATCH(Table1[[#This Row],[Customer ID]], Table1[Customer ID], 0) = ROW() - ROW(Table1[#Headers]), 1, 0)</f>
        <v>1</v>
      </c>
      <c r="C551" t="s">
        <v>646</v>
      </c>
      <c r="D551" s="2">
        <v>45741</v>
      </c>
      <c r="E551">
        <v>73</v>
      </c>
      <c r="F551" t="str" cm="1">
        <f t="array" ref="F551">_xlfn.IFS( Table1[[#This Row],[Age]]&lt;18, "&lt;18", Table1[[#This Row],[Age]]&lt;= 29, "18-29", Table1[[#This Row],[Age]]&lt;= 44, "30-44",  Table1[[#This Row],[Age]]&lt;=59, "45-59", TRUE, "60+")</f>
        <v>60+</v>
      </c>
      <c r="G551" t="s">
        <v>299</v>
      </c>
      <c r="H551" t="s">
        <v>20</v>
      </c>
      <c r="I551" t="s">
        <v>30</v>
      </c>
      <c r="J551">
        <v>4</v>
      </c>
      <c r="K551" t="s">
        <v>114</v>
      </c>
      <c r="L551" t="str" cm="1">
        <f t="array" ref="L551">_xlfn.IFS(Table1[[#This Row],[Customer Tenure in months]]&lt;=6, "0-6 months", Table1[[#This Row],[Customer Tenure in months]] &lt;=12, "7-12 months", Table1[[#This Row],[Customer Tenure in months]] &lt;=24, "1-2 years", TRUE, "2+ years")</f>
        <v>2+ years</v>
      </c>
      <c r="M551">
        <v>40</v>
      </c>
      <c r="N551" t="s">
        <v>51</v>
      </c>
      <c r="O551" s="1">
        <v>9000</v>
      </c>
      <c r="P551">
        <v>20</v>
      </c>
      <c r="Q551" s="1">
        <v>180000</v>
      </c>
      <c r="R551">
        <v>84.65</v>
      </c>
      <c r="S551" t="s">
        <v>1091</v>
      </c>
      <c r="T551" t="s">
        <v>39</v>
      </c>
    </row>
    <row r="552" spans="1:20" x14ac:dyDescent="0.35">
      <c r="A552" s="22" t="s">
        <v>647</v>
      </c>
      <c r="B552" cm="1">
        <f t="array" ref="B552">IF(MATCH(Table1[[#This Row],[Customer ID]], Table1[Customer ID], 0) = ROW() - ROW(Table1[#Headers]), 1, 0)</f>
        <v>1</v>
      </c>
      <c r="C552" t="s">
        <v>648</v>
      </c>
      <c r="D552" s="2">
        <v>45713</v>
      </c>
      <c r="E552">
        <v>25</v>
      </c>
      <c r="F552" t="str" cm="1">
        <f t="array" ref="F552">_xlfn.IFS( Table1[[#This Row],[Age]]&lt;18, "&lt;18", Table1[[#This Row],[Age]]&lt;= 29, "18-29", Table1[[#This Row],[Age]]&lt;= 44, "30-44",  Table1[[#This Row],[Age]]&lt;=59, "45-59", TRUE, "60+")</f>
        <v>18-29</v>
      </c>
      <c r="G552" t="s">
        <v>299</v>
      </c>
      <c r="H552" t="s">
        <v>36</v>
      </c>
      <c r="I552" t="s">
        <v>21</v>
      </c>
      <c r="J552">
        <v>3</v>
      </c>
      <c r="K552" t="s">
        <v>50</v>
      </c>
      <c r="L552" t="str" cm="1">
        <f t="array" ref="L552">_xlfn.IFS(Table1[[#This Row],[Customer Tenure in months]]&lt;=6, "0-6 months", Table1[[#This Row],[Customer Tenure in months]] &lt;=12, "7-12 months", Table1[[#This Row],[Customer Tenure in months]] &lt;=24, "1-2 years", TRUE, "2+ years")</f>
        <v>1-2 years</v>
      </c>
      <c r="M552">
        <v>22</v>
      </c>
      <c r="N552" t="s">
        <v>105</v>
      </c>
      <c r="O552" s="1">
        <v>75000</v>
      </c>
      <c r="P552">
        <v>15</v>
      </c>
      <c r="Q552" s="1">
        <v>1125000</v>
      </c>
      <c r="R552">
        <v>54.61</v>
      </c>
      <c r="S552" t="s">
        <v>1091</v>
      </c>
      <c r="T552" t="s">
        <v>39</v>
      </c>
    </row>
    <row r="553" spans="1:20" x14ac:dyDescent="0.35">
      <c r="A553" s="22" t="s">
        <v>647</v>
      </c>
      <c r="B553" cm="1">
        <f t="array" ref="B553">IF(MATCH(Table1[[#This Row],[Customer ID]], Table1[Customer ID], 0) = ROW() - ROW(Table1[#Headers]), 1, 0)</f>
        <v>0</v>
      </c>
      <c r="C553" t="s">
        <v>648</v>
      </c>
      <c r="D553" s="2">
        <v>45713</v>
      </c>
      <c r="E553">
        <v>25</v>
      </c>
      <c r="F553" t="str" cm="1">
        <f t="array" ref="F553">_xlfn.IFS( Table1[[#This Row],[Age]]&lt;18, "&lt;18", Table1[[#This Row],[Age]]&lt;= 29, "18-29", Table1[[#This Row],[Age]]&lt;= 44, "30-44",  Table1[[#This Row],[Age]]&lt;=59, "45-59", TRUE, "60+")</f>
        <v>18-29</v>
      </c>
      <c r="G553" t="s">
        <v>299</v>
      </c>
      <c r="H553" t="s">
        <v>29</v>
      </c>
      <c r="I553" t="s">
        <v>21</v>
      </c>
      <c r="J553">
        <v>3</v>
      </c>
      <c r="K553" t="s">
        <v>50</v>
      </c>
      <c r="L553" t="str" cm="1">
        <f t="array" ref="L553">_xlfn.IFS(Table1[[#This Row],[Customer Tenure in months]]&lt;=6, "0-6 months", Table1[[#This Row],[Customer Tenure in months]] &lt;=12, "7-12 months", Table1[[#This Row],[Customer Tenure in months]] &lt;=24, "1-2 years", TRUE, "2+ years")</f>
        <v>1-2 years</v>
      </c>
      <c r="M553">
        <v>22</v>
      </c>
      <c r="N553" t="s">
        <v>56</v>
      </c>
      <c r="O553" s="1">
        <v>3500</v>
      </c>
      <c r="P553">
        <v>17</v>
      </c>
      <c r="Q553" s="1">
        <v>59500</v>
      </c>
      <c r="R553">
        <v>149.71</v>
      </c>
      <c r="S553" t="s">
        <v>1091</v>
      </c>
      <c r="T553" t="s">
        <v>39</v>
      </c>
    </row>
    <row r="554" spans="1:20" x14ac:dyDescent="0.35">
      <c r="A554" s="22" t="s">
        <v>649</v>
      </c>
      <c r="B554" cm="1">
        <f t="array" ref="B554">IF(MATCH(Table1[[#This Row],[Customer ID]], Table1[Customer ID], 0) = ROW() - ROW(Table1[#Headers]), 1, 0)</f>
        <v>1</v>
      </c>
      <c r="C554" t="s">
        <v>650</v>
      </c>
      <c r="D554" s="2">
        <v>45682</v>
      </c>
      <c r="E554">
        <v>68</v>
      </c>
      <c r="F554" t="str" cm="1">
        <f t="array" ref="F554">_xlfn.IFS( Table1[[#This Row],[Age]]&lt;18, "&lt;18", Table1[[#This Row],[Age]]&lt;= 29, "18-29", Table1[[#This Row],[Age]]&lt;= 44, "30-44",  Table1[[#This Row],[Age]]&lt;=59, "45-59", TRUE, "60+")</f>
        <v>60+</v>
      </c>
      <c r="G554" t="s">
        <v>28</v>
      </c>
      <c r="H554" t="s">
        <v>36</v>
      </c>
      <c r="I554" t="s">
        <v>21</v>
      </c>
      <c r="J554">
        <v>2</v>
      </c>
      <c r="K554" t="s">
        <v>22</v>
      </c>
      <c r="L554" t="str" cm="1">
        <f t="array" ref="L554">_xlfn.IFS(Table1[[#This Row],[Customer Tenure in months]]&lt;=6, "0-6 months", Table1[[#This Row],[Customer Tenure in months]] &lt;=12, "7-12 months", Table1[[#This Row],[Customer Tenure in months]] &lt;=24, "1-2 years", TRUE, "2+ years")</f>
        <v>2+ years</v>
      </c>
      <c r="M554">
        <v>55</v>
      </c>
      <c r="N554" t="s">
        <v>71</v>
      </c>
      <c r="O554" s="1">
        <v>14500</v>
      </c>
      <c r="P554">
        <v>4</v>
      </c>
      <c r="Q554" s="1">
        <v>58000</v>
      </c>
      <c r="R554">
        <v>33.799999999999997</v>
      </c>
      <c r="S554" t="s">
        <v>1091</v>
      </c>
      <c r="T554" t="s">
        <v>39</v>
      </c>
    </row>
    <row r="555" spans="1:20" x14ac:dyDescent="0.35">
      <c r="A555" s="22" t="s">
        <v>649</v>
      </c>
      <c r="B555" cm="1">
        <f t="array" ref="B555">IF(MATCH(Table1[[#This Row],[Customer ID]], Table1[Customer ID], 0) = ROW() - ROW(Table1[#Headers]), 1, 0)</f>
        <v>0</v>
      </c>
      <c r="C555" t="s">
        <v>650</v>
      </c>
      <c r="D555" s="2">
        <v>45682</v>
      </c>
      <c r="E555">
        <v>68</v>
      </c>
      <c r="F555" t="str" cm="1">
        <f t="array" ref="F555">_xlfn.IFS( Table1[[#This Row],[Age]]&lt;18, "&lt;18", Table1[[#This Row],[Age]]&lt;= 29, "18-29", Table1[[#This Row],[Age]]&lt;= 44, "30-44",  Table1[[#This Row],[Age]]&lt;=59, "45-59", TRUE, "60+")</f>
        <v>60+</v>
      </c>
      <c r="G555" t="s">
        <v>28</v>
      </c>
      <c r="H555" t="s">
        <v>29</v>
      </c>
      <c r="I555" t="s">
        <v>21</v>
      </c>
      <c r="J555">
        <v>2</v>
      </c>
      <c r="K555" t="s">
        <v>22</v>
      </c>
      <c r="L555" t="str" cm="1">
        <f t="array" ref="L555">_xlfn.IFS(Table1[[#This Row],[Customer Tenure in months]]&lt;=6, "0-6 months", Table1[[#This Row],[Customer Tenure in months]] &lt;=12, "7-12 months", Table1[[#This Row],[Customer Tenure in months]] &lt;=24, "1-2 years", TRUE, "2+ years")</f>
        <v>2+ years</v>
      </c>
      <c r="M555">
        <v>55</v>
      </c>
      <c r="N555" t="s">
        <v>83</v>
      </c>
      <c r="O555" s="1">
        <v>1000</v>
      </c>
      <c r="P555">
        <v>16</v>
      </c>
      <c r="Q555" s="1">
        <v>16000</v>
      </c>
      <c r="R555">
        <v>13.23</v>
      </c>
      <c r="S555" t="s">
        <v>1091</v>
      </c>
      <c r="T555" t="s">
        <v>39</v>
      </c>
    </row>
    <row r="556" spans="1:20" x14ac:dyDescent="0.35">
      <c r="A556" s="22" t="s">
        <v>649</v>
      </c>
      <c r="B556" cm="1">
        <f t="array" ref="B556">IF(MATCH(Table1[[#This Row],[Customer ID]], Table1[Customer ID], 0) = ROW() - ROW(Table1[#Headers]), 1, 0)</f>
        <v>0</v>
      </c>
      <c r="C556" t="s">
        <v>650</v>
      </c>
      <c r="D556" s="2">
        <v>45682</v>
      </c>
      <c r="E556">
        <v>68</v>
      </c>
      <c r="F556" t="str" cm="1">
        <f t="array" ref="F556">_xlfn.IFS( Table1[[#This Row],[Age]]&lt;18, "&lt;18", Table1[[#This Row],[Age]]&lt;= 29, "18-29", Table1[[#This Row],[Age]]&lt;= 44, "30-44",  Table1[[#This Row],[Age]]&lt;=59, "45-59", TRUE, "60+")</f>
        <v>60+</v>
      </c>
      <c r="G556" t="s">
        <v>28</v>
      </c>
      <c r="H556" t="s">
        <v>41</v>
      </c>
      <c r="I556" t="s">
        <v>21</v>
      </c>
      <c r="J556">
        <v>2</v>
      </c>
      <c r="K556" t="s">
        <v>22</v>
      </c>
      <c r="L556" t="str" cm="1">
        <f t="array" ref="L556">_xlfn.IFS(Table1[[#This Row],[Customer Tenure in months]]&lt;=6, "0-6 months", Table1[[#This Row],[Customer Tenure in months]] &lt;=12, "7-12 months", Table1[[#This Row],[Customer Tenure in months]] &lt;=24, "1-2 years", TRUE, "2+ years")</f>
        <v>2+ years</v>
      </c>
      <c r="M556">
        <v>55</v>
      </c>
      <c r="N556" t="s">
        <v>62</v>
      </c>
      <c r="O556" s="1">
        <v>24000</v>
      </c>
      <c r="P556">
        <v>13</v>
      </c>
      <c r="Q556" s="1">
        <v>312000</v>
      </c>
      <c r="R556">
        <v>11.24</v>
      </c>
      <c r="S556" t="s">
        <v>1091</v>
      </c>
      <c r="T556" t="s">
        <v>39</v>
      </c>
    </row>
    <row r="557" spans="1:20" x14ac:dyDescent="0.35">
      <c r="A557" s="22" t="s">
        <v>651</v>
      </c>
      <c r="B557" cm="1">
        <f t="array" ref="B557">IF(MATCH(Table1[[#This Row],[Customer ID]], Table1[Customer ID], 0) = ROW() - ROW(Table1[#Headers]), 1, 0)</f>
        <v>1</v>
      </c>
      <c r="C557" t="s">
        <v>652</v>
      </c>
      <c r="D557" s="2">
        <v>45713</v>
      </c>
      <c r="E557">
        <v>26</v>
      </c>
      <c r="F557" t="str" cm="1">
        <f t="array" ref="F557">_xlfn.IFS( Table1[[#This Row],[Age]]&lt;18, "&lt;18", Table1[[#This Row],[Age]]&lt;= 29, "18-29", Table1[[#This Row],[Age]]&lt;= 44, "30-44",  Table1[[#This Row],[Age]]&lt;=59, "45-59", TRUE, "60+")</f>
        <v>18-29</v>
      </c>
      <c r="G557" t="s">
        <v>95</v>
      </c>
      <c r="H557" t="s">
        <v>36</v>
      </c>
      <c r="I557" t="s">
        <v>30</v>
      </c>
      <c r="J557">
        <v>1</v>
      </c>
      <c r="K557" t="s">
        <v>37</v>
      </c>
      <c r="L557" t="str" cm="1">
        <f t="array" ref="L557">_xlfn.IFS(Table1[[#This Row],[Customer Tenure in months]]&lt;=6, "0-6 months", Table1[[#This Row],[Customer Tenure in months]] &lt;=12, "7-12 months", Table1[[#This Row],[Customer Tenure in months]] &lt;=24, "1-2 years", TRUE, "2+ years")</f>
        <v>2+ years</v>
      </c>
      <c r="M557">
        <v>40</v>
      </c>
      <c r="N557" t="s">
        <v>71</v>
      </c>
      <c r="O557" s="1">
        <v>14500</v>
      </c>
      <c r="P557">
        <v>15</v>
      </c>
      <c r="Q557" s="1">
        <v>217500</v>
      </c>
      <c r="R557">
        <v>147.65</v>
      </c>
      <c r="S557" t="s">
        <v>1091</v>
      </c>
      <c r="T557" t="s">
        <v>39</v>
      </c>
    </row>
    <row r="558" spans="1:20" x14ac:dyDescent="0.35">
      <c r="A558" s="22" t="s">
        <v>651</v>
      </c>
      <c r="B558" cm="1">
        <f t="array" ref="B558">IF(MATCH(Table1[[#This Row],[Customer ID]], Table1[Customer ID], 0) = ROW() - ROW(Table1[#Headers]), 1, 0)</f>
        <v>0</v>
      </c>
      <c r="C558" t="s">
        <v>652</v>
      </c>
      <c r="D558" s="2">
        <v>45713</v>
      </c>
      <c r="E558">
        <v>26</v>
      </c>
      <c r="F558" t="str" cm="1">
        <f t="array" ref="F558">_xlfn.IFS( Table1[[#This Row],[Age]]&lt;18, "&lt;18", Table1[[#This Row],[Age]]&lt;= 29, "18-29", Table1[[#This Row],[Age]]&lt;= 44, "30-44",  Table1[[#This Row],[Age]]&lt;=59, "45-59", TRUE, "60+")</f>
        <v>18-29</v>
      </c>
      <c r="G558" t="s">
        <v>95</v>
      </c>
      <c r="H558" t="s">
        <v>41</v>
      </c>
      <c r="I558" t="s">
        <v>30</v>
      </c>
      <c r="J558">
        <v>1</v>
      </c>
      <c r="K558" t="s">
        <v>37</v>
      </c>
      <c r="L558" t="str" cm="1">
        <f t="array" ref="L558">_xlfn.IFS(Table1[[#This Row],[Customer Tenure in months]]&lt;=6, "0-6 months", Table1[[#This Row],[Customer Tenure in months]] &lt;=12, "7-12 months", Table1[[#This Row],[Customer Tenure in months]] &lt;=24, "1-2 years", TRUE, "2+ years")</f>
        <v>2+ years</v>
      </c>
      <c r="M558">
        <v>40</v>
      </c>
      <c r="N558" t="s">
        <v>38</v>
      </c>
      <c r="O558" s="1">
        <v>20000</v>
      </c>
      <c r="P558">
        <v>6</v>
      </c>
      <c r="Q558" s="1">
        <v>120000</v>
      </c>
      <c r="R558">
        <v>26.69</v>
      </c>
      <c r="S558" t="s">
        <v>1091</v>
      </c>
      <c r="T558" t="s">
        <v>39</v>
      </c>
    </row>
    <row r="559" spans="1:20" x14ac:dyDescent="0.35">
      <c r="A559" s="22" t="s">
        <v>653</v>
      </c>
      <c r="B559" cm="1">
        <f t="array" ref="B559">IF(MATCH(Table1[[#This Row],[Customer ID]], Table1[Customer ID], 0) = ROW() - ROW(Table1[#Headers]), 1, 0)</f>
        <v>1</v>
      </c>
      <c r="C559" t="s">
        <v>654</v>
      </c>
      <c r="D559" s="2">
        <v>45713</v>
      </c>
      <c r="E559">
        <v>20</v>
      </c>
      <c r="F559" t="str" cm="1">
        <f t="array" ref="F559">_xlfn.IFS( Table1[[#This Row],[Age]]&lt;18, "&lt;18", Table1[[#This Row],[Age]]&lt;= 29, "18-29", Table1[[#This Row],[Age]]&lt;= 44, "30-44",  Table1[[#This Row],[Age]]&lt;=59, "45-59", TRUE, "60+")</f>
        <v>18-29</v>
      </c>
      <c r="G559" t="s">
        <v>152</v>
      </c>
      <c r="H559" t="s">
        <v>36</v>
      </c>
      <c r="I559" t="s">
        <v>30</v>
      </c>
      <c r="J559">
        <v>4</v>
      </c>
      <c r="K559" t="s">
        <v>114</v>
      </c>
      <c r="L559" t="str" cm="1">
        <f t="array" ref="L559">_xlfn.IFS(Table1[[#This Row],[Customer Tenure in months]]&lt;=6, "0-6 months", Table1[[#This Row],[Customer Tenure in months]] &lt;=12, "7-12 months", Table1[[#This Row],[Customer Tenure in months]] &lt;=24, "1-2 years", TRUE, "2+ years")</f>
        <v>2+ years</v>
      </c>
      <c r="M559">
        <v>56</v>
      </c>
      <c r="N559" t="s">
        <v>65</v>
      </c>
      <c r="O559" s="1">
        <v>30000</v>
      </c>
      <c r="P559">
        <v>18</v>
      </c>
      <c r="Q559" s="1">
        <v>540000</v>
      </c>
      <c r="R559">
        <v>193.92</v>
      </c>
      <c r="S559" t="s">
        <v>1091</v>
      </c>
      <c r="T559" t="s">
        <v>39</v>
      </c>
    </row>
    <row r="560" spans="1:20" x14ac:dyDescent="0.35">
      <c r="A560" s="22" t="s">
        <v>653</v>
      </c>
      <c r="B560" cm="1">
        <f t="array" ref="B560">IF(MATCH(Table1[[#This Row],[Customer ID]], Table1[Customer ID], 0) = ROW() - ROW(Table1[#Headers]), 1, 0)</f>
        <v>0</v>
      </c>
      <c r="C560" t="s">
        <v>654</v>
      </c>
      <c r="D560" s="2">
        <v>45713</v>
      </c>
      <c r="E560">
        <v>20</v>
      </c>
      <c r="F560" t="str" cm="1">
        <f t="array" ref="F560">_xlfn.IFS( Table1[[#This Row],[Age]]&lt;18, "&lt;18", Table1[[#This Row],[Age]]&lt;= 29, "18-29", Table1[[#This Row],[Age]]&lt;= 44, "30-44",  Table1[[#This Row],[Age]]&lt;=59, "45-59", TRUE, "60+")</f>
        <v>18-29</v>
      </c>
      <c r="G560" t="s">
        <v>152</v>
      </c>
      <c r="H560" t="s">
        <v>29</v>
      </c>
      <c r="I560" t="s">
        <v>30</v>
      </c>
      <c r="J560">
        <v>4</v>
      </c>
      <c r="K560" t="s">
        <v>114</v>
      </c>
      <c r="L560" t="str" cm="1">
        <f t="array" ref="L560">_xlfn.IFS(Table1[[#This Row],[Customer Tenure in months]]&lt;=6, "0-6 months", Table1[[#This Row],[Customer Tenure in months]] &lt;=12, "7-12 months", Table1[[#This Row],[Customer Tenure in months]] &lt;=24, "1-2 years", TRUE, "2+ years")</f>
        <v>2+ years</v>
      </c>
      <c r="M560">
        <v>56</v>
      </c>
      <c r="N560" t="s">
        <v>164</v>
      </c>
      <c r="O560" s="1">
        <v>600</v>
      </c>
      <c r="P560">
        <v>15</v>
      </c>
      <c r="Q560" s="1">
        <v>9000</v>
      </c>
      <c r="R560">
        <v>118.37</v>
      </c>
      <c r="S560" t="s">
        <v>1091</v>
      </c>
      <c r="T560" t="s">
        <v>39</v>
      </c>
    </row>
    <row r="561" spans="1:20" x14ac:dyDescent="0.35">
      <c r="A561" s="22" t="s">
        <v>653</v>
      </c>
      <c r="B561" cm="1">
        <f t="array" ref="B561">IF(MATCH(Table1[[#This Row],[Customer ID]], Table1[Customer ID], 0) = ROW() - ROW(Table1[#Headers]), 1, 0)</f>
        <v>0</v>
      </c>
      <c r="C561" t="s">
        <v>654</v>
      </c>
      <c r="D561" s="2">
        <v>45713</v>
      </c>
      <c r="E561">
        <v>20</v>
      </c>
      <c r="F561" t="str" cm="1">
        <f t="array" ref="F561">_xlfn.IFS( Table1[[#This Row],[Age]]&lt;18, "&lt;18", Table1[[#This Row],[Age]]&lt;= 29, "18-29", Table1[[#This Row],[Age]]&lt;= 44, "30-44",  Table1[[#This Row],[Age]]&lt;=59, "45-59", TRUE, "60+")</f>
        <v>18-29</v>
      </c>
      <c r="G561" t="s">
        <v>152</v>
      </c>
      <c r="H561" t="s">
        <v>20</v>
      </c>
      <c r="I561" t="s">
        <v>30</v>
      </c>
      <c r="J561">
        <v>4</v>
      </c>
      <c r="K561" t="s">
        <v>114</v>
      </c>
      <c r="L561" t="str" cm="1">
        <f t="array" ref="L561">_xlfn.IFS(Table1[[#This Row],[Customer Tenure in months]]&lt;=6, "0-6 months", Table1[[#This Row],[Customer Tenure in months]] &lt;=12, "7-12 months", Table1[[#This Row],[Customer Tenure in months]] &lt;=24, "1-2 years", TRUE, "2+ years")</f>
        <v>2+ years</v>
      </c>
      <c r="M561">
        <v>56</v>
      </c>
      <c r="N561" t="s">
        <v>23</v>
      </c>
      <c r="O561" s="1">
        <v>35000</v>
      </c>
      <c r="P561">
        <v>18</v>
      </c>
      <c r="Q561" s="1">
        <v>630000</v>
      </c>
      <c r="R561">
        <v>104.93</v>
      </c>
      <c r="S561" t="s">
        <v>1091</v>
      </c>
      <c r="T561" t="s">
        <v>39</v>
      </c>
    </row>
    <row r="562" spans="1:20" x14ac:dyDescent="0.35">
      <c r="A562" s="22" t="s">
        <v>655</v>
      </c>
      <c r="B562" cm="1">
        <f t="array" ref="B562">IF(MATCH(Table1[[#This Row],[Customer ID]], Table1[Customer ID], 0) = ROW() - ROW(Table1[#Headers]), 1, 0)</f>
        <v>1</v>
      </c>
      <c r="C562" t="s">
        <v>656</v>
      </c>
      <c r="D562" s="2">
        <v>45682</v>
      </c>
      <c r="E562">
        <v>60</v>
      </c>
      <c r="F562" t="str" cm="1">
        <f t="array" ref="F562">_xlfn.IFS( Table1[[#This Row],[Age]]&lt;18, "&lt;18", Table1[[#This Row],[Age]]&lt;= 29, "18-29", Table1[[#This Row],[Age]]&lt;= 44, "30-44",  Table1[[#This Row],[Age]]&lt;=59, "45-59", TRUE, "60+")</f>
        <v>60+</v>
      </c>
      <c r="G562" t="s">
        <v>213</v>
      </c>
      <c r="H562" t="s">
        <v>36</v>
      </c>
      <c r="I562" t="s">
        <v>21</v>
      </c>
      <c r="J562">
        <v>4</v>
      </c>
      <c r="K562" t="s">
        <v>114</v>
      </c>
      <c r="L562" t="str" cm="1">
        <f t="array" ref="L562">_xlfn.IFS(Table1[[#This Row],[Customer Tenure in months]]&lt;=6, "0-6 months", Table1[[#This Row],[Customer Tenure in months]] &lt;=12, "7-12 months", Table1[[#This Row],[Customer Tenure in months]] &lt;=24, "1-2 years", TRUE, "2+ years")</f>
        <v>2+ years</v>
      </c>
      <c r="M562">
        <v>52</v>
      </c>
      <c r="N562" t="s">
        <v>62</v>
      </c>
      <c r="O562" s="1">
        <v>24000</v>
      </c>
      <c r="P562">
        <v>17</v>
      </c>
      <c r="Q562" s="1">
        <v>408000</v>
      </c>
      <c r="R562">
        <v>2.61</v>
      </c>
      <c r="S562" t="s">
        <v>1091</v>
      </c>
      <c r="T562" t="s">
        <v>39</v>
      </c>
    </row>
    <row r="563" spans="1:20" x14ac:dyDescent="0.35">
      <c r="A563" s="22" t="s">
        <v>655</v>
      </c>
      <c r="B563" cm="1">
        <f t="array" ref="B563">IF(MATCH(Table1[[#This Row],[Customer ID]], Table1[Customer ID], 0) = ROW() - ROW(Table1[#Headers]), 1, 0)</f>
        <v>0</v>
      </c>
      <c r="C563" t="s">
        <v>656</v>
      </c>
      <c r="D563" s="2">
        <v>45682</v>
      </c>
      <c r="E563">
        <v>60</v>
      </c>
      <c r="F563" t="str" cm="1">
        <f t="array" ref="F563">_xlfn.IFS( Table1[[#This Row],[Age]]&lt;18, "&lt;18", Table1[[#This Row],[Age]]&lt;= 29, "18-29", Table1[[#This Row],[Age]]&lt;= 44, "30-44",  Table1[[#This Row],[Age]]&lt;=59, "45-59", TRUE, "60+")</f>
        <v>60+</v>
      </c>
      <c r="G563" t="s">
        <v>213</v>
      </c>
      <c r="H563" t="s">
        <v>41</v>
      </c>
      <c r="I563" t="s">
        <v>21</v>
      </c>
      <c r="J563">
        <v>4</v>
      </c>
      <c r="K563" t="s">
        <v>114</v>
      </c>
      <c r="L563" t="str" cm="1">
        <f t="array" ref="L563">_xlfn.IFS(Table1[[#This Row],[Customer Tenure in months]]&lt;=6, "0-6 months", Table1[[#This Row],[Customer Tenure in months]] &lt;=12, "7-12 months", Table1[[#This Row],[Customer Tenure in months]] &lt;=24, "1-2 years", TRUE, "2+ years")</f>
        <v>2+ years</v>
      </c>
      <c r="M563">
        <v>52</v>
      </c>
      <c r="N563" t="s">
        <v>38</v>
      </c>
      <c r="O563" s="1">
        <v>20000</v>
      </c>
      <c r="P563">
        <v>16</v>
      </c>
      <c r="Q563" s="1">
        <v>320000</v>
      </c>
      <c r="R563">
        <v>69.11</v>
      </c>
      <c r="S563" t="s">
        <v>1091</v>
      </c>
      <c r="T563" t="s">
        <v>39</v>
      </c>
    </row>
    <row r="564" spans="1:20" x14ac:dyDescent="0.35">
      <c r="A564" s="22" t="s">
        <v>657</v>
      </c>
      <c r="B564" cm="1">
        <f t="array" ref="B564">IF(MATCH(Table1[[#This Row],[Customer ID]], Table1[Customer ID], 0) = ROW() - ROW(Table1[#Headers]), 1, 0)</f>
        <v>1</v>
      </c>
      <c r="C564" t="s">
        <v>658</v>
      </c>
      <c r="D564" s="2">
        <v>45682</v>
      </c>
      <c r="E564">
        <v>17</v>
      </c>
      <c r="F564" t="str" cm="1">
        <f t="array" ref="F564">_xlfn.IFS( Table1[[#This Row],[Age]]&lt;18, "&lt;18", Table1[[#This Row],[Age]]&lt;= 29, "18-29", Table1[[#This Row],[Age]]&lt;= 44, "30-44",  Table1[[#This Row],[Age]]&lt;=59, "45-59", TRUE, "60+")</f>
        <v>&lt;18</v>
      </c>
      <c r="G564" t="s">
        <v>90</v>
      </c>
      <c r="H564" t="s">
        <v>20</v>
      </c>
      <c r="I564" t="s">
        <v>30</v>
      </c>
      <c r="J564">
        <v>4</v>
      </c>
      <c r="K564" t="s">
        <v>114</v>
      </c>
      <c r="L564" t="str" cm="1">
        <f t="array" ref="L564">_xlfn.IFS(Table1[[#This Row],[Customer Tenure in months]]&lt;=6, "0-6 months", Table1[[#This Row],[Customer Tenure in months]] &lt;=12, "7-12 months", Table1[[#This Row],[Customer Tenure in months]] &lt;=24, "1-2 years", TRUE, "2+ years")</f>
        <v>1-2 years</v>
      </c>
      <c r="M564">
        <v>20</v>
      </c>
      <c r="N564" t="s">
        <v>46</v>
      </c>
      <c r="O564" s="1">
        <v>4500</v>
      </c>
      <c r="P564">
        <v>18</v>
      </c>
      <c r="Q564" s="1">
        <v>81000</v>
      </c>
      <c r="R564">
        <v>82.64</v>
      </c>
      <c r="S564" t="s">
        <v>1091</v>
      </c>
      <c r="T564" t="s">
        <v>39</v>
      </c>
    </row>
    <row r="565" spans="1:20" x14ac:dyDescent="0.35">
      <c r="A565" s="22" t="s">
        <v>657</v>
      </c>
      <c r="B565" cm="1">
        <f t="array" ref="B565">IF(MATCH(Table1[[#This Row],[Customer ID]], Table1[Customer ID], 0) = ROW() - ROW(Table1[#Headers]), 1, 0)</f>
        <v>0</v>
      </c>
      <c r="C565" t="s">
        <v>658</v>
      </c>
      <c r="D565" s="2">
        <v>45682</v>
      </c>
      <c r="E565">
        <v>17</v>
      </c>
      <c r="F565" t="str" cm="1">
        <f t="array" ref="F565">_xlfn.IFS( Table1[[#This Row],[Age]]&lt;18, "&lt;18", Table1[[#This Row],[Age]]&lt;= 29, "18-29", Table1[[#This Row],[Age]]&lt;= 44, "30-44",  Table1[[#This Row],[Age]]&lt;=59, "45-59", TRUE, "60+")</f>
        <v>&lt;18</v>
      </c>
      <c r="G565" t="s">
        <v>90</v>
      </c>
      <c r="H565" t="s">
        <v>29</v>
      </c>
      <c r="I565" t="s">
        <v>30</v>
      </c>
      <c r="J565">
        <v>4</v>
      </c>
      <c r="K565" t="s">
        <v>114</v>
      </c>
      <c r="L565" t="str" cm="1">
        <f t="array" ref="L565">_xlfn.IFS(Table1[[#This Row],[Customer Tenure in months]]&lt;=6, "0-6 months", Table1[[#This Row],[Customer Tenure in months]] &lt;=12, "7-12 months", Table1[[#This Row],[Customer Tenure in months]] &lt;=24, "1-2 years", TRUE, "2+ years")</f>
        <v>1-2 years</v>
      </c>
      <c r="M565">
        <v>20</v>
      </c>
      <c r="N565" t="s">
        <v>31</v>
      </c>
      <c r="O565" s="1">
        <v>5500</v>
      </c>
      <c r="P565">
        <v>6</v>
      </c>
      <c r="Q565" s="1">
        <v>33000</v>
      </c>
      <c r="R565">
        <v>79.25</v>
      </c>
      <c r="S565" t="s">
        <v>1091</v>
      </c>
      <c r="T565" t="s">
        <v>39</v>
      </c>
    </row>
    <row r="566" spans="1:20" x14ac:dyDescent="0.35">
      <c r="A566" s="22" t="s">
        <v>659</v>
      </c>
      <c r="B566" cm="1">
        <f t="array" ref="B566">IF(MATCH(Table1[[#This Row],[Customer ID]], Table1[Customer ID], 0) = ROW() - ROW(Table1[#Headers]), 1, 0)</f>
        <v>1</v>
      </c>
      <c r="C566" t="s">
        <v>660</v>
      </c>
      <c r="D566" s="2">
        <v>45713</v>
      </c>
      <c r="E566">
        <v>64</v>
      </c>
      <c r="F566" t="str" cm="1">
        <f t="array" ref="F566">_xlfn.IFS( Table1[[#This Row],[Age]]&lt;18, "&lt;18", Table1[[#This Row],[Age]]&lt;= 29, "18-29", Table1[[#This Row],[Age]]&lt;= 44, "30-44",  Table1[[#This Row],[Age]]&lt;=59, "45-59", TRUE, "60+")</f>
        <v>60+</v>
      </c>
      <c r="G566" t="s">
        <v>113</v>
      </c>
      <c r="H566" t="s">
        <v>36</v>
      </c>
      <c r="I566" t="s">
        <v>30</v>
      </c>
      <c r="J566">
        <v>2</v>
      </c>
      <c r="K566" t="s">
        <v>22</v>
      </c>
      <c r="L566" t="str" cm="1">
        <f t="array" ref="L566">_xlfn.IFS(Table1[[#This Row],[Customer Tenure in months]]&lt;=6, "0-6 months", Table1[[#This Row],[Customer Tenure in months]] &lt;=12, "7-12 months", Table1[[#This Row],[Customer Tenure in months]] &lt;=24, "1-2 years", TRUE, "2+ years")</f>
        <v>0-6 months</v>
      </c>
      <c r="M566">
        <v>6</v>
      </c>
      <c r="N566" t="s">
        <v>105</v>
      </c>
      <c r="O566" s="1">
        <v>75000</v>
      </c>
      <c r="P566">
        <v>3</v>
      </c>
      <c r="Q566" s="1">
        <v>225000</v>
      </c>
      <c r="R566">
        <v>38.01</v>
      </c>
      <c r="S566" t="s">
        <v>1091</v>
      </c>
      <c r="T566" t="s">
        <v>39</v>
      </c>
    </row>
    <row r="567" spans="1:20" x14ac:dyDescent="0.35">
      <c r="A567" s="22" t="s">
        <v>659</v>
      </c>
      <c r="B567" cm="1">
        <f t="array" ref="B567">IF(MATCH(Table1[[#This Row],[Customer ID]], Table1[Customer ID], 0) = ROW() - ROW(Table1[#Headers]), 1, 0)</f>
        <v>0</v>
      </c>
      <c r="C567" t="s">
        <v>660</v>
      </c>
      <c r="D567" s="2">
        <v>45713</v>
      </c>
      <c r="E567">
        <v>64</v>
      </c>
      <c r="F567" t="str" cm="1">
        <f t="array" ref="F567">_xlfn.IFS( Table1[[#This Row],[Age]]&lt;18, "&lt;18", Table1[[#This Row],[Age]]&lt;= 29, "18-29", Table1[[#This Row],[Age]]&lt;= 44, "30-44",  Table1[[#This Row],[Age]]&lt;=59, "45-59", TRUE, "60+")</f>
        <v>60+</v>
      </c>
      <c r="G567" t="s">
        <v>113</v>
      </c>
      <c r="H567" t="s">
        <v>20</v>
      </c>
      <c r="I567" t="s">
        <v>30</v>
      </c>
      <c r="J567">
        <v>2</v>
      </c>
      <c r="K567" t="s">
        <v>22</v>
      </c>
      <c r="L567" t="str" cm="1">
        <f t="array" ref="L567">_xlfn.IFS(Table1[[#This Row],[Customer Tenure in months]]&lt;=6, "0-6 months", Table1[[#This Row],[Customer Tenure in months]] &lt;=12, "7-12 months", Table1[[#This Row],[Customer Tenure in months]] &lt;=24, "1-2 years", TRUE, "2+ years")</f>
        <v>0-6 months</v>
      </c>
      <c r="M567">
        <v>6</v>
      </c>
      <c r="N567" t="s">
        <v>46</v>
      </c>
      <c r="O567" s="1">
        <v>4500</v>
      </c>
      <c r="P567">
        <v>4</v>
      </c>
      <c r="Q567" s="1">
        <v>18000</v>
      </c>
      <c r="R567">
        <v>27.76</v>
      </c>
      <c r="S567" t="s">
        <v>1091</v>
      </c>
      <c r="T567" t="s">
        <v>39</v>
      </c>
    </row>
    <row r="568" spans="1:20" x14ac:dyDescent="0.35">
      <c r="A568" s="22" t="s">
        <v>659</v>
      </c>
      <c r="B568" cm="1">
        <f t="array" ref="B568">IF(MATCH(Table1[[#This Row],[Customer ID]], Table1[Customer ID], 0) = ROW() - ROW(Table1[#Headers]), 1, 0)</f>
        <v>0</v>
      </c>
      <c r="C568" t="s">
        <v>660</v>
      </c>
      <c r="D568" s="2">
        <v>45713</v>
      </c>
      <c r="E568">
        <v>64</v>
      </c>
      <c r="F568" t="str" cm="1">
        <f t="array" ref="F568">_xlfn.IFS( Table1[[#This Row],[Age]]&lt;18, "&lt;18", Table1[[#This Row],[Age]]&lt;= 29, "18-29", Table1[[#This Row],[Age]]&lt;= 44, "30-44",  Table1[[#This Row],[Age]]&lt;=59, "45-59", TRUE, "60+")</f>
        <v>60+</v>
      </c>
      <c r="G568" t="s">
        <v>113</v>
      </c>
      <c r="H568" t="s">
        <v>29</v>
      </c>
      <c r="I568" t="s">
        <v>30</v>
      </c>
      <c r="J568">
        <v>2</v>
      </c>
      <c r="K568" t="s">
        <v>22</v>
      </c>
      <c r="L568" t="str" cm="1">
        <f t="array" ref="L568">_xlfn.IFS(Table1[[#This Row],[Customer Tenure in months]]&lt;=6, "0-6 months", Table1[[#This Row],[Customer Tenure in months]] &lt;=12, "7-12 months", Table1[[#This Row],[Customer Tenure in months]] &lt;=24, "1-2 years", TRUE, "2+ years")</f>
        <v>0-6 months</v>
      </c>
      <c r="M568">
        <v>6</v>
      </c>
      <c r="N568" t="s">
        <v>31</v>
      </c>
      <c r="O568" s="1">
        <v>5500</v>
      </c>
      <c r="P568">
        <v>9</v>
      </c>
      <c r="Q568" s="1">
        <v>49500</v>
      </c>
      <c r="R568">
        <v>123.74</v>
      </c>
      <c r="S568" t="s">
        <v>1091</v>
      </c>
      <c r="T568" t="s">
        <v>39</v>
      </c>
    </row>
    <row r="569" spans="1:20" x14ac:dyDescent="0.35">
      <c r="A569" s="22" t="s">
        <v>661</v>
      </c>
      <c r="B569" cm="1">
        <f t="array" ref="B569">IF(MATCH(Table1[[#This Row],[Customer ID]], Table1[Customer ID], 0) = ROW() - ROW(Table1[#Headers]), 1, 0)</f>
        <v>1</v>
      </c>
      <c r="C569" t="s">
        <v>662</v>
      </c>
      <c r="D569" s="2">
        <v>45682</v>
      </c>
      <c r="E569">
        <v>40</v>
      </c>
      <c r="F569" t="str" cm="1">
        <f t="array" ref="F569">_xlfn.IFS( Table1[[#This Row],[Age]]&lt;18, "&lt;18", Table1[[#This Row],[Age]]&lt;= 29, "18-29", Table1[[#This Row],[Age]]&lt;= 44, "30-44",  Table1[[#This Row],[Age]]&lt;=59, "45-59", TRUE, "60+")</f>
        <v>30-44</v>
      </c>
      <c r="G569" t="s">
        <v>258</v>
      </c>
      <c r="H569" t="s">
        <v>36</v>
      </c>
      <c r="I569" t="s">
        <v>21</v>
      </c>
      <c r="J569">
        <v>5</v>
      </c>
      <c r="K569" t="s">
        <v>55</v>
      </c>
      <c r="L569" t="str" cm="1">
        <f t="array" ref="L569">_xlfn.IFS(Table1[[#This Row],[Customer Tenure in months]]&lt;=6, "0-6 months", Table1[[#This Row],[Customer Tenure in months]] &lt;=12, "7-12 months", Table1[[#This Row],[Customer Tenure in months]] &lt;=24, "1-2 years", TRUE, "2+ years")</f>
        <v>7-12 months</v>
      </c>
      <c r="M569">
        <v>10</v>
      </c>
      <c r="N569" t="s">
        <v>57</v>
      </c>
      <c r="O569" s="1">
        <v>150000</v>
      </c>
      <c r="P569">
        <v>8</v>
      </c>
      <c r="Q569" s="1">
        <v>1200000</v>
      </c>
      <c r="R569">
        <v>145.56</v>
      </c>
      <c r="S569" t="s">
        <v>76</v>
      </c>
      <c r="T569" t="s">
        <v>24</v>
      </c>
    </row>
    <row r="570" spans="1:20" x14ac:dyDescent="0.35">
      <c r="A570" s="22" t="s">
        <v>661</v>
      </c>
      <c r="B570" cm="1">
        <f t="array" ref="B570">IF(MATCH(Table1[[#This Row],[Customer ID]], Table1[Customer ID], 0) = ROW() - ROW(Table1[#Headers]), 1, 0)</f>
        <v>0</v>
      </c>
      <c r="C570" t="s">
        <v>662</v>
      </c>
      <c r="D570" s="2">
        <v>45682</v>
      </c>
      <c r="E570">
        <v>40</v>
      </c>
      <c r="F570" t="str" cm="1">
        <f t="array" ref="F570">_xlfn.IFS( Table1[[#This Row],[Age]]&lt;18, "&lt;18", Table1[[#This Row],[Age]]&lt;= 29, "18-29", Table1[[#This Row],[Age]]&lt;= 44, "30-44",  Table1[[#This Row],[Age]]&lt;=59, "45-59", TRUE, "60+")</f>
        <v>30-44</v>
      </c>
      <c r="G570" t="s">
        <v>258</v>
      </c>
      <c r="H570" t="s">
        <v>41</v>
      </c>
      <c r="I570" t="s">
        <v>21</v>
      </c>
      <c r="J570">
        <v>5</v>
      </c>
      <c r="K570" t="s">
        <v>55</v>
      </c>
      <c r="L570" t="str" cm="1">
        <f t="array" ref="L570">_xlfn.IFS(Table1[[#This Row],[Customer Tenure in months]]&lt;=6, "0-6 months", Table1[[#This Row],[Customer Tenure in months]] &lt;=12, "7-12 months", Table1[[#This Row],[Customer Tenure in months]] &lt;=24, "1-2 years", TRUE, "2+ years")</f>
        <v>7-12 months</v>
      </c>
      <c r="M570">
        <v>10</v>
      </c>
      <c r="N570" t="s">
        <v>42</v>
      </c>
      <c r="O570" s="1">
        <v>9000</v>
      </c>
      <c r="P570">
        <v>16</v>
      </c>
      <c r="Q570" s="1">
        <v>144000</v>
      </c>
      <c r="R570">
        <v>30.56</v>
      </c>
      <c r="S570" t="s">
        <v>76</v>
      </c>
      <c r="T570" t="s">
        <v>24</v>
      </c>
    </row>
    <row r="571" spans="1:20" x14ac:dyDescent="0.35">
      <c r="A571" s="22" t="s">
        <v>663</v>
      </c>
      <c r="B571" cm="1">
        <f t="array" ref="B571">IF(MATCH(Table1[[#This Row],[Customer ID]], Table1[Customer ID], 0) = ROW() - ROW(Table1[#Headers]), 1, 0)</f>
        <v>1</v>
      </c>
      <c r="C571" t="s">
        <v>379</v>
      </c>
      <c r="D571" s="2">
        <v>45713</v>
      </c>
      <c r="E571">
        <v>59</v>
      </c>
      <c r="F571" t="str" cm="1">
        <f t="array" ref="F571">_xlfn.IFS( Table1[[#This Row],[Age]]&lt;18, "&lt;18", Table1[[#This Row],[Age]]&lt;= 29, "18-29", Table1[[#This Row],[Age]]&lt;= 44, "30-44",  Table1[[#This Row],[Age]]&lt;=59, "45-59", TRUE, "60+")</f>
        <v>45-59</v>
      </c>
      <c r="G571" t="s">
        <v>110</v>
      </c>
      <c r="H571" t="s">
        <v>36</v>
      </c>
      <c r="I571" t="s">
        <v>30</v>
      </c>
      <c r="J571">
        <v>3</v>
      </c>
      <c r="K571" t="s">
        <v>50</v>
      </c>
      <c r="L571" t="str" cm="1">
        <f t="array" ref="L571">_xlfn.IFS(Table1[[#This Row],[Customer Tenure in months]]&lt;=6, "0-6 months", Table1[[#This Row],[Customer Tenure in months]] &lt;=12, "7-12 months", Table1[[#This Row],[Customer Tenure in months]] &lt;=24, "1-2 years", TRUE, "2+ years")</f>
        <v>2+ years</v>
      </c>
      <c r="M571">
        <v>51</v>
      </c>
      <c r="N571" t="s">
        <v>38</v>
      </c>
      <c r="O571" s="1">
        <v>20000</v>
      </c>
      <c r="P571">
        <v>5</v>
      </c>
      <c r="Q571" s="1">
        <v>100000</v>
      </c>
      <c r="R571">
        <v>168.79</v>
      </c>
      <c r="S571" t="s">
        <v>1091</v>
      </c>
      <c r="T571" t="s">
        <v>39</v>
      </c>
    </row>
    <row r="572" spans="1:20" x14ac:dyDescent="0.35">
      <c r="A572" s="22" t="s">
        <v>664</v>
      </c>
      <c r="B572" cm="1">
        <f t="array" ref="B572">IF(MATCH(Table1[[#This Row],[Customer ID]], Table1[Customer ID], 0) = ROW() - ROW(Table1[#Headers]), 1, 0)</f>
        <v>1</v>
      </c>
      <c r="C572" t="s">
        <v>665</v>
      </c>
      <c r="D572" s="2">
        <v>45713</v>
      </c>
      <c r="E572">
        <v>50</v>
      </c>
      <c r="F572" t="str" cm="1">
        <f t="array" ref="F572">_xlfn.IFS( Table1[[#This Row],[Age]]&lt;18, "&lt;18", Table1[[#This Row],[Age]]&lt;= 29, "18-29", Table1[[#This Row],[Age]]&lt;= 44, "30-44",  Table1[[#This Row],[Age]]&lt;=59, "45-59", TRUE, "60+")</f>
        <v>45-59</v>
      </c>
      <c r="G572" t="s">
        <v>82</v>
      </c>
      <c r="H572" t="s">
        <v>29</v>
      </c>
      <c r="I572" t="s">
        <v>21</v>
      </c>
      <c r="J572">
        <v>2</v>
      </c>
      <c r="K572" t="s">
        <v>22</v>
      </c>
      <c r="L572" t="str" cm="1">
        <f t="array" ref="L572">_xlfn.IFS(Table1[[#This Row],[Customer Tenure in months]]&lt;=6, "0-6 months", Table1[[#This Row],[Customer Tenure in months]] &lt;=12, "7-12 months", Table1[[#This Row],[Customer Tenure in months]] &lt;=24, "1-2 years", TRUE, "2+ years")</f>
        <v>2+ years</v>
      </c>
      <c r="M572">
        <v>35</v>
      </c>
      <c r="N572" t="s">
        <v>83</v>
      </c>
      <c r="O572" s="1">
        <v>1000</v>
      </c>
      <c r="P572">
        <v>8</v>
      </c>
      <c r="Q572" s="1">
        <v>8000</v>
      </c>
      <c r="R572">
        <v>194.93</v>
      </c>
      <c r="S572" t="s">
        <v>32</v>
      </c>
      <c r="T572" t="s">
        <v>24</v>
      </c>
    </row>
    <row r="573" spans="1:20" x14ac:dyDescent="0.35">
      <c r="A573" s="22" t="s">
        <v>664</v>
      </c>
      <c r="B573" cm="1">
        <f t="array" ref="B573">IF(MATCH(Table1[[#This Row],[Customer ID]], Table1[Customer ID], 0) = ROW() - ROW(Table1[#Headers]), 1, 0)</f>
        <v>0</v>
      </c>
      <c r="C573" t="s">
        <v>665</v>
      </c>
      <c r="D573" s="2">
        <v>45713</v>
      </c>
      <c r="E573">
        <v>50</v>
      </c>
      <c r="F573" t="str" cm="1">
        <f t="array" ref="F573">_xlfn.IFS( Table1[[#This Row],[Age]]&lt;18, "&lt;18", Table1[[#This Row],[Age]]&lt;= 29, "18-29", Table1[[#This Row],[Age]]&lt;= 44, "30-44",  Table1[[#This Row],[Age]]&lt;=59, "45-59", TRUE, "60+")</f>
        <v>45-59</v>
      </c>
      <c r="G573" t="s">
        <v>82</v>
      </c>
      <c r="H573" t="s">
        <v>41</v>
      </c>
      <c r="I573" t="s">
        <v>21</v>
      </c>
      <c r="J573">
        <v>2</v>
      </c>
      <c r="K573" t="s">
        <v>22</v>
      </c>
      <c r="L573" t="str" cm="1">
        <f t="array" ref="L573">_xlfn.IFS(Table1[[#This Row],[Customer Tenure in months]]&lt;=6, "0-6 months", Table1[[#This Row],[Customer Tenure in months]] &lt;=12, "7-12 months", Table1[[#This Row],[Customer Tenure in months]] &lt;=24, "1-2 years", TRUE, "2+ years")</f>
        <v>2+ years</v>
      </c>
      <c r="M573">
        <v>35</v>
      </c>
      <c r="N573" t="s">
        <v>71</v>
      </c>
      <c r="O573" s="1">
        <v>14500</v>
      </c>
      <c r="P573">
        <v>15</v>
      </c>
      <c r="Q573" s="1">
        <v>217500</v>
      </c>
      <c r="R573">
        <v>154.36000000000001</v>
      </c>
      <c r="S573" t="s">
        <v>32</v>
      </c>
      <c r="T573" t="s">
        <v>24</v>
      </c>
    </row>
    <row r="574" spans="1:20" x14ac:dyDescent="0.35">
      <c r="A574" s="22" t="s">
        <v>666</v>
      </c>
      <c r="B574" cm="1">
        <f t="array" ref="B574">IF(MATCH(Table1[[#This Row],[Customer ID]], Table1[Customer ID], 0) = ROW() - ROW(Table1[#Headers]), 1, 0)</f>
        <v>1</v>
      </c>
      <c r="C574" t="s">
        <v>667</v>
      </c>
      <c r="D574" s="2">
        <v>45682</v>
      </c>
      <c r="E574">
        <v>20</v>
      </c>
      <c r="F574" t="str" cm="1">
        <f t="array" ref="F574">_xlfn.IFS( Table1[[#This Row],[Age]]&lt;18, "&lt;18", Table1[[#This Row],[Age]]&lt;= 29, "18-29", Table1[[#This Row],[Age]]&lt;= 44, "30-44",  Table1[[#This Row],[Age]]&lt;=59, "45-59", TRUE, "60+")</f>
        <v>18-29</v>
      </c>
      <c r="G574" t="s">
        <v>121</v>
      </c>
      <c r="H574" t="s">
        <v>29</v>
      </c>
      <c r="I574" t="s">
        <v>30</v>
      </c>
      <c r="J574">
        <v>5</v>
      </c>
      <c r="K574" t="s">
        <v>55</v>
      </c>
      <c r="L574" t="str" cm="1">
        <f t="array" ref="L574">_xlfn.IFS(Table1[[#This Row],[Customer Tenure in months]]&lt;=6, "0-6 months", Table1[[#This Row],[Customer Tenure in months]] &lt;=12, "7-12 months", Table1[[#This Row],[Customer Tenure in months]] &lt;=24, "1-2 years", TRUE, "2+ years")</f>
        <v>2+ years</v>
      </c>
      <c r="M574">
        <v>48</v>
      </c>
      <c r="N574" t="s">
        <v>87</v>
      </c>
      <c r="O574" s="1">
        <v>7500</v>
      </c>
      <c r="P574">
        <v>10</v>
      </c>
      <c r="Q574" s="1">
        <v>75000</v>
      </c>
      <c r="R574">
        <v>136.44999999999999</v>
      </c>
      <c r="S574" t="s">
        <v>1091</v>
      </c>
      <c r="T574" t="s">
        <v>39</v>
      </c>
    </row>
    <row r="575" spans="1:20" x14ac:dyDescent="0.35">
      <c r="A575" s="22" t="s">
        <v>668</v>
      </c>
      <c r="B575" cm="1">
        <f t="array" ref="B575">IF(MATCH(Table1[[#This Row],[Customer ID]], Table1[Customer ID], 0) = ROW() - ROW(Table1[#Headers]), 1, 0)</f>
        <v>1</v>
      </c>
      <c r="C575" t="s">
        <v>669</v>
      </c>
      <c r="D575" s="2">
        <v>45713</v>
      </c>
      <c r="E575">
        <v>36</v>
      </c>
      <c r="F575" t="str" cm="1">
        <f t="array" ref="F575">_xlfn.IFS( Table1[[#This Row],[Age]]&lt;18, "&lt;18", Table1[[#This Row],[Age]]&lt;= 29, "18-29", Table1[[#This Row],[Age]]&lt;= 44, "30-44",  Table1[[#This Row],[Age]]&lt;=59, "45-59", TRUE, "60+")</f>
        <v>30-44</v>
      </c>
      <c r="G575" t="s">
        <v>128</v>
      </c>
      <c r="H575" t="s">
        <v>20</v>
      </c>
      <c r="I575" t="s">
        <v>21</v>
      </c>
      <c r="J575">
        <v>3</v>
      </c>
      <c r="K575" t="s">
        <v>50</v>
      </c>
      <c r="L575" t="str" cm="1">
        <f t="array" ref="L575">_xlfn.IFS(Table1[[#This Row],[Customer Tenure in months]]&lt;=6, "0-6 months", Table1[[#This Row],[Customer Tenure in months]] &lt;=12, "7-12 months", Table1[[#This Row],[Customer Tenure in months]] &lt;=24, "1-2 years", TRUE, "2+ years")</f>
        <v>1-2 years</v>
      </c>
      <c r="M575">
        <v>17</v>
      </c>
      <c r="N575" t="s">
        <v>23</v>
      </c>
      <c r="O575" s="1">
        <v>35000</v>
      </c>
      <c r="P575">
        <v>6</v>
      </c>
      <c r="Q575" s="1">
        <v>210000</v>
      </c>
      <c r="R575">
        <v>65.239999999999995</v>
      </c>
      <c r="S575" t="s">
        <v>76</v>
      </c>
      <c r="T575" t="s">
        <v>24</v>
      </c>
    </row>
    <row r="576" spans="1:20" x14ac:dyDescent="0.35">
      <c r="A576" s="22" t="s">
        <v>668</v>
      </c>
      <c r="B576" cm="1">
        <f t="array" ref="B576">IF(MATCH(Table1[[#This Row],[Customer ID]], Table1[Customer ID], 0) = ROW() - ROW(Table1[#Headers]), 1, 0)</f>
        <v>0</v>
      </c>
      <c r="C576" t="s">
        <v>669</v>
      </c>
      <c r="D576" s="2">
        <v>45713</v>
      </c>
      <c r="E576">
        <v>36</v>
      </c>
      <c r="F576" t="str" cm="1">
        <f t="array" ref="F576">_xlfn.IFS( Table1[[#This Row],[Age]]&lt;18, "&lt;18", Table1[[#This Row],[Age]]&lt;= 29, "18-29", Table1[[#This Row],[Age]]&lt;= 44, "30-44",  Table1[[#This Row],[Age]]&lt;=59, "45-59", TRUE, "60+")</f>
        <v>30-44</v>
      </c>
      <c r="G576" t="s">
        <v>128</v>
      </c>
      <c r="H576" t="s">
        <v>41</v>
      </c>
      <c r="I576" t="s">
        <v>21</v>
      </c>
      <c r="J576">
        <v>3</v>
      </c>
      <c r="K576" t="s">
        <v>50</v>
      </c>
      <c r="L576" t="str" cm="1">
        <f t="array" ref="L576">_xlfn.IFS(Table1[[#This Row],[Customer Tenure in months]]&lt;=6, "0-6 months", Table1[[#This Row],[Customer Tenure in months]] &lt;=12, "7-12 months", Table1[[#This Row],[Customer Tenure in months]] &lt;=24, "1-2 years", TRUE, "2+ years")</f>
        <v>1-2 years</v>
      </c>
      <c r="M576">
        <v>17</v>
      </c>
      <c r="N576" t="s">
        <v>65</v>
      </c>
      <c r="O576" s="1">
        <v>30000</v>
      </c>
      <c r="P576">
        <v>13</v>
      </c>
      <c r="Q576" s="1">
        <v>390000</v>
      </c>
      <c r="R576">
        <v>117.15</v>
      </c>
      <c r="S576" t="s">
        <v>76</v>
      </c>
      <c r="T576" t="s">
        <v>24</v>
      </c>
    </row>
    <row r="577" spans="1:20" x14ac:dyDescent="0.35">
      <c r="A577" s="22" t="s">
        <v>668</v>
      </c>
      <c r="B577" cm="1">
        <f t="array" ref="B577">IF(MATCH(Table1[[#This Row],[Customer ID]], Table1[Customer ID], 0) = ROW() - ROW(Table1[#Headers]), 1, 0)</f>
        <v>0</v>
      </c>
      <c r="C577" t="s">
        <v>669</v>
      </c>
      <c r="D577" s="2">
        <v>45713</v>
      </c>
      <c r="E577">
        <v>36</v>
      </c>
      <c r="F577" t="str" cm="1">
        <f t="array" ref="F577">_xlfn.IFS( Table1[[#This Row],[Age]]&lt;18, "&lt;18", Table1[[#This Row],[Age]]&lt;= 29, "18-29", Table1[[#This Row],[Age]]&lt;= 44, "30-44",  Table1[[#This Row],[Age]]&lt;=59, "45-59", TRUE, "60+")</f>
        <v>30-44</v>
      </c>
      <c r="G577" t="s">
        <v>128</v>
      </c>
      <c r="H577" t="s">
        <v>36</v>
      </c>
      <c r="I577" t="s">
        <v>21</v>
      </c>
      <c r="J577">
        <v>3</v>
      </c>
      <c r="K577" t="s">
        <v>50</v>
      </c>
      <c r="L577" t="str" cm="1">
        <f t="array" ref="L577">_xlfn.IFS(Table1[[#This Row],[Customer Tenure in months]]&lt;=6, "0-6 months", Table1[[#This Row],[Customer Tenure in months]] &lt;=12, "7-12 months", Table1[[#This Row],[Customer Tenure in months]] &lt;=24, "1-2 years", TRUE, "2+ years")</f>
        <v>1-2 years</v>
      </c>
      <c r="M577">
        <v>17</v>
      </c>
      <c r="N577" t="s">
        <v>71</v>
      </c>
      <c r="O577" s="1">
        <v>14500</v>
      </c>
      <c r="P577">
        <v>2</v>
      </c>
      <c r="Q577" s="1">
        <v>29000</v>
      </c>
      <c r="R577">
        <v>2.2799999999999998</v>
      </c>
      <c r="S577" t="s">
        <v>76</v>
      </c>
      <c r="T577" t="s">
        <v>24</v>
      </c>
    </row>
    <row r="578" spans="1:20" x14ac:dyDescent="0.35">
      <c r="A578" s="22" t="s">
        <v>670</v>
      </c>
      <c r="B578" cm="1">
        <f t="array" ref="B578">IF(MATCH(Table1[[#This Row],[Customer ID]], Table1[Customer ID], 0) = ROW() - ROW(Table1[#Headers]), 1, 0)</f>
        <v>1</v>
      </c>
      <c r="C578" t="s">
        <v>671</v>
      </c>
      <c r="D578" s="2">
        <v>45713</v>
      </c>
      <c r="E578">
        <v>35</v>
      </c>
      <c r="F578" t="str" cm="1">
        <f t="array" ref="F578">_xlfn.IFS( Table1[[#This Row],[Age]]&lt;18, "&lt;18", Table1[[#This Row],[Age]]&lt;= 29, "18-29", Table1[[#This Row],[Age]]&lt;= 44, "30-44",  Table1[[#This Row],[Age]]&lt;=59, "45-59", TRUE, "60+")</f>
        <v>30-44</v>
      </c>
      <c r="G578" t="s">
        <v>45</v>
      </c>
      <c r="H578" t="s">
        <v>41</v>
      </c>
      <c r="I578" t="s">
        <v>21</v>
      </c>
      <c r="J578">
        <v>4</v>
      </c>
      <c r="K578" t="s">
        <v>114</v>
      </c>
      <c r="L578" t="str" cm="1">
        <f t="array" ref="L578">_xlfn.IFS(Table1[[#This Row],[Customer Tenure in months]]&lt;=6, "0-6 months", Table1[[#This Row],[Customer Tenure in months]] &lt;=12, "7-12 months", Table1[[#This Row],[Customer Tenure in months]] &lt;=24, "1-2 years", TRUE, "2+ years")</f>
        <v>1-2 years</v>
      </c>
      <c r="M578">
        <v>16</v>
      </c>
      <c r="N578" t="s">
        <v>65</v>
      </c>
      <c r="O578" s="1">
        <v>30000</v>
      </c>
      <c r="P578">
        <v>18</v>
      </c>
      <c r="Q578" s="1">
        <v>540000</v>
      </c>
      <c r="R578">
        <v>129.09</v>
      </c>
      <c r="S578" t="s">
        <v>25</v>
      </c>
      <c r="T578" t="s">
        <v>24</v>
      </c>
    </row>
    <row r="579" spans="1:20" x14ac:dyDescent="0.35">
      <c r="A579" s="22" t="s">
        <v>670</v>
      </c>
      <c r="B579" cm="1">
        <f t="array" ref="B579">IF(MATCH(Table1[[#This Row],[Customer ID]], Table1[Customer ID], 0) = ROW() - ROW(Table1[#Headers]), 1, 0)</f>
        <v>0</v>
      </c>
      <c r="C579" t="s">
        <v>671</v>
      </c>
      <c r="D579" s="2">
        <v>45713</v>
      </c>
      <c r="E579">
        <v>35</v>
      </c>
      <c r="F579" t="str" cm="1">
        <f t="array" ref="F579">_xlfn.IFS( Table1[[#This Row],[Age]]&lt;18, "&lt;18", Table1[[#This Row],[Age]]&lt;= 29, "18-29", Table1[[#This Row],[Age]]&lt;= 44, "30-44",  Table1[[#This Row],[Age]]&lt;=59, "45-59", TRUE, "60+")</f>
        <v>30-44</v>
      </c>
      <c r="G579" t="s">
        <v>45</v>
      </c>
      <c r="H579" t="s">
        <v>29</v>
      </c>
      <c r="I579" t="s">
        <v>21</v>
      </c>
      <c r="J579">
        <v>4</v>
      </c>
      <c r="K579" t="s">
        <v>114</v>
      </c>
      <c r="L579" t="str" cm="1">
        <f t="array" ref="L579">_xlfn.IFS(Table1[[#This Row],[Customer Tenure in months]]&lt;=6, "0-6 months", Table1[[#This Row],[Customer Tenure in months]] &lt;=12, "7-12 months", Table1[[#This Row],[Customer Tenure in months]] &lt;=24, "1-2 years", TRUE, "2+ years")</f>
        <v>1-2 years</v>
      </c>
      <c r="M579">
        <v>16</v>
      </c>
      <c r="N579" t="s">
        <v>83</v>
      </c>
      <c r="O579" s="1">
        <v>1000</v>
      </c>
      <c r="P579">
        <v>8</v>
      </c>
      <c r="Q579" s="1">
        <v>8000</v>
      </c>
      <c r="R579">
        <v>25.6</v>
      </c>
      <c r="S579" t="s">
        <v>25</v>
      </c>
      <c r="T579" t="s">
        <v>24</v>
      </c>
    </row>
    <row r="580" spans="1:20" x14ac:dyDescent="0.35">
      <c r="A580" s="22" t="s">
        <v>672</v>
      </c>
      <c r="B580" cm="1">
        <f t="array" ref="B580">IF(MATCH(Table1[[#This Row],[Customer ID]], Table1[Customer ID], 0) = ROW() - ROW(Table1[#Headers]), 1, 0)</f>
        <v>1</v>
      </c>
      <c r="C580" t="s">
        <v>673</v>
      </c>
      <c r="D580" s="2">
        <v>45713</v>
      </c>
      <c r="E580">
        <v>60</v>
      </c>
      <c r="F580" t="str" cm="1">
        <f t="array" ref="F580">_xlfn.IFS( Table1[[#This Row],[Age]]&lt;18, "&lt;18", Table1[[#This Row],[Age]]&lt;= 29, "18-29", Table1[[#This Row],[Age]]&lt;= 44, "30-44",  Table1[[#This Row],[Age]]&lt;=59, "45-59", TRUE, "60+")</f>
        <v>60+</v>
      </c>
      <c r="G580" t="s">
        <v>198</v>
      </c>
      <c r="H580" t="s">
        <v>41</v>
      </c>
      <c r="I580" t="s">
        <v>21</v>
      </c>
      <c r="J580">
        <v>3</v>
      </c>
      <c r="K580" t="s">
        <v>50</v>
      </c>
      <c r="L580" t="str" cm="1">
        <f t="array" ref="L580">_xlfn.IFS(Table1[[#This Row],[Customer Tenure in months]]&lt;=6, "0-6 months", Table1[[#This Row],[Customer Tenure in months]] &lt;=12, "7-12 months", Table1[[#This Row],[Customer Tenure in months]] &lt;=24, "1-2 years", TRUE, "2+ years")</f>
        <v>0-6 months</v>
      </c>
      <c r="M580">
        <v>2</v>
      </c>
      <c r="N580" t="s">
        <v>71</v>
      </c>
      <c r="O580" s="1">
        <v>14500</v>
      </c>
      <c r="P580">
        <v>18</v>
      </c>
      <c r="Q580" s="1">
        <v>261000</v>
      </c>
      <c r="R580">
        <v>112.03</v>
      </c>
      <c r="S580" t="s">
        <v>1091</v>
      </c>
      <c r="T580" t="s">
        <v>39</v>
      </c>
    </row>
    <row r="581" spans="1:20" x14ac:dyDescent="0.35">
      <c r="A581" s="22" t="s">
        <v>672</v>
      </c>
      <c r="B581" cm="1">
        <f t="array" ref="B581">IF(MATCH(Table1[[#This Row],[Customer ID]], Table1[Customer ID], 0) = ROW() - ROW(Table1[#Headers]), 1, 0)</f>
        <v>0</v>
      </c>
      <c r="C581" t="s">
        <v>673</v>
      </c>
      <c r="D581" s="2">
        <v>45713</v>
      </c>
      <c r="E581">
        <v>60</v>
      </c>
      <c r="F581" t="str" cm="1">
        <f t="array" ref="F581">_xlfn.IFS( Table1[[#This Row],[Age]]&lt;18, "&lt;18", Table1[[#This Row],[Age]]&lt;= 29, "18-29", Table1[[#This Row],[Age]]&lt;= 44, "30-44",  Table1[[#This Row],[Age]]&lt;=59, "45-59", TRUE, "60+")</f>
        <v>60+</v>
      </c>
      <c r="G581" t="s">
        <v>198</v>
      </c>
      <c r="H581" t="s">
        <v>20</v>
      </c>
      <c r="I581" t="s">
        <v>21</v>
      </c>
      <c r="J581">
        <v>3</v>
      </c>
      <c r="K581" t="s">
        <v>50</v>
      </c>
      <c r="L581" t="str" cm="1">
        <f t="array" ref="L581">_xlfn.IFS(Table1[[#This Row],[Customer Tenure in months]]&lt;=6, "0-6 months", Table1[[#This Row],[Customer Tenure in months]] &lt;=12, "7-12 months", Table1[[#This Row],[Customer Tenure in months]] &lt;=24, "1-2 years", TRUE, "2+ years")</f>
        <v>0-6 months</v>
      </c>
      <c r="M581">
        <v>2</v>
      </c>
      <c r="N581" t="s">
        <v>23</v>
      </c>
      <c r="O581" s="1">
        <v>35000</v>
      </c>
      <c r="P581">
        <v>6</v>
      </c>
      <c r="Q581" s="1">
        <v>210000</v>
      </c>
      <c r="R581">
        <v>38.36</v>
      </c>
      <c r="S581" t="s">
        <v>1091</v>
      </c>
      <c r="T581" t="s">
        <v>39</v>
      </c>
    </row>
    <row r="582" spans="1:20" x14ac:dyDescent="0.35">
      <c r="A582" s="22" t="s">
        <v>674</v>
      </c>
      <c r="B582" cm="1">
        <f t="array" ref="B582">IF(MATCH(Table1[[#This Row],[Customer ID]], Table1[Customer ID], 0) = ROW() - ROW(Table1[#Headers]), 1, 0)</f>
        <v>1</v>
      </c>
      <c r="C582" t="s">
        <v>675</v>
      </c>
      <c r="D582" s="2">
        <v>45713</v>
      </c>
      <c r="E582">
        <v>60</v>
      </c>
      <c r="F582" t="str" cm="1">
        <f t="array" ref="F582">_xlfn.IFS( Table1[[#This Row],[Age]]&lt;18, "&lt;18", Table1[[#This Row],[Age]]&lt;= 29, "18-29", Table1[[#This Row],[Age]]&lt;= 44, "30-44",  Table1[[#This Row],[Age]]&lt;=59, "45-59", TRUE, "60+")</f>
        <v>60+</v>
      </c>
      <c r="G582" t="s">
        <v>258</v>
      </c>
      <c r="H582" t="s">
        <v>36</v>
      </c>
      <c r="I582" t="s">
        <v>30</v>
      </c>
      <c r="J582">
        <v>1</v>
      </c>
      <c r="K582" t="s">
        <v>37</v>
      </c>
      <c r="L582" t="str" cm="1">
        <f t="array" ref="L582">_xlfn.IFS(Table1[[#This Row],[Customer Tenure in months]]&lt;=6, "0-6 months", Table1[[#This Row],[Customer Tenure in months]] &lt;=12, "7-12 months", Table1[[#This Row],[Customer Tenure in months]] &lt;=24, "1-2 years", TRUE, "2+ years")</f>
        <v>1-2 years</v>
      </c>
      <c r="M582">
        <v>18</v>
      </c>
      <c r="N582" t="s">
        <v>115</v>
      </c>
      <c r="O582" s="1">
        <v>25000</v>
      </c>
      <c r="P582">
        <v>17</v>
      </c>
      <c r="Q582" s="1">
        <v>425000</v>
      </c>
      <c r="R582">
        <v>91.09</v>
      </c>
      <c r="S582" t="s">
        <v>1091</v>
      </c>
      <c r="T582" t="s">
        <v>39</v>
      </c>
    </row>
    <row r="583" spans="1:20" x14ac:dyDescent="0.35">
      <c r="A583" s="22" t="s">
        <v>674</v>
      </c>
      <c r="B583" cm="1">
        <f t="array" ref="B583">IF(MATCH(Table1[[#This Row],[Customer ID]], Table1[Customer ID], 0) = ROW() - ROW(Table1[#Headers]), 1, 0)</f>
        <v>0</v>
      </c>
      <c r="C583" t="s">
        <v>675</v>
      </c>
      <c r="D583" s="2">
        <v>45713</v>
      </c>
      <c r="E583">
        <v>60</v>
      </c>
      <c r="F583" t="str" cm="1">
        <f t="array" ref="F583">_xlfn.IFS( Table1[[#This Row],[Age]]&lt;18, "&lt;18", Table1[[#This Row],[Age]]&lt;= 29, "18-29", Table1[[#This Row],[Age]]&lt;= 44, "30-44",  Table1[[#This Row],[Age]]&lt;=59, "45-59", TRUE, "60+")</f>
        <v>60+</v>
      </c>
      <c r="G583" t="s">
        <v>258</v>
      </c>
      <c r="H583" t="s">
        <v>20</v>
      </c>
      <c r="I583" t="s">
        <v>30</v>
      </c>
      <c r="J583">
        <v>1</v>
      </c>
      <c r="K583" t="s">
        <v>37</v>
      </c>
      <c r="L583" t="str" cm="1">
        <f t="array" ref="L583">_xlfn.IFS(Table1[[#This Row],[Customer Tenure in months]]&lt;=6, "0-6 months", Table1[[#This Row],[Customer Tenure in months]] &lt;=12, "7-12 months", Table1[[#This Row],[Customer Tenure in months]] &lt;=24, "1-2 years", TRUE, "2+ years")</f>
        <v>1-2 years</v>
      </c>
      <c r="M583">
        <v>18</v>
      </c>
      <c r="N583" t="s">
        <v>23</v>
      </c>
      <c r="O583" s="1">
        <v>35000</v>
      </c>
      <c r="P583">
        <v>1</v>
      </c>
      <c r="Q583" s="1">
        <v>35000</v>
      </c>
      <c r="R583">
        <v>146.86000000000001</v>
      </c>
      <c r="S583" t="s">
        <v>1091</v>
      </c>
      <c r="T583" t="s">
        <v>39</v>
      </c>
    </row>
    <row r="584" spans="1:20" x14ac:dyDescent="0.35">
      <c r="A584" s="22" t="s">
        <v>676</v>
      </c>
      <c r="B584" cm="1">
        <f t="array" ref="B584">IF(MATCH(Table1[[#This Row],[Customer ID]], Table1[Customer ID], 0) = ROW() - ROW(Table1[#Headers]), 1, 0)</f>
        <v>1</v>
      </c>
      <c r="C584" t="s">
        <v>677</v>
      </c>
      <c r="D584" s="2">
        <v>45713</v>
      </c>
      <c r="E584">
        <v>46</v>
      </c>
      <c r="F584" t="str" cm="1">
        <f t="array" ref="F584">_xlfn.IFS( Table1[[#This Row],[Age]]&lt;18, "&lt;18", Table1[[#This Row],[Age]]&lt;= 29, "18-29", Table1[[#This Row],[Age]]&lt;= 44, "30-44",  Table1[[#This Row],[Age]]&lt;=59, "45-59", TRUE, "60+")</f>
        <v>45-59</v>
      </c>
      <c r="G584" t="s">
        <v>258</v>
      </c>
      <c r="H584" t="s">
        <v>20</v>
      </c>
      <c r="I584" t="s">
        <v>21</v>
      </c>
      <c r="J584">
        <v>2</v>
      </c>
      <c r="K584" t="s">
        <v>22</v>
      </c>
      <c r="L584" t="str" cm="1">
        <f t="array" ref="L584">_xlfn.IFS(Table1[[#This Row],[Customer Tenure in months]]&lt;=6, "0-6 months", Table1[[#This Row],[Customer Tenure in months]] &lt;=12, "7-12 months", Table1[[#This Row],[Customer Tenure in months]] &lt;=24, "1-2 years", TRUE, "2+ years")</f>
        <v>2+ years</v>
      </c>
      <c r="M584">
        <v>43</v>
      </c>
      <c r="N584" t="s">
        <v>51</v>
      </c>
      <c r="O584" s="1">
        <v>9000</v>
      </c>
      <c r="P584">
        <v>11</v>
      </c>
      <c r="Q584" s="1">
        <v>99000</v>
      </c>
      <c r="R584">
        <v>64.86</v>
      </c>
      <c r="S584" t="s">
        <v>1091</v>
      </c>
      <c r="T584" t="s">
        <v>39</v>
      </c>
    </row>
    <row r="585" spans="1:20" x14ac:dyDescent="0.35">
      <c r="A585" s="22" t="s">
        <v>676</v>
      </c>
      <c r="B585" cm="1">
        <f t="array" ref="B585">IF(MATCH(Table1[[#This Row],[Customer ID]], Table1[Customer ID], 0) = ROW() - ROW(Table1[#Headers]), 1, 0)</f>
        <v>0</v>
      </c>
      <c r="C585" t="s">
        <v>677</v>
      </c>
      <c r="D585" s="2">
        <v>45713</v>
      </c>
      <c r="E585">
        <v>46</v>
      </c>
      <c r="F585" t="str" cm="1">
        <f t="array" ref="F585">_xlfn.IFS( Table1[[#This Row],[Age]]&lt;18, "&lt;18", Table1[[#This Row],[Age]]&lt;= 29, "18-29", Table1[[#This Row],[Age]]&lt;= 44, "30-44",  Table1[[#This Row],[Age]]&lt;=59, "45-59", TRUE, "60+")</f>
        <v>45-59</v>
      </c>
      <c r="G585" t="s">
        <v>258</v>
      </c>
      <c r="H585" t="s">
        <v>36</v>
      </c>
      <c r="I585" t="s">
        <v>21</v>
      </c>
      <c r="J585">
        <v>2</v>
      </c>
      <c r="K585" t="s">
        <v>22</v>
      </c>
      <c r="L585" t="str" cm="1">
        <f t="array" ref="L585">_xlfn.IFS(Table1[[#This Row],[Customer Tenure in months]]&lt;=6, "0-6 months", Table1[[#This Row],[Customer Tenure in months]] &lt;=12, "7-12 months", Table1[[#This Row],[Customer Tenure in months]] &lt;=24, "1-2 years", TRUE, "2+ years")</f>
        <v>2+ years</v>
      </c>
      <c r="M585">
        <v>43</v>
      </c>
      <c r="N585" t="s">
        <v>38</v>
      </c>
      <c r="O585" s="1">
        <v>20000</v>
      </c>
      <c r="P585">
        <v>3</v>
      </c>
      <c r="Q585" s="1">
        <v>60000</v>
      </c>
      <c r="R585">
        <v>19.7</v>
      </c>
      <c r="S585" t="s">
        <v>1091</v>
      </c>
      <c r="T585" t="s">
        <v>39</v>
      </c>
    </row>
    <row r="586" spans="1:20" x14ac:dyDescent="0.35">
      <c r="A586" s="22" t="s">
        <v>678</v>
      </c>
      <c r="B586" cm="1">
        <f t="array" ref="B586">IF(MATCH(Table1[[#This Row],[Customer ID]], Table1[Customer ID], 0) = ROW() - ROW(Table1[#Headers]), 1, 0)</f>
        <v>1</v>
      </c>
      <c r="C586" t="s">
        <v>679</v>
      </c>
      <c r="D586" s="2">
        <v>45682</v>
      </c>
      <c r="E586">
        <v>32</v>
      </c>
      <c r="F586" t="str" cm="1">
        <f t="array" ref="F586">_xlfn.IFS( Table1[[#This Row],[Age]]&lt;18, "&lt;18", Table1[[#This Row],[Age]]&lt;= 29, "18-29", Table1[[#This Row],[Age]]&lt;= 44, "30-44",  Table1[[#This Row],[Age]]&lt;=59, "45-59", TRUE, "60+")</f>
        <v>30-44</v>
      </c>
      <c r="G586" t="s">
        <v>131</v>
      </c>
      <c r="H586" t="s">
        <v>29</v>
      </c>
      <c r="I586" t="s">
        <v>21</v>
      </c>
      <c r="J586">
        <v>4</v>
      </c>
      <c r="K586" t="s">
        <v>114</v>
      </c>
      <c r="L586" t="str" cm="1">
        <f t="array" ref="L586">_xlfn.IFS(Table1[[#This Row],[Customer Tenure in months]]&lt;=6, "0-6 months", Table1[[#This Row],[Customer Tenure in months]] &lt;=12, "7-12 months", Table1[[#This Row],[Customer Tenure in months]] &lt;=24, "1-2 years", TRUE, "2+ years")</f>
        <v>1-2 years</v>
      </c>
      <c r="M586">
        <v>13</v>
      </c>
      <c r="N586" t="s">
        <v>193</v>
      </c>
      <c r="O586" s="1">
        <v>6500</v>
      </c>
      <c r="P586">
        <v>19</v>
      </c>
      <c r="Q586" s="1">
        <v>123500</v>
      </c>
      <c r="R586">
        <v>124.98</v>
      </c>
      <c r="S586" t="s">
        <v>76</v>
      </c>
      <c r="T586" t="s">
        <v>24</v>
      </c>
    </row>
    <row r="587" spans="1:20" x14ac:dyDescent="0.35">
      <c r="A587" s="22" t="s">
        <v>678</v>
      </c>
      <c r="B587" cm="1">
        <f t="array" ref="B587">IF(MATCH(Table1[[#This Row],[Customer ID]], Table1[Customer ID], 0) = ROW() - ROW(Table1[#Headers]), 1, 0)</f>
        <v>0</v>
      </c>
      <c r="C587" t="s">
        <v>679</v>
      </c>
      <c r="D587" s="2">
        <v>45682</v>
      </c>
      <c r="E587">
        <v>32</v>
      </c>
      <c r="F587" t="str" cm="1">
        <f t="array" ref="F587">_xlfn.IFS( Table1[[#This Row],[Age]]&lt;18, "&lt;18", Table1[[#This Row],[Age]]&lt;= 29, "18-29", Table1[[#This Row],[Age]]&lt;= 44, "30-44",  Table1[[#This Row],[Age]]&lt;=59, "45-59", TRUE, "60+")</f>
        <v>30-44</v>
      </c>
      <c r="G587" t="s">
        <v>131</v>
      </c>
      <c r="H587" t="s">
        <v>36</v>
      </c>
      <c r="I587" t="s">
        <v>21</v>
      </c>
      <c r="J587">
        <v>4</v>
      </c>
      <c r="K587" t="s">
        <v>114</v>
      </c>
      <c r="L587" t="str" cm="1">
        <f t="array" ref="L587">_xlfn.IFS(Table1[[#This Row],[Customer Tenure in months]]&lt;=6, "0-6 months", Table1[[#This Row],[Customer Tenure in months]] &lt;=12, "7-12 months", Table1[[#This Row],[Customer Tenure in months]] &lt;=24, "1-2 years", TRUE, "2+ years")</f>
        <v>1-2 years</v>
      </c>
      <c r="M587">
        <v>13</v>
      </c>
      <c r="N587" t="s">
        <v>62</v>
      </c>
      <c r="O587" s="1">
        <v>24000</v>
      </c>
      <c r="P587">
        <v>8</v>
      </c>
      <c r="Q587" s="1">
        <v>192000</v>
      </c>
      <c r="R587">
        <v>10.29</v>
      </c>
      <c r="S587" t="s">
        <v>76</v>
      </c>
      <c r="T587" t="s">
        <v>24</v>
      </c>
    </row>
    <row r="588" spans="1:20" x14ac:dyDescent="0.35">
      <c r="A588" s="22" t="s">
        <v>678</v>
      </c>
      <c r="B588" cm="1">
        <f t="array" ref="B588">IF(MATCH(Table1[[#This Row],[Customer ID]], Table1[Customer ID], 0) = ROW() - ROW(Table1[#Headers]), 1, 0)</f>
        <v>0</v>
      </c>
      <c r="C588" t="s">
        <v>679</v>
      </c>
      <c r="D588" s="2">
        <v>45682</v>
      </c>
      <c r="E588">
        <v>32</v>
      </c>
      <c r="F588" t="str" cm="1">
        <f t="array" ref="F588">_xlfn.IFS( Table1[[#This Row],[Age]]&lt;18, "&lt;18", Table1[[#This Row],[Age]]&lt;= 29, "18-29", Table1[[#This Row],[Age]]&lt;= 44, "30-44",  Table1[[#This Row],[Age]]&lt;=59, "45-59", TRUE, "60+")</f>
        <v>30-44</v>
      </c>
      <c r="G588" t="s">
        <v>131</v>
      </c>
      <c r="H588" t="s">
        <v>20</v>
      </c>
      <c r="I588" t="s">
        <v>21</v>
      </c>
      <c r="J588">
        <v>4</v>
      </c>
      <c r="K588" t="s">
        <v>114</v>
      </c>
      <c r="L588" t="str" cm="1">
        <f t="array" ref="L588">_xlfn.IFS(Table1[[#This Row],[Customer Tenure in months]]&lt;=6, "0-6 months", Table1[[#This Row],[Customer Tenure in months]] &lt;=12, "7-12 months", Table1[[#This Row],[Customer Tenure in months]] &lt;=24, "1-2 years", TRUE, "2+ years")</f>
        <v>1-2 years</v>
      </c>
      <c r="M588">
        <v>13</v>
      </c>
      <c r="N588" t="s">
        <v>58</v>
      </c>
      <c r="O588" s="1">
        <v>16000</v>
      </c>
      <c r="P588">
        <v>7</v>
      </c>
      <c r="Q588" s="1">
        <v>112000</v>
      </c>
      <c r="R588">
        <v>3.11</v>
      </c>
      <c r="S588" t="s">
        <v>76</v>
      </c>
      <c r="T588" t="s">
        <v>24</v>
      </c>
    </row>
    <row r="589" spans="1:20" x14ac:dyDescent="0.35">
      <c r="A589" s="22" t="s">
        <v>680</v>
      </c>
      <c r="B589" cm="1">
        <f t="array" ref="B589">IF(MATCH(Table1[[#This Row],[Customer ID]], Table1[Customer ID], 0) = ROW() - ROW(Table1[#Headers]), 1, 0)</f>
        <v>1</v>
      </c>
      <c r="C589" t="s">
        <v>681</v>
      </c>
      <c r="D589" s="2">
        <v>45713</v>
      </c>
      <c r="E589">
        <v>26</v>
      </c>
      <c r="F589" t="str" cm="1">
        <f t="array" ref="F589">_xlfn.IFS( Table1[[#This Row],[Age]]&lt;18, "&lt;18", Table1[[#This Row],[Age]]&lt;= 29, "18-29", Table1[[#This Row],[Age]]&lt;= 44, "30-44",  Table1[[#This Row],[Age]]&lt;=59, "45-59", TRUE, "60+")</f>
        <v>18-29</v>
      </c>
      <c r="G589" t="s">
        <v>35</v>
      </c>
      <c r="H589" t="s">
        <v>36</v>
      </c>
      <c r="I589" t="s">
        <v>21</v>
      </c>
      <c r="J589">
        <v>3</v>
      </c>
      <c r="K589" t="s">
        <v>50</v>
      </c>
      <c r="L589" t="str" cm="1">
        <f t="array" ref="L589">_xlfn.IFS(Table1[[#This Row],[Customer Tenure in months]]&lt;=6, "0-6 months", Table1[[#This Row],[Customer Tenure in months]] &lt;=12, "7-12 months", Table1[[#This Row],[Customer Tenure in months]] &lt;=24, "1-2 years", TRUE, "2+ years")</f>
        <v>1-2 years</v>
      </c>
      <c r="M589">
        <v>24</v>
      </c>
      <c r="N589" t="s">
        <v>42</v>
      </c>
      <c r="O589" s="1">
        <v>9000</v>
      </c>
      <c r="P589">
        <v>10</v>
      </c>
      <c r="Q589" s="1">
        <v>90000</v>
      </c>
      <c r="R589">
        <v>146.99</v>
      </c>
      <c r="S589" t="s">
        <v>1091</v>
      </c>
      <c r="T589" t="s">
        <v>39</v>
      </c>
    </row>
    <row r="590" spans="1:20" x14ac:dyDescent="0.35">
      <c r="A590" s="22" t="s">
        <v>682</v>
      </c>
      <c r="B590" cm="1">
        <f t="array" ref="B590">IF(MATCH(Table1[[#This Row],[Customer ID]], Table1[Customer ID], 0) = ROW() - ROW(Table1[#Headers]), 1, 0)</f>
        <v>1</v>
      </c>
      <c r="C590" t="s">
        <v>683</v>
      </c>
      <c r="D590" s="2">
        <v>45713</v>
      </c>
      <c r="E590">
        <v>43</v>
      </c>
      <c r="F590" t="str" cm="1">
        <f t="array" ref="F590">_xlfn.IFS( Table1[[#This Row],[Age]]&lt;18, "&lt;18", Table1[[#This Row],[Age]]&lt;= 29, "18-29", Table1[[#This Row],[Age]]&lt;= 44, "30-44",  Table1[[#This Row],[Age]]&lt;=59, "45-59", TRUE, "60+")</f>
        <v>30-44</v>
      </c>
      <c r="G590" t="s">
        <v>75</v>
      </c>
      <c r="H590" t="s">
        <v>20</v>
      </c>
      <c r="I590" t="s">
        <v>21</v>
      </c>
      <c r="J590">
        <v>5</v>
      </c>
      <c r="K590" t="s">
        <v>55</v>
      </c>
      <c r="L590" t="str" cm="1">
        <f t="array" ref="L590">_xlfn.IFS(Table1[[#This Row],[Customer Tenure in months]]&lt;=6, "0-6 months", Table1[[#This Row],[Customer Tenure in months]] &lt;=12, "7-12 months", Table1[[#This Row],[Customer Tenure in months]] &lt;=24, "1-2 years", TRUE, "2+ years")</f>
        <v>7-12 months</v>
      </c>
      <c r="M590">
        <v>7</v>
      </c>
      <c r="N590" t="s">
        <v>46</v>
      </c>
      <c r="O590" s="1">
        <v>4500</v>
      </c>
      <c r="P590">
        <v>18</v>
      </c>
      <c r="Q590" s="1">
        <v>81000</v>
      </c>
      <c r="R590">
        <v>111.91</v>
      </c>
      <c r="S590" t="s">
        <v>1091</v>
      </c>
      <c r="T590" t="s">
        <v>39</v>
      </c>
    </row>
    <row r="591" spans="1:20" x14ac:dyDescent="0.35">
      <c r="A591" s="22" t="s">
        <v>684</v>
      </c>
      <c r="B591" cm="1">
        <f t="array" ref="B591">IF(MATCH(Table1[[#This Row],[Customer ID]], Table1[Customer ID], 0) = ROW() - ROW(Table1[#Headers]), 1, 0)</f>
        <v>1</v>
      </c>
      <c r="C591" t="s">
        <v>685</v>
      </c>
      <c r="D591" s="2">
        <v>45713</v>
      </c>
      <c r="E591">
        <v>29</v>
      </c>
      <c r="F591" t="str" cm="1">
        <f t="array" ref="F591">_xlfn.IFS( Table1[[#This Row],[Age]]&lt;18, "&lt;18", Table1[[#This Row],[Age]]&lt;= 29, "18-29", Table1[[#This Row],[Age]]&lt;= 44, "30-44",  Table1[[#This Row],[Age]]&lt;=59, "45-59", TRUE, "60+")</f>
        <v>18-29</v>
      </c>
      <c r="G591" t="s">
        <v>152</v>
      </c>
      <c r="H591" t="s">
        <v>29</v>
      </c>
      <c r="I591" t="s">
        <v>30</v>
      </c>
      <c r="J591">
        <v>1</v>
      </c>
      <c r="K591" t="s">
        <v>37</v>
      </c>
      <c r="L591" t="str" cm="1">
        <f t="array" ref="L591">_xlfn.IFS(Table1[[#This Row],[Customer Tenure in months]]&lt;=6, "0-6 months", Table1[[#This Row],[Customer Tenure in months]] &lt;=12, "7-12 months", Table1[[#This Row],[Customer Tenure in months]] &lt;=24, "1-2 years", TRUE, "2+ years")</f>
        <v>2+ years</v>
      </c>
      <c r="M591">
        <v>45</v>
      </c>
      <c r="N591" t="s">
        <v>164</v>
      </c>
      <c r="O591" s="1">
        <v>600</v>
      </c>
      <c r="P591">
        <v>20</v>
      </c>
      <c r="Q591" s="1">
        <v>12000</v>
      </c>
      <c r="R591">
        <v>107.01</v>
      </c>
      <c r="S591" t="s">
        <v>265</v>
      </c>
      <c r="T591" t="s">
        <v>24</v>
      </c>
    </row>
    <row r="592" spans="1:20" x14ac:dyDescent="0.35">
      <c r="A592" s="22" t="s">
        <v>684</v>
      </c>
      <c r="B592" cm="1">
        <f t="array" ref="B592">IF(MATCH(Table1[[#This Row],[Customer ID]], Table1[Customer ID], 0) = ROW() - ROW(Table1[#Headers]), 1, 0)</f>
        <v>0</v>
      </c>
      <c r="C592" t="s">
        <v>685</v>
      </c>
      <c r="D592" s="2">
        <v>45713</v>
      </c>
      <c r="E592">
        <v>29</v>
      </c>
      <c r="F592" t="str" cm="1">
        <f t="array" ref="F592">_xlfn.IFS( Table1[[#This Row],[Age]]&lt;18, "&lt;18", Table1[[#This Row],[Age]]&lt;= 29, "18-29", Table1[[#This Row],[Age]]&lt;= 44, "30-44",  Table1[[#This Row],[Age]]&lt;=59, "45-59", TRUE, "60+")</f>
        <v>18-29</v>
      </c>
      <c r="G592" t="s">
        <v>152</v>
      </c>
      <c r="H592" t="s">
        <v>36</v>
      </c>
      <c r="I592" t="s">
        <v>30</v>
      </c>
      <c r="J592">
        <v>1</v>
      </c>
      <c r="K592" t="s">
        <v>37</v>
      </c>
      <c r="L592" t="str" cm="1">
        <f t="array" ref="L592">_xlfn.IFS(Table1[[#This Row],[Customer Tenure in months]]&lt;=6, "0-6 months", Table1[[#This Row],[Customer Tenure in months]] &lt;=12, "7-12 months", Table1[[#This Row],[Customer Tenure in months]] &lt;=24, "1-2 years", TRUE, "2+ years")</f>
        <v>2+ years</v>
      </c>
      <c r="M592">
        <v>45</v>
      </c>
      <c r="N592" t="s">
        <v>57</v>
      </c>
      <c r="O592" s="1">
        <v>150000</v>
      </c>
      <c r="P592">
        <v>11</v>
      </c>
      <c r="Q592" s="1">
        <v>1650000</v>
      </c>
      <c r="R592">
        <v>186.74</v>
      </c>
      <c r="S592" t="s">
        <v>265</v>
      </c>
      <c r="T592" t="s">
        <v>24</v>
      </c>
    </row>
    <row r="593" spans="1:20" x14ac:dyDescent="0.35">
      <c r="A593" s="22" t="s">
        <v>684</v>
      </c>
      <c r="B593" cm="1">
        <f t="array" ref="B593">IF(MATCH(Table1[[#This Row],[Customer ID]], Table1[Customer ID], 0) = ROW() - ROW(Table1[#Headers]), 1, 0)</f>
        <v>0</v>
      </c>
      <c r="C593" t="s">
        <v>685</v>
      </c>
      <c r="D593" s="2">
        <v>45713</v>
      </c>
      <c r="E593">
        <v>29</v>
      </c>
      <c r="F593" t="str" cm="1">
        <f t="array" ref="F593">_xlfn.IFS( Table1[[#This Row],[Age]]&lt;18, "&lt;18", Table1[[#This Row],[Age]]&lt;= 29, "18-29", Table1[[#This Row],[Age]]&lt;= 44, "30-44",  Table1[[#This Row],[Age]]&lt;=59, "45-59", TRUE, "60+")</f>
        <v>18-29</v>
      </c>
      <c r="G593" t="s">
        <v>152</v>
      </c>
      <c r="H593" t="s">
        <v>20</v>
      </c>
      <c r="I593" t="s">
        <v>30</v>
      </c>
      <c r="J593">
        <v>1</v>
      </c>
      <c r="K593" t="s">
        <v>37</v>
      </c>
      <c r="L593" t="str" cm="1">
        <f t="array" ref="L593">_xlfn.IFS(Table1[[#This Row],[Customer Tenure in months]]&lt;=6, "0-6 months", Table1[[#This Row],[Customer Tenure in months]] &lt;=12, "7-12 months", Table1[[#This Row],[Customer Tenure in months]] &lt;=24, "1-2 years", TRUE, "2+ years")</f>
        <v>2+ years</v>
      </c>
      <c r="M593">
        <v>45</v>
      </c>
      <c r="N593" t="s">
        <v>51</v>
      </c>
      <c r="O593" s="1">
        <v>9000</v>
      </c>
      <c r="P593">
        <v>14</v>
      </c>
      <c r="Q593" s="1">
        <v>126000</v>
      </c>
      <c r="R593">
        <v>169.05</v>
      </c>
      <c r="S593" t="s">
        <v>265</v>
      </c>
      <c r="T593" t="s">
        <v>24</v>
      </c>
    </row>
    <row r="594" spans="1:20" x14ac:dyDescent="0.35">
      <c r="A594" s="22" t="s">
        <v>686</v>
      </c>
      <c r="B594" cm="1">
        <f t="array" ref="B594">IF(MATCH(Table1[[#This Row],[Customer ID]], Table1[Customer ID], 0) = ROW() - ROW(Table1[#Headers]), 1, 0)</f>
        <v>1</v>
      </c>
      <c r="C594" t="s">
        <v>687</v>
      </c>
      <c r="D594" s="2">
        <v>45741</v>
      </c>
      <c r="E594">
        <v>57</v>
      </c>
      <c r="F594" t="str" cm="1">
        <f t="array" ref="F594">_xlfn.IFS( Table1[[#This Row],[Age]]&lt;18, "&lt;18", Table1[[#This Row],[Age]]&lt;= 29, "18-29", Table1[[#This Row],[Age]]&lt;= 44, "30-44",  Table1[[#This Row],[Age]]&lt;=59, "45-59", TRUE, "60+")</f>
        <v>45-59</v>
      </c>
      <c r="G594" t="s">
        <v>70</v>
      </c>
      <c r="H594" t="s">
        <v>29</v>
      </c>
      <c r="I594" t="s">
        <v>21</v>
      </c>
      <c r="J594">
        <v>3</v>
      </c>
      <c r="K594" t="s">
        <v>50</v>
      </c>
      <c r="L594" t="str" cm="1">
        <f t="array" ref="L594">_xlfn.IFS(Table1[[#This Row],[Customer Tenure in months]]&lt;=6, "0-6 months", Table1[[#This Row],[Customer Tenure in months]] &lt;=12, "7-12 months", Table1[[#This Row],[Customer Tenure in months]] &lt;=24, "1-2 years", TRUE, "2+ years")</f>
        <v>2+ years</v>
      </c>
      <c r="M594">
        <v>25</v>
      </c>
      <c r="N594" t="s">
        <v>102</v>
      </c>
      <c r="O594" s="1">
        <v>900</v>
      </c>
      <c r="P594">
        <v>20</v>
      </c>
      <c r="Q594" s="1">
        <v>18000</v>
      </c>
      <c r="R594">
        <v>196.6</v>
      </c>
      <c r="S594" t="s">
        <v>1091</v>
      </c>
      <c r="T594" t="s">
        <v>39</v>
      </c>
    </row>
    <row r="595" spans="1:20" x14ac:dyDescent="0.35">
      <c r="A595" s="22" t="s">
        <v>686</v>
      </c>
      <c r="B595" cm="1">
        <f t="array" ref="B595">IF(MATCH(Table1[[#This Row],[Customer ID]], Table1[Customer ID], 0) = ROW() - ROW(Table1[#Headers]), 1, 0)</f>
        <v>0</v>
      </c>
      <c r="C595" t="s">
        <v>687</v>
      </c>
      <c r="D595" s="2">
        <v>45741</v>
      </c>
      <c r="E595">
        <v>57</v>
      </c>
      <c r="F595" t="str" cm="1">
        <f t="array" ref="F595">_xlfn.IFS( Table1[[#This Row],[Age]]&lt;18, "&lt;18", Table1[[#This Row],[Age]]&lt;= 29, "18-29", Table1[[#This Row],[Age]]&lt;= 44, "30-44",  Table1[[#This Row],[Age]]&lt;=59, "45-59", TRUE, "60+")</f>
        <v>45-59</v>
      </c>
      <c r="G595" t="s">
        <v>70</v>
      </c>
      <c r="H595" t="s">
        <v>41</v>
      </c>
      <c r="I595" t="s">
        <v>21</v>
      </c>
      <c r="J595">
        <v>3</v>
      </c>
      <c r="K595" t="s">
        <v>50</v>
      </c>
      <c r="L595" t="str" cm="1">
        <f t="array" ref="L595">_xlfn.IFS(Table1[[#This Row],[Customer Tenure in months]]&lt;=6, "0-6 months", Table1[[#This Row],[Customer Tenure in months]] &lt;=12, "7-12 months", Table1[[#This Row],[Customer Tenure in months]] &lt;=24, "1-2 years", TRUE, "2+ years")</f>
        <v>2+ years</v>
      </c>
      <c r="M595">
        <v>25</v>
      </c>
      <c r="N595" t="s">
        <v>42</v>
      </c>
      <c r="O595" s="1">
        <v>9000</v>
      </c>
      <c r="P595">
        <v>10</v>
      </c>
      <c r="Q595" s="1">
        <v>90000</v>
      </c>
      <c r="R595">
        <v>103.76</v>
      </c>
      <c r="S595" t="s">
        <v>1091</v>
      </c>
      <c r="T595" t="s">
        <v>39</v>
      </c>
    </row>
    <row r="596" spans="1:20" x14ac:dyDescent="0.35">
      <c r="A596" s="22" t="s">
        <v>688</v>
      </c>
      <c r="B596" cm="1">
        <f t="array" ref="B596">IF(MATCH(Table1[[#This Row],[Customer ID]], Table1[Customer ID], 0) = ROW() - ROW(Table1[#Headers]), 1, 0)</f>
        <v>1</v>
      </c>
      <c r="C596" t="s">
        <v>689</v>
      </c>
      <c r="D596" s="2">
        <v>45741</v>
      </c>
      <c r="E596">
        <v>54</v>
      </c>
      <c r="F596" t="str" cm="1">
        <f t="array" ref="F596">_xlfn.IFS( Table1[[#This Row],[Age]]&lt;18, "&lt;18", Table1[[#This Row],[Age]]&lt;= 29, "18-29", Table1[[#This Row],[Age]]&lt;= 44, "30-44",  Table1[[#This Row],[Age]]&lt;=59, "45-59", TRUE, "60+")</f>
        <v>45-59</v>
      </c>
      <c r="G596" t="s">
        <v>113</v>
      </c>
      <c r="H596" t="s">
        <v>36</v>
      </c>
      <c r="I596" t="s">
        <v>21</v>
      </c>
      <c r="J596">
        <v>1</v>
      </c>
      <c r="K596" t="s">
        <v>37</v>
      </c>
      <c r="L596" t="str" cm="1">
        <f t="array" ref="L596">_xlfn.IFS(Table1[[#This Row],[Customer Tenure in months]]&lt;=6, "0-6 months", Table1[[#This Row],[Customer Tenure in months]] &lt;=12, "7-12 months", Table1[[#This Row],[Customer Tenure in months]] &lt;=24, "1-2 years", TRUE, "2+ years")</f>
        <v>2+ years</v>
      </c>
      <c r="M596">
        <v>55</v>
      </c>
      <c r="N596" t="s">
        <v>38</v>
      </c>
      <c r="O596" s="1">
        <v>20000</v>
      </c>
      <c r="P596">
        <v>12</v>
      </c>
      <c r="Q596" s="1">
        <v>240000</v>
      </c>
      <c r="R596">
        <v>8.0299999999999994</v>
      </c>
      <c r="S596" t="s">
        <v>1091</v>
      </c>
      <c r="T596" t="s">
        <v>39</v>
      </c>
    </row>
    <row r="597" spans="1:20" x14ac:dyDescent="0.35">
      <c r="A597" s="22" t="s">
        <v>688</v>
      </c>
      <c r="B597" cm="1">
        <f t="array" ref="B597">IF(MATCH(Table1[[#This Row],[Customer ID]], Table1[Customer ID], 0) = ROW() - ROW(Table1[#Headers]), 1, 0)</f>
        <v>0</v>
      </c>
      <c r="C597" t="s">
        <v>689</v>
      </c>
      <c r="D597" s="2">
        <v>45741</v>
      </c>
      <c r="E597">
        <v>54</v>
      </c>
      <c r="F597" t="str" cm="1">
        <f t="array" ref="F597">_xlfn.IFS( Table1[[#This Row],[Age]]&lt;18, "&lt;18", Table1[[#This Row],[Age]]&lt;= 29, "18-29", Table1[[#This Row],[Age]]&lt;= 44, "30-44",  Table1[[#This Row],[Age]]&lt;=59, "45-59", TRUE, "60+")</f>
        <v>45-59</v>
      </c>
      <c r="G597" t="s">
        <v>113</v>
      </c>
      <c r="H597" t="s">
        <v>29</v>
      </c>
      <c r="I597" t="s">
        <v>21</v>
      </c>
      <c r="J597">
        <v>1</v>
      </c>
      <c r="K597" t="s">
        <v>37</v>
      </c>
      <c r="L597" t="str" cm="1">
        <f t="array" ref="L597">_xlfn.IFS(Table1[[#This Row],[Customer Tenure in months]]&lt;=6, "0-6 months", Table1[[#This Row],[Customer Tenure in months]] &lt;=12, "7-12 months", Table1[[#This Row],[Customer Tenure in months]] &lt;=24, "1-2 years", TRUE, "2+ years")</f>
        <v>2+ years</v>
      </c>
      <c r="M597">
        <v>55</v>
      </c>
      <c r="N597" t="s">
        <v>164</v>
      </c>
      <c r="O597" s="1">
        <v>600</v>
      </c>
      <c r="P597">
        <v>12</v>
      </c>
      <c r="Q597" s="1">
        <v>7200</v>
      </c>
      <c r="R597">
        <v>28.11</v>
      </c>
      <c r="S597" t="s">
        <v>1091</v>
      </c>
      <c r="T597" t="s">
        <v>39</v>
      </c>
    </row>
    <row r="598" spans="1:20" x14ac:dyDescent="0.35">
      <c r="A598" s="22" t="s">
        <v>688</v>
      </c>
      <c r="B598" cm="1">
        <f t="array" ref="B598">IF(MATCH(Table1[[#This Row],[Customer ID]], Table1[Customer ID], 0) = ROW() - ROW(Table1[#Headers]), 1, 0)</f>
        <v>0</v>
      </c>
      <c r="C598" t="s">
        <v>689</v>
      </c>
      <c r="D598" s="2">
        <v>45741</v>
      </c>
      <c r="E598">
        <v>54</v>
      </c>
      <c r="F598" t="str" cm="1">
        <f t="array" ref="F598">_xlfn.IFS( Table1[[#This Row],[Age]]&lt;18, "&lt;18", Table1[[#This Row],[Age]]&lt;= 29, "18-29", Table1[[#This Row],[Age]]&lt;= 44, "30-44",  Table1[[#This Row],[Age]]&lt;=59, "45-59", TRUE, "60+")</f>
        <v>45-59</v>
      </c>
      <c r="G598" t="s">
        <v>113</v>
      </c>
      <c r="H598" t="s">
        <v>41</v>
      </c>
      <c r="I598" t="s">
        <v>21</v>
      </c>
      <c r="J598">
        <v>1</v>
      </c>
      <c r="K598" t="s">
        <v>37</v>
      </c>
      <c r="L598" t="str" cm="1">
        <f t="array" ref="L598">_xlfn.IFS(Table1[[#This Row],[Customer Tenure in months]]&lt;=6, "0-6 months", Table1[[#This Row],[Customer Tenure in months]] &lt;=12, "7-12 months", Table1[[#This Row],[Customer Tenure in months]] &lt;=24, "1-2 years", TRUE, "2+ years")</f>
        <v>2+ years</v>
      </c>
      <c r="M598">
        <v>55</v>
      </c>
      <c r="N598" t="s">
        <v>62</v>
      </c>
      <c r="O598" s="1">
        <v>24000</v>
      </c>
      <c r="P598">
        <v>9</v>
      </c>
      <c r="Q598" s="1">
        <v>216000</v>
      </c>
      <c r="R598">
        <v>50.35</v>
      </c>
      <c r="S598" t="s">
        <v>1091</v>
      </c>
      <c r="T598" t="s">
        <v>39</v>
      </c>
    </row>
    <row r="599" spans="1:20" x14ac:dyDescent="0.35">
      <c r="A599" s="22" t="s">
        <v>690</v>
      </c>
      <c r="B599" cm="1">
        <f t="array" ref="B599">IF(MATCH(Table1[[#This Row],[Customer ID]], Table1[Customer ID], 0) = ROW() - ROW(Table1[#Headers]), 1, 0)</f>
        <v>1</v>
      </c>
      <c r="C599" t="s">
        <v>691</v>
      </c>
      <c r="D599" s="2">
        <v>45682</v>
      </c>
      <c r="E599">
        <v>27</v>
      </c>
      <c r="F599" t="str" cm="1">
        <f t="array" ref="F599">_xlfn.IFS( Table1[[#This Row],[Age]]&lt;18, "&lt;18", Table1[[#This Row],[Age]]&lt;= 29, "18-29", Table1[[#This Row],[Age]]&lt;= 44, "30-44",  Table1[[#This Row],[Age]]&lt;=59, "45-59", TRUE, "60+")</f>
        <v>18-29</v>
      </c>
      <c r="G599" t="s">
        <v>82</v>
      </c>
      <c r="H599" t="s">
        <v>29</v>
      </c>
      <c r="I599" t="s">
        <v>21</v>
      </c>
      <c r="J599">
        <v>3</v>
      </c>
      <c r="K599" t="s">
        <v>50</v>
      </c>
      <c r="L599" t="str" cm="1">
        <f t="array" ref="L599">_xlfn.IFS(Table1[[#This Row],[Customer Tenure in months]]&lt;=6, "0-6 months", Table1[[#This Row],[Customer Tenure in months]] &lt;=12, "7-12 months", Table1[[#This Row],[Customer Tenure in months]] &lt;=24, "1-2 years", TRUE, "2+ years")</f>
        <v>2+ years</v>
      </c>
      <c r="M599">
        <v>47</v>
      </c>
      <c r="N599" t="s">
        <v>83</v>
      </c>
      <c r="O599" s="1">
        <v>1000</v>
      </c>
      <c r="P599">
        <v>10</v>
      </c>
      <c r="Q599" s="1">
        <v>10000</v>
      </c>
      <c r="R599">
        <v>119.25</v>
      </c>
      <c r="S599" t="s">
        <v>1091</v>
      </c>
      <c r="T599" t="s">
        <v>39</v>
      </c>
    </row>
    <row r="600" spans="1:20" x14ac:dyDescent="0.35">
      <c r="A600" s="22" t="s">
        <v>692</v>
      </c>
      <c r="B600" cm="1">
        <f t="array" ref="B600">IF(MATCH(Table1[[#This Row],[Customer ID]], Table1[Customer ID], 0) = ROW() - ROW(Table1[#Headers]), 1, 0)</f>
        <v>1</v>
      </c>
      <c r="C600" t="s">
        <v>693</v>
      </c>
      <c r="D600" s="2">
        <v>45741</v>
      </c>
      <c r="E600">
        <v>64</v>
      </c>
      <c r="F600" t="str" cm="1">
        <f t="array" ref="F600">_xlfn.IFS( Table1[[#This Row],[Age]]&lt;18, "&lt;18", Table1[[#This Row],[Age]]&lt;= 29, "18-29", Table1[[#This Row],[Age]]&lt;= 44, "30-44",  Table1[[#This Row],[Age]]&lt;=59, "45-59", TRUE, "60+")</f>
        <v>60+</v>
      </c>
      <c r="G600" t="s">
        <v>299</v>
      </c>
      <c r="H600" t="s">
        <v>29</v>
      </c>
      <c r="I600" t="s">
        <v>21</v>
      </c>
      <c r="J600">
        <v>3</v>
      </c>
      <c r="K600" t="s">
        <v>50</v>
      </c>
      <c r="L600" t="str" cm="1">
        <f t="array" ref="L600">_xlfn.IFS(Table1[[#This Row],[Customer Tenure in months]]&lt;=6, "0-6 months", Table1[[#This Row],[Customer Tenure in months]] &lt;=12, "7-12 months", Table1[[#This Row],[Customer Tenure in months]] &lt;=24, "1-2 years", TRUE, "2+ years")</f>
        <v>2+ years</v>
      </c>
      <c r="M600">
        <v>59</v>
      </c>
      <c r="N600" t="s">
        <v>72</v>
      </c>
      <c r="O600" s="1">
        <v>350</v>
      </c>
      <c r="P600">
        <v>20</v>
      </c>
      <c r="Q600" s="1">
        <v>7000</v>
      </c>
      <c r="R600">
        <v>149.66</v>
      </c>
      <c r="S600" t="s">
        <v>1091</v>
      </c>
      <c r="T600" t="s">
        <v>39</v>
      </c>
    </row>
    <row r="601" spans="1:20" x14ac:dyDescent="0.35">
      <c r="A601" s="22" t="s">
        <v>692</v>
      </c>
      <c r="B601" cm="1">
        <f t="array" ref="B601">IF(MATCH(Table1[[#This Row],[Customer ID]], Table1[Customer ID], 0) = ROW() - ROW(Table1[#Headers]), 1, 0)</f>
        <v>0</v>
      </c>
      <c r="C601" t="s">
        <v>693</v>
      </c>
      <c r="D601" s="2">
        <v>45741</v>
      </c>
      <c r="E601">
        <v>64</v>
      </c>
      <c r="F601" t="str" cm="1">
        <f t="array" ref="F601">_xlfn.IFS( Table1[[#This Row],[Age]]&lt;18, "&lt;18", Table1[[#This Row],[Age]]&lt;= 29, "18-29", Table1[[#This Row],[Age]]&lt;= 44, "30-44",  Table1[[#This Row],[Age]]&lt;=59, "45-59", TRUE, "60+")</f>
        <v>60+</v>
      </c>
      <c r="G601" t="s">
        <v>299</v>
      </c>
      <c r="H601" t="s">
        <v>41</v>
      </c>
      <c r="I601" t="s">
        <v>21</v>
      </c>
      <c r="J601">
        <v>3</v>
      </c>
      <c r="K601" t="s">
        <v>50</v>
      </c>
      <c r="L601" t="str" cm="1">
        <f t="array" ref="L601">_xlfn.IFS(Table1[[#This Row],[Customer Tenure in months]]&lt;=6, "0-6 months", Table1[[#This Row],[Customer Tenure in months]] &lt;=12, "7-12 months", Table1[[#This Row],[Customer Tenure in months]] &lt;=24, "1-2 years", TRUE, "2+ years")</f>
        <v>2+ years</v>
      </c>
      <c r="M601">
        <v>59</v>
      </c>
      <c r="N601" t="s">
        <v>42</v>
      </c>
      <c r="O601" s="1">
        <v>9000</v>
      </c>
      <c r="P601">
        <v>13</v>
      </c>
      <c r="Q601" s="1">
        <v>117000</v>
      </c>
      <c r="R601">
        <v>126.96</v>
      </c>
      <c r="S601" t="s">
        <v>1091</v>
      </c>
      <c r="T601" t="s">
        <v>39</v>
      </c>
    </row>
    <row r="602" spans="1:20" x14ac:dyDescent="0.35">
      <c r="A602" s="22" t="s">
        <v>694</v>
      </c>
      <c r="B602" cm="1">
        <f t="array" ref="B602">IF(MATCH(Table1[[#This Row],[Customer ID]], Table1[Customer ID], 0) = ROW() - ROW(Table1[#Headers]), 1, 0)</f>
        <v>1</v>
      </c>
      <c r="C602" t="s">
        <v>695</v>
      </c>
      <c r="D602" s="2">
        <v>45713</v>
      </c>
      <c r="E602">
        <v>55</v>
      </c>
      <c r="F602" t="str" cm="1">
        <f t="array" ref="F602">_xlfn.IFS( Table1[[#This Row],[Age]]&lt;18, "&lt;18", Table1[[#This Row],[Age]]&lt;= 29, "18-29", Table1[[#This Row],[Age]]&lt;= 44, "30-44",  Table1[[#This Row],[Age]]&lt;=59, "45-59", TRUE, "60+")</f>
        <v>45-59</v>
      </c>
      <c r="G602" t="s">
        <v>75</v>
      </c>
      <c r="H602" t="s">
        <v>29</v>
      </c>
      <c r="I602" t="s">
        <v>21</v>
      </c>
      <c r="J602">
        <v>3</v>
      </c>
      <c r="K602" t="s">
        <v>50</v>
      </c>
      <c r="L602" t="str" cm="1">
        <f t="array" ref="L602">_xlfn.IFS(Table1[[#This Row],[Customer Tenure in months]]&lt;=6, "0-6 months", Table1[[#This Row],[Customer Tenure in months]] &lt;=12, "7-12 months", Table1[[#This Row],[Customer Tenure in months]] &lt;=24, "1-2 years", TRUE, "2+ years")</f>
        <v>1-2 years</v>
      </c>
      <c r="M602">
        <v>21</v>
      </c>
      <c r="N602" t="s">
        <v>58</v>
      </c>
      <c r="O602" s="1">
        <v>16000</v>
      </c>
      <c r="P602">
        <v>13</v>
      </c>
      <c r="Q602" s="1">
        <v>208000</v>
      </c>
      <c r="R602">
        <v>134.88999999999999</v>
      </c>
      <c r="S602" t="s">
        <v>1091</v>
      </c>
      <c r="T602" t="s">
        <v>39</v>
      </c>
    </row>
    <row r="603" spans="1:20" x14ac:dyDescent="0.35">
      <c r="A603" s="22" t="s">
        <v>696</v>
      </c>
      <c r="B603" cm="1">
        <f t="array" ref="B603">IF(MATCH(Table1[[#This Row],[Customer ID]], Table1[Customer ID], 0) = ROW() - ROW(Table1[#Headers]), 1, 0)</f>
        <v>1</v>
      </c>
      <c r="C603" t="s">
        <v>697</v>
      </c>
      <c r="D603" s="2">
        <v>45741</v>
      </c>
      <c r="E603">
        <v>80</v>
      </c>
      <c r="F603" t="str" cm="1">
        <f t="array" ref="F603">_xlfn.IFS( Table1[[#This Row],[Age]]&lt;18, "&lt;18", Table1[[#This Row],[Age]]&lt;= 29, "18-29", Table1[[#This Row],[Age]]&lt;= 44, "30-44",  Table1[[#This Row],[Age]]&lt;=59, "45-59", TRUE, "60+")</f>
        <v>60+</v>
      </c>
      <c r="G603" t="s">
        <v>299</v>
      </c>
      <c r="H603" t="s">
        <v>29</v>
      </c>
      <c r="I603" t="s">
        <v>21</v>
      </c>
      <c r="J603">
        <v>4</v>
      </c>
      <c r="K603" t="s">
        <v>114</v>
      </c>
      <c r="L603" t="str" cm="1">
        <f t="array" ref="L603">_xlfn.IFS(Table1[[#This Row],[Customer Tenure in months]]&lt;=6, "0-6 months", Table1[[#This Row],[Customer Tenure in months]] &lt;=12, "7-12 months", Table1[[#This Row],[Customer Tenure in months]] &lt;=24, "1-2 years", TRUE, "2+ years")</f>
        <v>2+ years</v>
      </c>
      <c r="M603">
        <v>28</v>
      </c>
      <c r="N603" t="s">
        <v>102</v>
      </c>
      <c r="O603" s="1">
        <v>900</v>
      </c>
      <c r="P603">
        <v>9</v>
      </c>
      <c r="Q603" s="1">
        <v>8100</v>
      </c>
      <c r="R603">
        <v>109.86</v>
      </c>
      <c r="S603" t="s">
        <v>96</v>
      </c>
      <c r="T603" t="s">
        <v>24</v>
      </c>
    </row>
    <row r="604" spans="1:20" x14ac:dyDescent="0.35">
      <c r="A604" s="22" t="s">
        <v>698</v>
      </c>
      <c r="B604" cm="1">
        <f t="array" ref="B604">IF(MATCH(Table1[[#This Row],[Customer ID]], Table1[Customer ID], 0) = ROW() - ROW(Table1[#Headers]), 1, 0)</f>
        <v>1</v>
      </c>
      <c r="C604" t="s">
        <v>699</v>
      </c>
      <c r="D604" s="2">
        <v>45713</v>
      </c>
      <c r="E604">
        <v>67</v>
      </c>
      <c r="F604" t="str" cm="1">
        <f t="array" ref="F604">_xlfn.IFS( Table1[[#This Row],[Age]]&lt;18, "&lt;18", Table1[[#This Row],[Age]]&lt;= 29, "18-29", Table1[[#This Row],[Age]]&lt;= 44, "30-44",  Table1[[#This Row],[Age]]&lt;=59, "45-59", TRUE, "60+")</f>
        <v>60+</v>
      </c>
      <c r="G604" t="s">
        <v>189</v>
      </c>
      <c r="H604" t="s">
        <v>29</v>
      </c>
      <c r="I604" t="s">
        <v>30</v>
      </c>
      <c r="J604">
        <v>2</v>
      </c>
      <c r="K604" t="s">
        <v>22</v>
      </c>
      <c r="L604" t="str" cm="1">
        <f t="array" ref="L604">_xlfn.IFS(Table1[[#This Row],[Customer Tenure in months]]&lt;=6, "0-6 months", Table1[[#This Row],[Customer Tenure in months]] &lt;=12, "7-12 months", Table1[[#This Row],[Customer Tenure in months]] &lt;=24, "1-2 years", TRUE, "2+ years")</f>
        <v>2+ years</v>
      </c>
      <c r="M604">
        <v>50</v>
      </c>
      <c r="N604" t="s">
        <v>87</v>
      </c>
      <c r="O604" s="1">
        <v>7500</v>
      </c>
      <c r="P604">
        <v>7</v>
      </c>
      <c r="Q604" s="1">
        <v>52500</v>
      </c>
      <c r="R604">
        <v>130.62</v>
      </c>
      <c r="S604" t="s">
        <v>1091</v>
      </c>
      <c r="T604" t="s">
        <v>39</v>
      </c>
    </row>
    <row r="605" spans="1:20" x14ac:dyDescent="0.35">
      <c r="A605" s="22" t="s">
        <v>700</v>
      </c>
      <c r="B605" cm="1">
        <f t="array" ref="B605">IF(MATCH(Table1[[#This Row],[Customer ID]], Table1[Customer ID], 0) = ROW() - ROW(Table1[#Headers]), 1, 0)</f>
        <v>1</v>
      </c>
      <c r="C605" t="s">
        <v>701</v>
      </c>
      <c r="D605" s="2">
        <v>45713</v>
      </c>
      <c r="E605">
        <v>47</v>
      </c>
      <c r="F605" t="str" cm="1">
        <f t="array" ref="F605">_xlfn.IFS( Table1[[#This Row],[Age]]&lt;18, "&lt;18", Table1[[#This Row],[Age]]&lt;= 29, "18-29", Table1[[#This Row],[Age]]&lt;= 44, "30-44",  Table1[[#This Row],[Age]]&lt;=59, "45-59", TRUE, "60+")</f>
        <v>45-59</v>
      </c>
      <c r="G605" t="s">
        <v>70</v>
      </c>
      <c r="H605" t="s">
        <v>41</v>
      </c>
      <c r="I605" t="s">
        <v>21</v>
      </c>
      <c r="J605">
        <v>3</v>
      </c>
      <c r="K605" t="s">
        <v>50</v>
      </c>
      <c r="L605" t="str" cm="1">
        <f t="array" ref="L605">_xlfn.IFS(Table1[[#This Row],[Customer Tenure in months]]&lt;=6, "0-6 months", Table1[[#This Row],[Customer Tenure in months]] &lt;=12, "7-12 months", Table1[[#This Row],[Customer Tenure in months]] &lt;=24, "1-2 years", TRUE, "2+ years")</f>
        <v>1-2 years</v>
      </c>
      <c r="M605">
        <v>18</v>
      </c>
      <c r="N605" t="s">
        <v>71</v>
      </c>
      <c r="O605" s="1">
        <v>14500</v>
      </c>
      <c r="P605">
        <v>7</v>
      </c>
      <c r="Q605" s="1">
        <v>101500</v>
      </c>
      <c r="R605">
        <v>73.37</v>
      </c>
      <c r="S605" t="s">
        <v>1091</v>
      </c>
      <c r="T605" t="s">
        <v>39</v>
      </c>
    </row>
    <row r="606" spans="1:20" x14ac:dyDescent="0.35">
      <c r="A606" s="22" t="s">
        <v>700</v>
      </c>
      <c r="B606" cm="1">
        <f t="array" ref="B606">IF(MATCH(Table1[[#This Row],[Customer ID]], Table1[Customer ID], 0) = ROW() - ROW(Table1[#Headers]), 1, 0)</f>
        <v>0</v>
      </c>
      <c r="C606" t="s">
        <v>701</v>
      </c>
      <c r="D606" s="2">
        <v>45713</v>
      </c>
      <c r="E606">
        <v>47</v>
      </c>
      <c r="F606" t="str" cm="1">
        <f t="array" ref="F606">_xlfn.IFS( Table1[[#This Row],[Age]]&lt;18, "&lt;18", Table1[[#This Row],[Age]]&lt;= 29, "18-29", Table1[[#This Row],[Age]]&lt;= 44, "30-44",  Table1[[#This Row],[Age]]&lt;=59, "45-59", TRUE, "60+")</f>
        <v>45-59</v>
      </c>
      <c r="G606" t="s">
        <v>70</v>
      </c>
      <c r="H606" t="s">
        <v>29</v>
      </c>
      <c r="I606" t="s">
        <v>21</v>
      </c>
      <c r="J606">
        <v>3</v>
      </c>
      <c r="K606" t="s">
        <v>50</v>
      </c>
      <c r="L606" t="str" cm="1">
        <f t="array" ref="L606">_xlfn.IFS(Table1[[#This Row],[Customer Tenure in months]]&lt;=6, "0-6 months", Table1[[#This Row],[Customer Tenure in months]] &lt;=12, "7-12 months", Table1[[#This Row],[Customer Tenure in months]] &lt;=24, "1-2 years", TRUE, "2+ years")</f>
        <v>1-2 years</v>
      </c>
      <c r="M606">
        <v>18</v>
      </c>
      <c r="N606" t="s">
        <v>56</v>
      </c>
      <c r="O606" s="1">
        <v>3500</v>
      </c>
      <c r="P606">
        <v>1</v>
      </c>
      <c r="Q606" s="1">
        <v>3500</v>
      </c>
      <c r="R606">
        <v>69.23</v>
      </c>
      <c r="S606" t="s">
        <v>1091</v>
      </c>
      <c r="T606" t="s">
        <v>39</v>
      </c>
    </row>
    <row r="607" spans="1:20" x14ac:dyDescent="0.35">
      <c r="A607" s="22" t="s">
        <v>700</v>
      </c>
      <c r="B607" cm="1">
        <f t="array" ref="B607">IF(MATCH(Table1[[#This Row],[Customer ID]], Table1[Customer ID], 0) = ROW() - ROW(Table1[#Headers]), 1, 0)</f>
        <v>0</v>
      </c>
      <c r="C607" t="s">
        <v>701</v>
      </c>
      <c r="D607" s="2">
        <v>45713</v>
      </c>
      <c r="E607">
        <v>47</v>
      </c>
      <c r="F607" t="str" cm="1">
        <f t="array" ref="F607">_xlfn.IFS( Table1[[#This Row],[Age]]&lt;18, "&lt;18", Table1[[#This Row],[Age]]&lt;= 29, "18-29", Table1[[#This Row],[Age]]&lt;= 44, "30-44",  Table1[[#This Row],[Age]]&lt;=59, "45-59", TRUE, "60+")</f>
        <v>45-59</v>
      </c>
      <c r="G607" t="s">
        <v>70</v>
      </c>
      <c r="H607" t="s">
        <v>20</v>
      </c>
      <c r="I607" t="s">
        <v>21</v>
      </c>
      <c r="J607">
        <v>3</v>
      </c>
      <c r="K607" t="s">
        <v>50</v>
      </c>
      <c r="L607" t="str" cm="1">
        <f t="array" ref="L607">_xlfn.IFS(Table1[[#This Row],[Customer Tenure in months]]&lt;=6, "0-6 months", Table1[[#This Row],[Customer Tenure in months]] &lt;=12, "7-12 months", Table1[[#This Row],[Customer Tenure in months]] &lt;=24, "1-2 years", TRUE, "2+ years")</f>
        <v>1-2 years</v>
      </c>
      <c r="M607">
        <v>18</v>
      </c>
      <c r="N607" t="s">
        <v>51</v>
      </c>
      <c r="O607" s="1">
        <v>9000</v>
      </c>
      <c r="P607">
        <v>12</v>
      </c>
      <c r="Q607" s="1">
        <v>108000</v>
      </c>
      <c r="R607">
        <v>34.270000000000003</v>
      </c>
      <c r="S607" t="s">
        <v>1091</v>
      </c>
      <c r="T607" t="s">
        <v>39</v>
      </c>
    </row>
    <row r="608" spans="1:20" x14ac:dyDescent="0.35">
      <c r="A608" s="22" t="s">
        <v>702</v>
      </c>
      <c r="B608" cm="1">
        <f t="array" ref="B608">IF(MATCH(Table1[[#This Row],[Customer ID]], Table1[Customer ID], 0) = ROW() - ROW(Table1[#Headers]), 1, 0)</f>
        <v>1</v>
      </c>
      <c r="C608" t="s">
        <v>703</v>
      </c>
      <c r="D608" s="2">
        <v>45713</v>
      </c>
      <c r="E608">
        <v>34</v>
      </c>
      <c r="F608" t="str" cm="1">
        <f t="array" ref="F608">_xlfn.IFS( Table1[[#This Row],[Age]]&lt;18, "&lt;18", Table1[[#This Row],[Age]]&lt;= 29, "18-29", Table1[[#This Row],[Age]]&lt;= 44, "30-44",  Table1[[#This Row],[Age]]&lt;=59, "45-59", TRUE, "60+")</f>
        <v>30-44</v>
      </c>
      <c r="G608" t="s">
        <v>198</v>
      </c>
      <c r="H608" t="s">
        <v>41</v>
      </c>
      <c r="I608" t="s">
        <v>21</v>
      </c>
      <c r="J608">
        <v>2</v>
      </c>
      <c r="K608" t="s">
        <v>22</v>
      </c>
      <c r="L608" t="str" cm="1">
        <f t="array" ref="L608">_xlfn.IFS(Table1[[#This Row],[Customer Tenure in months]]&lt;=6, "0-6 months", Table1[[#This Row],[Customer Tenure in months]] &lt;=12, "7-12 months", Table1[[#This Row],[Customer Tenure in months]] &lt;=24, "1-2 years", TRUE, "2+ years")</f>
        <v>2+ years</v>
      </c>
      <c r="M608">
        <v>60</v>
      </c>
      <c r="N608" t="s">
        <v>42</v>
      </c>
      <c r="O608" s="1">
        <v>9000</v>
      </c>
      <c r="P608">
        <v>8</v>
      </c>
      <c r="Q608" s="1">
        <v>72000</v>
      </c>
      <c r="R608">
        <v>148.05000000000001</v>
      </c>
      <c r="S608" t="s">
        <v>1091</v>
      </c>
      <c r="T608" t="s">
        <v>39</v>
      </c>
    </row>
    <row r="609" spans="1:20" x14ac:dyDescent="0.35">
      <c r="A609" s="22" t="s">
        <v>704</v>
      </c>
      <c r="B609" cm="1">
        <f t="array" ref="B609">IF(MATCH(Table1[[#This Row],[Customer ID]], Table1[Customer ID], 0) = ROW() - ROW(Table1[#Headers]), 1, 0)</f>
        <v>1</v>
      </c>
      <c r="C609" t="s">
        <v>705</v>
      </c>
      <c r="D609" s="2">
        <v>45682</v>
      </c>
      <c r="E609">
        <v>52</v>
      </c>
      <c r="F609" t="str" cm="1">
        <f t="array" ref="F609">_xlfn.IFS( Table1[[#This Row],[Age]]&lt;18, "&lt;18", Table1[[#This Row],[Age]]&lt;= 29, "18-29", Table1[[#This Row],[Age]]&lt;= 44, "30-44",  Table1[[#This Row],[Age]]&lt;=59, "45-59", TRUE, "60+")</f>
        <v>45-59</v>
      </c>
      <c r="G609" t="s">
        <v>452</v>
      </c>
      <c r="H609" t="s">
        <v>36</v>
      </c>
      <c r="I609" t="s">
        <v>30</v>
      </c>
      <c r="J609">
        <v>3</v>
      </c>
      <c r="K609" t="s">
        <v>50</v>
      </c>
      <c r="L609" t="str" cm="1">
        <f t="array" ref="L609">_xlfn.IFS(Table1[[#This Row],[Customer Tenure in months]]&lt;=6, "0-6 months", Table1[[#This Row],[Customer Tenure in months]] &lt;=12, "7-12 months", Table1[[#This Row],[Customer Tenure in months]] &lt;=24, "1-2 years", TRUE, "2+ years")</f>
        <v>2+ years</v>
      </c>
      <c r="M609">
        <v>45</v>
      </c>
      <c r="N609" t="s">
        <v>71</v>
      </c>
      <c r="O609" s="1">
        <v>14500</v>
      </c>
      <c r="P609">
        <v>7</v>
      </c>
      <c r="Q609" s="1">
        <v>101500</v>
      </c>
      <c r="R609">
        <v>148.13</v>
      </c>
      <c r="S609" t="s">
        <v>1091</v>
      </c>
      <c r="T609" t="s">
        <v>39</v>
      </c>
    </row>
    <row r="610" spans="1:20" x14ac:dyDescent="0.35">
      <c r="A610" s="22" t="s">
        <v>706</v>
      </c>
      <c r="B610" cm="1">
        <f t="array" ref="B610">IF(MATCH(Table1[[#This Row],[Customer ID]], Table1[Customer ID], 0) = ROW() - ROW(Table1[#Headers]), 1, 0)</f>
        <v>1</v>
      </c>
      <c r="C610" t="s">
        <v>707</v>
      </c>
      <c r="D610" s="2">
        <v>45682</v>
      </c>
      <c r="E610">
        <v>49</v>
      </c>
      <c r="F610" t="str" cm="1">
        <f t="array" ref="F610">_xlfn.IFS( Table1[[#This Row],[Age]]&lt;18, "&lt;18", Table1[[#This Row],[Age]]&lt;= 29, "18-29", Table1[[#This Row],[Age]]&lt;= 44, "30-44",  Table1[[#This Row],[Age]]&lt;=59, "45-59", TRUE, "60+")</f>
        <v>45-59</v>
      </c>
      <c r="G610" t="s">
        <v>213</v>
      </c>
      <c r="H610" t="s">
        <v>41</v>
      </c>
      <c r="I610" t="s">
        <v>21</v>
      </c>
      <c r="J610">
        <v>4</v>
      </c>
      <c r="K610" t="s">
        <v>114</v>
      </c>
      <c r="L610" t="str" cm="1">
        <f t="array" ref="L610">_xlfn.IFS(Table1[[#This Row],[Customer Tenure in months]]&lt;=6, "0-6 months", Table1[[#This Row],[Customer Tenure in months]] &lt;=12, "7-12 months", Table1[[#This Row],[Customer Tenure in months]] &lt;=24, "1-2 years", TRUE, "2+ years")</f>
        <v>2+ years</v>
      </c>
      <c r="M610">
        <v>45</v>
      </c>
      <c r="N610" t="s">
        <v>42</v>
      </c>
      <c r="O610" s="1">
        <v>9000</v>
      </c>
      <c r="P610">
        <v>20</v>
      </c>
      <c r="Q610" s="1">
        <v>180000</v>
      </c>
      <c r="R610">
        <v>57.16</v>
      </c>
      <c r="S610" t="s">
        <v>1091</v>
      </c>
      <c r="T610" t="s">
        <v>39</v>
      </c>
    </row>
    <row r="611" spans="1:20" x14ac:dyDescent="0.35">
      <c r="A611" s="22" t="s">
        <v>706</v>
      </c>
      <c r="B611" cm="1">
        <f t="array" ref="B611">IF(MATCH(Table1[[#This Row],[Customer ID]], Table1[Customer ID], 0) = ROW() - ROW(Table1[#Headers]), 1, 0)</f>
        <v>0</v>
      </c>
      <c r="C611" t="s">
        <v>707</v>
      </c>
      <c r="D611" s="2">
        <v>45682</v>
      </c>
      <c r="E611">
        <v>49</v>
      </c>
      <c r="F611" t="str" cm="1">
        <f t="array" ref="F611">_xlfn.IFS( Table1[[#This Row],[Age]]&lt;18, "&lt;18", Table1[[#This Row],[Age]]&lt;= 29, "18-29", Table1[[#This Row],[Age]]&lt;= 44, "30-44",  Table1[[#This Row],[Age]]&lt;=59, "45-59", TRUE, "60+")</f>
        <v>45-59</v>
      </c>
      <c r="G611" t="s">
        <v>213</v>
      </c>
      <c r="H611" t="s">
        <v>20</v>
      </c>
      <c r="I611" t="s">
        <v>21</v>
      </c>
      <c r="J611">
        <v>4</v>
      </c>
      <c r="K611" t="s">
        <v>114</v>
      </c>
      <c r="L611" t="str" cm="1">
        <f t="array" ref="L611">_xlfn.IFS(Table1[[#This Row],[Customer Tenure in months]]&lt;=6, "0-6 months", Table1[[#This Row],[Customer Tenure in months]] &lt;=12, "7-12 months", Table1[[#This Row],[Customer Tenure in months]] &lt;=24, "1-2 years", TRUE, "2+ years")</f>
        <v>2+ years</v>
      </c>
      <c r="M611">
        <v>45</v>
      </c>
      <c r="N611" t="s">
        <v>51</v>
      </c>
      <c r="O611" s="1">
        <v>9000</v>
      </c>
      <c r="P611">
        <v>1</v>
      </c>
      <c r="Q611" s="1">
        <v>9000</v>
      </c>
      <c r="R611">
        <v>11.09</v>
      </c>
      <c r="S611" t="s">
        <v>1091</v>
      </c>
      <c r="T611" t="s">
        <v>39</v>
      </c>
    </row>
    <row r="612" spans="1:20" x14ac:dyDescent="0.35">
      <c r="A612" s="22" t="s">
        <v>706</v>
      </c>
      <c r="B612" cm="1">
        <f t="array" ref="B612">IF(MATCH(Table1[[#This Row],[Customer ID]], Table1[Customer ID], 0) = ROW() - ROW(Table1[#Headers]), 1, 0)</f>
        <v>0</v>
      </c>
      <c r="C612" t="s">
        <v>707</v>
      </c>
      <c r="D612" s="2">
        <v>45682</v>
      </c>
      <c r="E612">
        <v>49</v>
      </c>
      <c r="F612" t="str" cm="1">
        <f t="array" ref="F612">_xlfn.IFS( Table1[[#This Row],[Age]]&lt;18, "&lt;18", Table1[[#This Row],[Age]]&lt;= 29, "18-29", Table1[[#This Row],[Age]]&lt;= 44, "30-44",  Table1[[#This Row],[Age]]&lt;=59, "45-59", TRUE, "60+")</f>
        <v>45-59</v>
      </c>
      <c r="G612" t="s">
        <v>213</v>
      </c>
      <c r="H612" t="s">
        <v>29</v>
      </c>
      <c r="I612" t="s">
        <v>21</v>
      </c>
      <c r="J612">
        <v>4</v>
      </c>
      <c r="K612" t="s">
        <v>114</v>
      </c>
      <c r="L612" t="str" cm="1">
        <f t="array" ref="L612">_xlfn.IFS(Table1[[#This Row],[Customer Tenure in months]]&lt;=6, "0-6 months", Table1[[#This Row],[Customer Tenure in months]] &lt;=12, "7-12 months", Table1[[#This Row],[Customer Tenure in months]] &lt;=24, "1-2 years", TRUE, "2+ years")</f>
        <v>2+ years</v>
      </c>
      <c r="M612">
        <v>45</v>
      </c>
      <c r="N612" t="s">
        <v>83</v>
      </c>
      <c r="O612" s="1">
        <v>1000</v>
      </c>
      <c r="P612">
        <v>9</v>
      </c>
      <c r="Q612" s="1">
        <v>9000</v>
      </c>
      <c r="R612">
        <v>78.03</v>
      </c>
      <c r="S612" t="s">
        <v>1091</v>
      </c>
      <c r="T612" t="s">
        <v>39</v>
      </c>
    </row>
    <row r="613" spans="1:20" x14ac:dyDescent="0.35">
      <c r="A613" s="22" t="s">
        <v>708</v>
      </c>
      <c r="B613" cm="1">
        <f t="array" ref="B613">IF(MATCH(Table1[[#This Row],[Customer ID]], Table1[Customer ID], 0) = ROW() - ROW(Table1[#Headers]), 1, 0)</f>
        <v>1</v>
      </c>
      <c r="C613" t="s">
        <v>709</v>
      </c>
      <c r="D613" s="2">
        <v>45713</v>
      </c>
      <c r="E613">
        <v>29</v>
      </c>
      <c r="F613" t="str" cm="1">
        <f t="array" ref="F613">_xlfn.IFS( Table1[[#This Row],[Age]]&lt;18, "&lt;18", Table1[[#This Row],[Age]]&lt;= 29, "18-29", Table1[[#This Row],[Age]]&lt;= 44, "30-44",  Table1[[#This Row],[Age]]&lt;=59, "45-59", TRUE, "60+")</f>
        <v>18-29</v>
      </c>
      <c r="G613" t="s">
        <v>118</v>
      </c>
      <c r="H613" t="s">
        <v>41</v>
      </c>
      <c r="I613" t="s">
        <v>30</v>
      </c>
      <c r="J613">
        <v>2</v>
      </c>
      <c r="K613" t="s">
        <v>22</v>
      </c>
      <c r="L613" t="str" cm="1">
        <f t="array" ref="L613">_xlfn.IFS(Table1[[#This Row],[Customer Tenure in months]]&lt;=6, "0-6 months", Table1[[#This Row],[Customer Tenure in months]] &lt;=12, "7-12 months", Table1[[#This Row],[Customer Tenure in months]] &lt;=24, "1-2 years", TRUE, "2+ years")</f>
        <v>2+ years</v>
      </c>
      <c r="M613">
        <v>56</v>
      </c>
      <c r="N613" t="s">
        <v>62</v>
      </c>
      <c r="O613" s="1">
        <v>24000</v>
      </c>
      <c r="P613">
        <v>6</v>
      </c>
      <c r="Q613" s="1">
        <v>144000</v>
      </c>
      <c r="R613">
        <v>106.55</v>
      </c>
      <c r="S613" t="s">
        <v>1091</v>
      </c>
      <c r="T613" t="s">
        <v>39</v>
      </c>
    </row>
    <row r="614" spans="1:20" x14ac:dyDescent="0.35">
      <c r="A614" s="22" t="s">
        <v>708</v>
      </c>
      <c r="B614" cm="1">
        <f t="array" ref="B614">IF(MATCH(Table1[[#This Row],[Customer ID]], Table1[Customer ID], 0) = ROW() - ROW(Table1[#Headers]), 1, 0)</f>
        <v>0</v>
      </c>
      <c r="C614" t="s">
        <v>709</v>
      </c>
      <c r="D614" s="2">
        <v>45713</v>
      </c>
      <c r="E614">
        <v>29</v>
      </c>
      <c r="F614" t="str" cm="1">
        <f t="array" ref="F614">_xlfn.IFS( Table1[[#This Row],[Age]]&lt;18, "&lt;18", Table1[[#This Row],[Age]]&lt;= 29, "18-29", Table1[[#This Row],[Age]]&lt;= 44, "30-44",  Table1[[#This Row],[Age]]&lt;=59, "45-59", TRUE, "60+")</f>
        <v>18-29</v>
      </c>
      <c r="G614" t="s">
        <v>118</v>
      </c>
      <c r="H614" t="s">
        <v>20</v>
      </c>
      <c r="I614" t="s">
        <v>30</v>
      </c>
      <c r="J614">
        <v>2</v>
      </c>
      <c r="K614" t="s">
        <v>22</v>
      </c>
      <c r="L614" t="str" cm="1">
        <f t="array" ref="L614">_xlfn.IFS(Table1[[#This Row],[Customer Tenure in months]]&lt;=6, "0-6 months", Table1[[#This Row],[Customer Tenure in months]] &lt;=12, "7-12 months", Table1[[#This Row],[Customer Tenure in months]] &lt;=24, "1-2 years", TRUE, "2+ years")</f>
        <v>2+ years</v>
      </c>
      <c r="M614">
        <v>56</v>
      </c>
      <c r="N614" t="s">
        <v>46</v>
      </c>
      <c r="O614" s="1">
        <v>4500</v>
      </c>
      <c r="P614">
        <v>15</v>
      </c>
      <c r="Q614" s="1">
        <v>67500</v>
      </c>
      <c r="R614">
        <v>100.38</v>
      </c>
      <c r="S614" t="s">
        <v>1091</v>
      </c>
      <c r="T614" t="s">
        <v>39</v>
      </c>
    </row>
    <row r="615" spans="1:20" x14ac:dyDescent="0.35">
      <c r="A615" s="22" t="s">
        <v>708</v>
      </c>
      <c r="B615" cm="1">
        <f t="array" ref="B615">IF(MATCH(Table1[[#This Row],[Customer ID]], Table1[Customer ID], 0) = ROW() - ROW(Table1[#Headers]), 1, 0)</f>
        <v>0</v>
      </c>
      <c r="C615" t="s">
        <v>709</v>
      </c>
      <c r="D615" s="2">
        <v>45713</v>
      </c>
      <c r="E615">
        <v>29</v>
      </c>
      <c r="F615" t="str" cm="1">
        <f t="array" ref="F615">_xlfn.IFS( Table1[[#This Row],[Age]]&lt;18, "&lt;18", Table1[[#This Row],[Age]]&lt;= 29, "18-29", Table1[[#This Row],[Age]]&lt;= 44, "30-44",  Table1[[#This Row],[Age]]&lt;=59, "45-59", TRUE, "60+")</f>
        <v>18-29</v>
      </c>
      <c r="G615" t="s">
        <v>118</v>
      </c>
      <c r="H615" t="s">
        <v>36</v>
      </c>
      <c r="I615" t="s">
        <v>30</v>
      </c>
      <c r="J615">
        <v>2</v>
      </c>
      <c r="K615" t="s">
        <v>22</v>
      </c>
      <c r="L615" t="str" cm="1">
        <f t="array" ref="L615">_xlfn.IFS(Table1[[#This Row],[Customer Tenure in months]]&lt;=6, "0-6 months", Table1[[#This Row],[Customer Tenure in months]] &lt;=12, "7-12 months", Table1[[#This Row],[Customer Tenure in months]] &lt;=24, "1-2 years", TRUE, "2+ years")</f>
        <v>2+ years</v>
      </c>
      <c r="M615">
        <v>56</v>
      </c>
      <c r="N615" t="s">
        <v>42</v>
      </c>
      <c r="O615" s="1">
        <v>9000</v>
      </c>
      <c r="P615">
        <v>17</v>
      </c>
      <c r="Q615" s="1">
        <v>153000</v>
      </c>
      <c r="R615">
        <v>8.43</v>
      </c>
      <c r="S615" t="s">
        <v>1091</v>
      </c>
      <c r="T615" t="s">
        <v>39</v>
      </c>
    </row>
    <row r="616" spans="1:20" x14ac:dyDescent="0.35">
      <c r="A616" s="22" t="s">
        <v>710</v>
      </c>
      <c r="B616" cm="1">
        <f t="array" ref="B616">IF(MATCH(Table1[[#This Row],[Customer ID]], Table1[Customer ID], 0) = ROW() - ROW(Table1[#Headers]), 1, 0)</f>
        <v>1</v>
      </c>
      <c r="C616" t="s">
        <v>711</v>
      </c>
      <c r="D616" s="2">
        <v>45713</v>
      </c>
      <c r="E616">
        <v>58</v>
      </c>
      <c r="F616" t="str" cm="1">
        <f t="array" ref="F616">_xlfn.IFS( Table1[[#This Row],[Age]]&lt;18, "&lt;18", Table1[[#This Row],[Age]]&lt;= 29, "18-29", Table1[[#This Row],[Age]]&lt;= 44, "30-44",  Table1[[#This Row],[Age]]&lt;=59, "45-59", TRUE, "60+")</f>
        <v>45-59</v>
      </c>
      <c r="G616" t="s">
        <v>90</v>
      </c>
      <c r="H616" t="s">
        <v>36</v>
      </c>
      <c r="I616" t="s">
        <v>30</v>
      </c>
      <c r="J616">
        <v>1</v>
      </c>
      <c r="K616" t="s">
        <v>37</v>
      </c>
      <c r="L616" t="str" cm="1">
        <f t="array" ref="L616">_xlfn.IFS(Table1[[#This Row],[Customer Tenure in months]]&lt;=6, "0-6 months", Table1[[#This Row],[Customer Tenure in months]] &lt;=12, "7-12 months", Table1[[#This Row],[Customer Tenure in months]] &lt;=24, "1-2 years", TRUE, "2+ years")</f>
        <v>2+ years</v>
      </c>
      <c r="M616">
        <v>48</v>
      </c>
      <c r="N616" t="s">
        <v>62</v>
      </c>
      <c r="O616" s="1">
        <v>24000</v>
      </c>
      <c r="P616">
        <v>17</v>
      </c>
      <c r="Q616" s="1">
        <v>408000</v>
      </c>
      <c r="R616">
        <v>47.62</v>
      </c>
      <c r="S616" t="s">
        <v>1091</v>
      </c>
      <c r="T616" t="s">
        <v>39</v>
      </c>
    </row>
    <row r="617" spans="1:20" x14ac:dyDescent="0.35">
      <c r="A617" s="22" t="s">
        <v>710</v>
      </c>
      <c r="B617" cm="1">
        <f t="array" ref="B617">IF(MATCH(Table1[[#This Row],[Customer ID]], Table1[Customer ID], 0) = ROW() - ROW(Table1[#Headers]), 1, 0)</f>
        <v>0</v>
      </c>
      <c r="C617" t="s">
        <v>711</v>
      </c>
      <c r="D617" s="2">
        <v>45713</v>
      </c>
      <c r="E617">
        <v>58</v>
      </c>
      <c r="F617" t="str" cm="1">
        <f t="array" ref="F617">_xlfn.IFS( Table1[[#This Row],[Age]]&lt;18, "&lt;18", Table1[[#This Row],[Age]]&lt;= 29, "18-29", Table1[[#This Row],[Age]]&lt;= 44, "30-44",  Table1[[#This Row],[Age]]&lt;=59, "45-59", TRUE, "60+")</f>
        <v>45-59</v>
      </c>
      <c r="G617" t="s">
        <v>90</v>
      </c>
      <c r="H617" t="s">
        <v>29</v>
      </c>
      <c r="I617" t="s">
        <v>30</v>
      </c>
      <c r="J617">
        <v>1</v>
      </c>
      <c r="K617" t="s">
        <v>37</v>
      </c>
      <c r="L617" t="str" cm="1">
        <f t="array" ref="L617">_xlfn.IFS(Table1[[#This Row],[Customer Tenure in months]]&lt;=6, "0-6 months", Table1[[#This Row],[Customer Tenure in months]] &lt;=12, "7-12 months", Table1[[#This Row],[Customer Tenure in months]] &lt;=24, "1-2 years", TRUE, "2+ years")</f>
        <v>2+ years</v>
      </c>
      <c r="M617">
        <v>48</v>
      </c>
      <c r="N617" t="s">
        <v>40</v>
      </c>
      <c r="O617" s="1">
        <v>500</v>
      </c>
      <c r="P617">
        <v>9</v>
      </c>
      <c r="Q617" s="1">
        <v>4500</v>
      </c>
      <c r="R617">
        <v>162.47</v>
      </c>
      <c r="S617" t="s">
        <v>1091</v>
      </c>
      <c r="T617" t="s">
        <v>39</v>
      </c>
    </row>
    <row r="618" spans="1:20" x14ac:dyDescent="0.35">
      <c r="A618" s="22" t="s">
        <v>712</v>
      </c>
      <c r="B618" cm="1">
        <f t="array" ref="B618">IF(MATCH(Table1[[#This Row],[Customer ID]], Table1[Customer ID], 0) = ROW() - ROW(Table1[#Headers]), 1, 0)</f>
        <v>1</v>
      </c>
      <c r="C618" t="s">
        <v>713</v>
      </c>
      <c r="D618" s="2">
        <v>45741</v>
      </c>
      <c r="E618">
        <v>19</v>
      </c>
      <c r="F618" t="str" cm="1">
        <f t="array" ref="F618">_xlfn.IFS( Table1[[#This Row],[Age]]&lt;18, "&lt;18", Table1[[#This Row],[Age]]&lt;= 29, "18-29", Table1[[#This Row],[Age]]&lt;= 44, "30-44",  Table1[[#This Row],[Age]]&lt;=59, "45-59", TRUE, "60+")</f>
        <v>18-29</v>
      </c>
      <c r="G618" t="s">
        <v>192</v>
      </c>
      <c r="H618" t="s">
        <v>29</v>
      </c>
      <c r="I618" t="s">
        <v>21</v>
      </c>
      <c r="J618">
        <v>4</v>
      </c>
      <c r="K618" t="s">
        <v>114</v>
      </c>
      <c r="L618" t="str" cm="1">
        <f t="array" ref="L618">_xlfn.IFS(Table1[[#This Row],[Customer Tenure in months]]&lt;=6, "0-6 months", Table1[[#This Row],[Customer Tenure in months]] &lt;=12, "7-12 months", Table1[[#This Row],[Customer Tenure in months]] &lt;=24, "1-2 years", TRUE, "2+ years")</f>
        <v>7-12 months</v>
      </c>
      <c r="M618">
        <v>10</v>
      </c>
      <c r="N618" t="s">
        <v>72</v>
      </c>
      <c r="O618" s="1">
        <v>350</v>
      </c>
      <c r="P618">
        <v>19</v>
      </c>
      <c r="Q618" s="1">
        <v>6650</v>
      </c>
      <c r="R618">
        <v>83.76</v>
      </c>
      <c r="S618" t="s">
        <v>1091</v>
      </c>
      <c r="T618" t="s">
        <v>39</v>
      </c>
    </row>
    <row r="619" spans="1:20" x14ac:dyDescent="0.35">
      <c r="A619" s="22" t="s">
        <v>714</v>
      </c>
      <c r="B619" cm="1">
        <f t="array" ref="B619">IF(MATCH(Table1[[#This Row],[Customer ID]], Table1[Customer ID], 0) = ROW() - ROW(Table1[#Headers]), 1, 0)</f>
        <v>1</v>
      </c>
      <c r="C619" t="s">
        <v>715</v>
      </c>
      <c r="D619" s="2">
        <v>45713</v>
      </c>
      <c r="E619">
        <v>70</v>
      </c>
      <c r="F619" t="str" cm="1">
        <f t="array" ref="F619">_xlfn.IFS( Table1[[#This Row],[Age]]&lt;18, "&lt;18", Table1[[#This Row],[Age]]&lt;= 29, "18-29", Table1[[#This Row],[Age]]&lt;= 44, "30-44",  Table1[[#This Row],[Age]]&lt;=59, "45-59", TRUE, "60+")</f>
        <v>60+</v>
      </c>
      <c r="G619" t="s">
        <v>149</v>
      </c>
      <c r="H619" t="s">
        <v>20</v>
      </c>
      <c r="I619" t="s">
        <v>30</v>
      </c>
      <c r="J619">
        <v>2</v>
      </c>
      <c r="K619" t="s">
        <v>22</v>
      </c>
      <c r="L619" t="str" cm="1">
        <f t="array" ref="L619">_xlfn.IFS(Table1[[#This Row],[Customer Tenure in months]]&lt;=6, "0-6 months", Table1[[#This Row],[Customer Tenure in months]] &lt;=12, "7-12 months", Table1[[#This Row],[Customer Tenure in months]] &lt;=24, "1-2 years", TRUE, "2+ years")</f>
        <v>2+ years</v>
      </c>
      <c r="M619">
        <v>29</v>
      </c>
      <c r="N619" t="s">
        <v>46</v>
      </c>
      <c r="O619" s="1">
        <v>4500</v>
      </c>
      <c r="P619">
        <v>5</v>
      </c>
      <c r="Q619" s="1">
        <v>22500</v>
      </c>
      <c r="R619">
        <v>86.3</v>
      </c>
      <c r="S619" t="s">
        <v>1091</v>
      </c>
      <c r="T619" t="s">
        <v>39</v>
      </c>
    </row>
    <row r="620" spans="1:20" x14ac:dyDescent="0.35">
      <c r="A620" s="22" t="s">
        <v>714</v>
      </c>
      <c r="B620" cm="1">
        <f t="array" ref="B620">IF(MATCH(Table1[[#This Row],[Customer ID]], Table1[Customer ID], 0) = ROW() - ROW(Table1[#Headers]), 1, 0)</f>
        <v>0</v>
      </c>
      <c r="C620" t="s">
        <v>715</v>
      </c>
      <c r="D620" s="2">
        <v>45713</v>
      </c>
      <c r="E620">
        <v>70</v>
      </c>
      <c r="F620" t="str" cm="1">
        <f t="array" ref="F620">_xlfn.IFS( Table1[[#This Row],[Age]]&lt;18, "&lt;18", Table1[[#This Row],[Age]]&lt;= 29, "18-29", Table1[[#This Row],[Age]]&lt;= 44, "30-44",  Table1[[#This Row],[Age]]&lt;=59, "45-59", TRUE, "60+")</f>
        <v>60+</v>
      </c>
      <c r="G620" t="s">
        <v>149</v>
      </c>
      <c r="H620" t="s">
        <v>41</v>
      </c>
      <c r="I620" t="s">
        <v>30</v>
      </c>
      <c r="J620">
        <v>2</v>
      </c>
      <c r="K620" t="s">
        <v>22</v>
      </c>
      <c r="L620" t="str" cm="1">
        <f t="array" ref="L620">_xlfn.IFS(Table1[[#This Row],[Customer Tenure in months]]&lt;=6, "0-6 months", Table1[[#This Row],[Customer Tenure in months]] &lt;=12, "7-12 months", Table1[[#This Row],[Customer Tenure in months]] &lt;=24, "1-2 years", TRUE, "2+ years")</f>
        <v>2+ years</v>
      </c>
      <c r="M620">
        <v>29</v>
      </c>
      <c r="N620" t="s">
        <v>62</v>
      </c>
      <c r="O620" s="1">
        <v>24000</v>
      </c>
      <c r="P620">
        <v>11</v>
      </c>
      <c r="Q620" s="1">
        <v>264000</v>
      </c>
      <c r="R620">
        <v>183.46</v>
      </c>
      <c r="S620" t="s">
        <v>1091</v>
      </c>
      <c r="T620" t="s">
        <v>39</v>
      </c>
    </row>
    <row r="621" spans="1:20" x14ac:dyDescent="0.35">
      <c r="A621" s="22" t="s">
        <v>714</v>
      </c>
      <c r="B621" cm="1">
        <f t="array" ref="B621">IF(MATCH(Table1[[#This Row],[Customer ID]], Table1[Customer ID], 0) = ROW() - ROW(Table1[#Headers]), 1, 0)</f>
        <v>0</v>
      </c>
      <c r="C621" t="s">
        <v>715</v>
      </c>
      <c r="D621" s="2">
        <v>45713</v>
      </c>
      <c r="E621">
        <v>70</v>
      </c>
      <c r="F621" t="str" cm="1">
        <f t="array" ref="F621">_xlfn.IFS( Table1[[#This Row],[Age]]&lt;18, "&lt;18", Table1[[#This Row],[Age]]&lt;= 29, "18-29", Table1[[#This Row],[Age]]&lt;= 44, "30-44",  Table1[[#This Row],[Age]]&lt;=59, "45-59", TRUE, "60+")</f>
        <v>60+</v>
      </c>
      <c r="G621" t="s">
        <v>149</v>
      </c>
      <c r="H621" t="s">
        <v>29</v>
      </c>
      <c r="I621" t="s">
        <v>30</v>
      </c>
      <c r="J621">
        <v>2</v>
      </c>
      <c r="K621" t="s">
        <v>22</v>
      </c>
      <c r="L621" t="str" cm="1">
        <f t="array" ref="L621">_xlfn.IFS(Table1[[#This Row],[Customer Tenure in months]]&lt;=6, "0-6 months", Table1[[#This Row],[Customer Tenure in months]] &lt;=12, "7-12 months", Table1[[#This Row],[Customer Tenure in months]] &lt;=24, "1-2 years", TRUE, "2+ years")</f>
        <v>2+ years</v>
      </c>
      <c r="M621">
        <v>29</v>
      </c>
      <c r="N621" t="s">
        <v>83</v>
      </c>
      <c r="O621" s="1">
        <v>1000</v>
      </c>
      <c r="P621">
        <v>4</v>
      </c>
      <c r="Q621" s="1">
        <v>4000</v>
      </c>
      <c r="R621">
        <v>111.69</v>
      </c>
      <c r="S621" t="s">
        <v>1091</v>
      </c>
      <c r="T621" t="s">
        <v>39</v>
      </c>
    </row>
    <row r="622" spans="1:20" x14ac:dyDescent="0.35">
      <c r="A622" s="22" t="s">
        <v>716</v>
      </c>
      <c r="B622" cm="1">
        <f t="array" ref="B622">IF(MATCH(Table1[[#This Row],[Customer ID]], Table1[Customer ID], 0) = ROW() - ROW(Table1[#Headers]), 1, 0)</f>
        <v>1</v>
      </c>
      <c r="C622" t="s">
        <v>717</v>
      </c>
      <c r="D622" s="2">
        <v>45741</v>
      </c>
      <c r="E622">
        <v>56</v>
      </c>
      <c r="F622" t="str" cm="1">
        <f t="array" ref="F622">_xlfn.IFS( Table1[[#This Row],[Age]]&lt;18, "&lt;18", Table1[[#This Row],[Age]]&lt;= 29, "18-29", Table1[[#This Row],[Age]]&lt;= 44, "30-44",  Table1[[#This Row],[Age]]&lt;=59, "45-59", TRUE, "60+")</f>
        <v>45-59</v>
      </c>
      <c r="G622" t="s">
        <v>54</v>
      </c>
      <c r="H622" t="s">
        <v>29</v>
      </c>
      <c r="I622" t="s">
        <v>21</v>
      </c>
      <c r="J622">
        <v>4</v>
      </c>
      <c r="K622" t="s">
        <v>114</v>
      </c>
      <c r="L622" t="str" cm="1">
        <f t="array" ref="L622">_xlfn.IFS(Table1[[#This Row],[Customer Tenure in months]]&lt;=6, "0-6 months", Table1[[#This Row],[Customer Tenure in months]] &lt;=12, "7-12 months", Table1[[#This Row],[Customer Tenure in months]] &lt;=24, "1-2 years", TRUE, "2+ years")</f>
        <v>2+ years</v>
      </c>
      <c r="M622">
        <v>49</v>
      </c>
      <c r="N622" t="s">
        <v>40</v>
      </c>
      <c r="O622" s="1">
        <v>500</v>
      </c>
      <c r="P622">
        <v>7</v>
      </c>
      <c r="Q622" s="1">
        <v>3500</v>
      </c>
      <c r="R622">
        <v>30.82</v>
      </c>
      <c r="S622" t="s">
        <v>1091</v>
      </c>
      <c r="T622" t="s">
        <v>39</v>
      </c>
    </row>
    <row r="623" spans="1:20" x14ac:dyDescent="0.35">
      <c r="A623" s="22" t="s">
        <v>716</v>
      </c>
      <c r="B623" cm="1">
        <f t="array" ref="B623">IF(MATCH(Table1[[#This Row],[Customer ID]], Table1[Customer ID], 0) = ROW() - ROW(Table1[#Headers]), 1, 0)</f>
        <v>0</v>
      </c>
      <c r="C623" t="s">
        <v>717</v>
      </c>
      <c r="D623" s="2">
        <v>45741</v>
      </c>
      <c r="E623">
        <v>56</v>
      </c>
      <c r="F623" t="str" cm="1">
        <f t="array" ref="F623">_xlfn.IFS( Table1[[#This Row],[Age]]&lt;18, "&lt;18", Table1[[#This Row],[Age]]&lt;= 29, "18-29", Table1[[#This Row],[Age]]&lt;= 44, "30-44",  Table1[[#This Row],[Age]]&lt;=59, "45-59", TRUE, "60+")</f>
        <v>45-59</v>
      </c>
      <c r="G623" t="s">
        <v>54</v>
      </c>
      <c r="H623" t="s">
        <v>36</v>
      </c>
      <c r="I623" t="s">
        <v>21</v>
      </c>
      <c r="J623">
        <v>4</v>
      </c>
      <c r="K623" t="s">
        <v>114</v>
      </c>
      <c r="L623" t="str" cm="1">
        <f t="array" ref="L623">_xlfn.IFS(Table1[[#This Row],[Customer Tenure in months]]&lt;=6, "0-6 months", Table1[[#This Row],[Customer Tenure in months]] &lt;=12, "7-12 months", Table1[[#This Row],[Customer Tenure in months]] &lt;=24, "1-2 years", TRUE, "2+ years")</f>
        <v>2+ years</v>
      </c>
      <c r="M623">
        <v>49</v>
      </c>
      <c r="N623" t="s">
        <v>38</v>
      </c>
      <c r="O623" s="1">
        <v>20000</v>
      </c>
      <c r="P623">
        <v>1</v>
      </c>
      <c r="Q623" s="1">
        <v>20000</v>
      </c>
      <c r="R623">
        <v>26.74</v>
      </c>
      <c r="S623" t="s">
        <v>1091</v>
      </c>
      <c r="T623" t="s">
        <v>39</v>
      </c>
    </row>
    <row r="624" spans="1:20" x14ac:dyDescent="0.35">
      <c r="A624" s="22" t="s">
        <v>718</v>
      </c>
      <c r="B624" cm="1">
        <f t="array" ref="B624">IF(MATCH(Table1[[#This Row],[Customer ID]], Table1[Customer ID], 0) = ROW() - ROW(Table1[#Headers]), 1, 0)</f>
        <v>1</v>
      </c>
      <c r="C624" t="s">
        <v>719</v>
      </c>
      <c r="D624" s="2">
        <v>45682</v>
      </c>
      <c r="E624">
        <v>45</v>
      </c>
      <c r="F624" t="str" cm="1">
        <f t="array" ref="F624">_xlfn.IFS( Table1[[#This Row],[Age]]&lt;18, "&lt;18", Table1[[#This Row],[Age]]&lt;= 29, "18-29", Table1[[#This Row],[Age]]&lt;= 44, "30-44",  Table1[[#This Row],[Age]]&lt;=59, "45-59", TRUE, "60+")</f>
        <v>45-59</v>
      </c>
      <c r="G624" t="s">
        <v>113</v>
      </c>
      <c r="H624" t="s">
        <v>20</v>
      </c>
      <c r="I624" t="s">
        <v>21</v>
      </c>
      <c r="J624">
        <v>3</v>
      </c>
      <c r="K624" t="s">
        <v>50</v>
      </c>
      <c r="L624" t="str" cm="1">
        <f t="array" ref="L624">_xlfn.IFS(Table1[[#This Row],[Customer Tenure in months]]&lt;=6, "0-6 months", Table1[[#This Row],[Customer Tenure in months]] &lt;=12, "7-12 months", Table1[[#This Row],[Customer Tenure in months]] &lt;=24, "1-2 years", TRUE, "2+ years")</f>
        <v>2+ years</v>
      </c>
      <c r="M624">
        <v>44</v>
      </c>
      <c r="N624" t="s">
        <v>23</v>
      </c>
      <c r="O624" s="1">
        <v>35000</v>
      </c>
      <c r="P624">
        <v>12</v>
      </c>
      <c r="Q624" s="1">
        <v>420000</v>
      </c>
      <c r="R624">
        <v>142.55000000000001</v>
      </c>
      <c r="S624" t="s">
        <v>32</v>
      </c>
      <c r="T624" t="s">
        <v>24</v>
      </c>
    </row>
    <row r="625" spans="1:20" x14ac:dyDescent="0.35">
      <c r="A625" s="22" t="s">
        <v>718</v>
      </c>
      <c r="B625" cm="1">
        <f t="array" ref="B625">IF(MATCH(Table1[[#This Row],[Customer ID]], Table1[Customer ID], 0) = ROW() - ROW(Table1[#Headers]), 1, 0)</f>
        <v>0</v>
      </c>
      <c r="C625" t="s">
        <v>719</v>
      </c>
      <c r="D625" s="2">
        <v>45682</v>
      </c>
      <c r="E625">
        <v>45</v>
      </c>
      <c r="F625" t="str" cm="1">
        <f t="array" ref="F625">_xlfn.IFS( Table1[[#This Row],[Age]]&lt;18, "&lt;18", Table1[[#This Row],[Age]]&lt;= 29, "18-29", Table1[[#This Row],[Age]]&lt;= 44, "30-44",  Table1[[#This Row],[Age]]&lt;=59, "45-59", TRUE, "60+")</f>
        <v>45-59</v>
      </c>
      <c r="G625" t="s">
        <v>113</v>
      </c>
      <c r="H625" t="s">
        <v>36</v>
      </c>
      <c r="I625" t="s">
        <v>21</v>
      </c>
      <c r="J625">
        <v>3</v>
      </c>
      <c r="K625" t="s">
        <v>50</v>
      </c>
      <c r="L625" t="str" cm="1">
        <f t="array" ref="L625">_xlfn.IFS(Table1[[#This Row],[Customer Tenure in months]]&lt;=6, "0-6 months", Table1[[#This Row],[Customer Tenure in months]] &lt;=12, "7-12 months", Table1[[#This Row],[Customer Tenure in months]] &lt;=24, "1-2 years", TRUE, "2+ years")</f>
        <v>2+ years</v>
      </c>
      <c r="M625">
        <v>44</v>
      </c>
      <c r="N625" t="s">
        <v>65</v>
      </c>
      <c r="O625" s="1">
        <v>30000</v>
      </c>
      <c r="P625">
        <v>16</v>
      </c>
      <c r="Q625" s="1">
        <v>480000</v>
      </c>
      <c r="R625">
        <v>170.5</v>
      </c>
      <c r="S625" t="s">
        <v>32</v>
      </c>
      <c r="T625" t="s">
        <v>24</v>
      </c>
    </row>
    <row r="626" spans="1:20" x14ac:dyDescent="0.35">
      <c r="A626" s="22" t="s">
        <v>720</v>
      </c>
      <c r="B626" cm="1">
        <f t="array" ref="B626">IF(MATCH(Table1[[#This Row],[Customer ID]], Table1[Customer ID], 0) = ROW() - ROW(Table1[#Headers]), 1, 0)</f>
        <v>1</v>
      </c>
      <c r="C626" t="s">
        <v>721</v>
      </c>
      <c r="D626" s="2">
        <v>45682</v>
      </c>
      <c r="E626">
        <v>33</v>
      </c>
      <c r="F626" t="str" cm="1">
        <f t="array" ref="F626">_xlfn.IFS( Table1[[#This Row],[Age]]&lt;18, "&lt;18", Table1[[#This Row],[Age]]&lt;= 29, "18-29", Table1[[#This Row],[Age]]&lt;= 44, "30-44",  Table1[[#This Row],[Age]]&lt;=59, "45-59", TRUE, "60+")</f>
        <v>30-44</v>
      </c>
      <c r="G626" t="s">
        <v>28</v>
      </c>
      <c r="H626" t="s">
        <v>36</v>
      </c>
      <c r="I626" t="s">
        <v>21</v>
      </c>
      <c r="J626">
        <v>4</v>
      </c>
      <c r="K626" t="s">
        <v>114</v>
      </c>
      <c r="L626" t="str" cm="1">
        <f t="array" ref="L626">_xlfn.IFS(Table1[[#This Row],[Customer Tenure in months]]&lt;=6, "0-6 months", Table1[[#This Row],[Customer Tenure in months]] &lt;=12, "7-12 months", Table1[[#This Row],[Customer Tenure in months]] &lt;=24, "1-2 years", TRUE, "2+ years")</f>
        <v>1-2 years</v>
      </c>
      <c r="M626">
        <v>15</v>
      </c>
      <c r="N626" t="s">
        <v>105</v>
      </c>
      <c r="O626" s="1">
        <v>75000</v>
      </c>
      <c r="P626">
        <v>7</v>
      </c>
      <c r="Q626" s="1">
        <v>525000</v>
      </c>
      <c r="R626">
        <v>44.9</v>
      </c>
      <c r="S626" t="s">
        <v>1091</v>
      </c>
      <c r="T626" t="s">
        <v>39</v>
      </c>
    </row>
    <row r="627" spans="1:20" x14ac:dyDescent="0.35">
      <c r="A627" s="22" t="s">
        <v>722</v>
      </c>
      <c r="B627" cm="1">
        <f t="array" ref="B627">IF(MATCH(Table1[[#This Row],[Customer ID]], Table1[Customer ID], 0) = ROW() - ROW(Table1[#Headers]), 1, 0)</f>
        <v>1</v>
      </c>
      <c r="C627" t="s">
        <v>723</v>
      </c>
      <c r="D627" s="2">
        <v>45713</v>
      </c>
      <c r="E627">
        <v>24</v>
      </c>
      <c r="F627" t="str" cm="1">
        <f t="array" ref="F627">_xlfn.IFS( Table1[[#This Row],[Age]]&lt;18, "&lt;18", Table1[[#This Row],[Age]]&lt;= 29, "18-29", Table1[[#This Row],[Age]]&lt;= 44, "30-44",  Table1[[#This Row],[Age]]&lt;=59, "45-59", TRUE, "60+")</f>
        <v>18-29</v>
      </c>
      <c r="G627" t="s">
        <v>131</v>
      </c>
      <c r="H627" t="s">
        <v>29</v>
      </c>
      <c r="I627" t="s">
        <v>30</v>
      </c>
      <c r="J627">
        <v>3</v>
      </c>
      <c r="K627" t="s">
        <v>50</v>
      </c>
      <c r="L627" t="str" cm="1">
        <f t="array" ref="L627">_xlfn.IFS(Table1[[#This Row],[Customer Tenure in months]]&lt;=6, "0-6 months", Table1[[#This Row],[Customer Tenure in months]] &lt;=12, "7-12 months", Table1[[#This Row],[Customer Tenure in months]] &lt;=24, "1-2 years", TRUE, "2+ years")</f>
        <v>2+ years</v>
      </c>
      <c r="M627">
        <v>56</v>
      </c>
      <c r="N627" t="s">
        <v>87</v>
      </c>
      <c r="O627" s="1">
        <v>7500</v>
      </c>
      <c r="P627">
        <v>20</v>
      </c>
      <c r="Q627" s="1">
        <v>150000</v>
      </c>
      <c r="R627">
        <v>155.35</v>
      </c>
      <c r="S627" t="s">
        <v>1091</v>
      </c>
      <c r="T627" t="s">
        <v>39</v>
      </c>
    </row>
    <row r="628" spans="1:20" x14ac:dyDescent="0.35">
      <c r="A628" s="22" t="s">
        <v>724</v>
      </c>
      <c r="B628" cm="1">
        <f t="array" ref="B628">IF(MATCH(Table1[[#This Row],[Customer ID]], Table1[Customer ID], 0) = ROW() - ROW(Table1[#Headers]), 1, 0)</f>
        <v>1</v>
      </c>
      <c r="C628" t="s">
        <v>725</v>
      </c>
      <c r="D628" s="2">
        <v>45682</v>
      </c>
      <c r="E628">
        <v>56</v>
      </c>
      <c r="F628" t="str" cm="1">
        <f t="array" ref="F628">_xlfn.IFS( Table1[[#This Row],[Age]]&lt;18, "&lt;18", Table1[[#This Row],[Age]]&lt;= 29, "18-29", Table1[[#This Row],[Age]]&lt;= 44, "30-44",  Table1[[#This Row],[Age]]&lt;=59, "45-59", TRUE, "60+")</f>
        <v>45-59</v>
      </c>
      <c r="G628" t="s">
        <v>82</v>
      </c>
      <c r="H628" t="s">
        <v>20</v>
      </c>
      <c r="I628" t="s">
        <v>21</v>
      </c>
      <c r="J628">
        <v>4</v>
      </c>
      <c r="K628" t="s">
        <v>114</v>
      </c>
      <c r="L628" t="str" cm="1">
        <f t="array" ref="L628">_xlfn.IFS(Table1[[#This Row],[Customer Tenure in months]]&lt;=6, "0-6 months", Table1[[#This Row],[Customer Tenure in months]] &lt;=12, "7-12 months", Table1[[#This Row],[Customer Tenure in months]] &lt;=24, "1-2 years", TRUE, "2+ years")</f>
        <v>2+ years</v>
      </c>
      <c r="M628">
        <v>34</v>
      </c>
      <c r="N628" t="s">
        <v>23</v>
      </c>
      <c r="O628" s="1">
        <v>35000</v>
      </c>
      <c r="P628">
        <v>2</v>
      </c>
      <c r="Q628" s="1">
        <v>70000</v>
      </c>
      <c r="R628">
        <v>196.77</v>
      </c>
      <c r="S628" t="s">
        <v>1091</v>
      </c>
      <c r="T628" t="s">
        <v>39</v>
      </c>
    </row>
    <row r="629" spans="1:20" x14ac:dyDescent="0.35">
      <c r="A629" s="22" t="s">
        <v>726</v>
      </c>
      <c r="B629" cm="1">
        <f t="array" ref="B629">IF(MATCH(Table1[[#This Row],[Customer ID]], Table1[Customer ID], 0) = ROW() - ROW(Table1[#Headers]), 1, 0)</f>
        <v>1</v>
      </c>
      <c r="C629" t="s">
        <v>727</v>
      </c>
      <c r="D629" s="2">
        <v>45713</v>
      </c>
      <c r="E629">
        <v>22</v>
      </c>
      <c r="F629" t="str" cm="1">
        <f t="array" ref="F629">_xlfn.IFS( Table1[[#This Row],[Age]]&lt;18, "&lt;18", Table1[[#This Row],[Age]]&lt;= 29, "18-29", Table1[[#This Row],[Age]]&lt;= 44, "30-44",  Table1[[#This Row],[Age]]&lt;=59, "45-59", TRUE, "60+")</f>
        <v>18-29</v>
      </c>
      <c r="G629" t="s">
        <v>121</v>
      </c>
      <c r="H629" t="s">
        <v>29</v>
      </c>
      <c r="I629" t="s">
        <v>30</v>
      </c>
      <c r="J629">
        <v>3</v>
      </c>
      <c r="K629" t="s">
        <v>50</v>
      </c>
      <c r="L629" t="str" cm="1">
        <f t="array" ref="L629">_xlfn.IFS(Table1[[#This Row],[Customer Tenure in months]]&lt;=6, "0-6 months", Table1[[#This Row],[Customer Tenure in months]] &lt;=12, "7-12 months", Table1[[#This Row],[Customer Tenure in months]] &lt;=24, "1-2 years", TRUE, "2+ years")</f>
        <v>2+ years</v>
      </c>
      <c r="M629">
        <v>29</v>
      </c>
      <c r="N629" t="s">
        <v>87</v>
      </c>
      <c r="O629" s="1">
        <v>7500</v>
      </c>
      <c r="P629">
        <v>2</v>
      </c>
      <c r="Q629" s="1">
        <v>15000</v>
      </c>
      <c r="R629">
        <v>59.24</v>
      </c>
      <c r="S629" t="s">
        <v>1091</v>
      </c>
      <c r="T629" t="s">
        <v>39</v>
      </c>
    </row>
    <row r="630" spans="1:20" x14ac:dyDescent="0.35">
      <c r="A630" s="22" t="s">
        <v>726</v>
      </c>
      <c r="B630" cm="1">
        <f t="array" ref="B630">IF(MATCH(Table1[[#This Row],[Customer ID]], Table1[Customer ID], 0) = ROW() - ROW(Table1[#Headers]), 1, 0)</f>
        <v>0</v>
      </c>
      <c r="C630" t="s">
        <v>727</v>
      </c>
      <c r="D630" s="2">
        <v>45713</v>
      </c>
      <c r="E630">
        <v>22</v>
      </c>
      <c r="F630" t="str" cm="1">
        <f t="array" ref="F630">_xlfn.IFS( Table1[[#This Row],[Age]]&lt;18, "&lt;18", Table1[[#This Row],[Age]]&lt;= 29, "18-29", Table1[[#This Row],[Age]]&lt;= 44, "30-44",  Table1[[#This Row],[Age]]&lt;=59, "45-59", TRUE, "60+")</f>
        <v>18-29</v>
      </c>
      <c r="G630" t="s">
        <v>121</v>
      </c>
      <c r="H630" t="s">
        <v>41</v>
      </c>
      <c r="I630" t="s">
        <v>30</v>
      </c>
      <c r="J630">
        <v>3</v>
      </c>
      <c r="K630" t="s">
        <v>50</v>
      </c>
      <c r="L630" t="str" cm="1">
        <f t="array" ref="L630">_xlfn.IFS(Table1[[#This Row],[Customer Tenure in months]]&lt;=6, "0-6 months", Table1[[#This Row],[Customer Tenure in months]] &lt;=12, "7-12 months", Table1[[#This Row],[Customer Tenure in months]] &lt;=24, "1-2 years", TRUE, "2+ years")</f>
        <v>2+ years</v>
      </c>
      <c r="M630">
        <v>29</v>
      </c>
      <c r="N630" t="s">
        <v>62</v>
      </c>
      <c r="O630" s="1">
        <v>24000</v>
      </c>
      <c r="P630">
        <v>15</v>
      </c>
      <c r="Q630" s="1">
        <v>360000</v>
      </c>
      <c r="R630">
        <v>180.78</v>
      </c>
      <c r="S630" t="s">
        <v>1091</v>
      </c>
      <c r="T630" t="s">
        <v>39</v>
      </c>
    </row>
    <row r="631" spans="1:20" x14ac:dyDescent="0.35">
      <c r="A631" s="22" t="s">
        <v>728</v>
      </c>
      <c r="B631" cm="1">
        <f t="array" ref="B631">IF(MATCH(Table1[[#This Row],[Customer ID]], Table1[Customer ID], 0) = ROW() - ROW(Table1[#Headers]), 1, 0)</f>
        <v>1</v>
      </c>
      <c r="C631" t="s">
        <v>729</v>
      </c>
      <c r="D631" s="2">
        <v>45713</v>
      </c>
      <c r="E631">
        <v>27</v>
      </c>
      <c r="F631" t="str" cm="1">
        <f t="array" ref="F631">_xlfn.IFS( Table1[[#This Row],[Age]]&lt;18, "&lt;18", Table1[[#This Row],[Age]]&lt;= 29, "18-29", Table1[[#This Row],[Age]]&lt;= 44, "30-44",  Table1[[#This Row],[Age]]&lt;=59, "45-59", TRUE, "60+")</f>
        <v>18-29</v>
      </c>
      <c r="G631" t="s">
        <v>189</v>
      </c>
      <c r="H631" t="s">
        <v>41</v>
      </c>
      <c r="I631" t="s">
        <v>21</v>
      </c>
      <c r="J631">
        <v>4</v>
      </c>
      <c r="K631" t="s">
        <v>114</v>
      </c>
      <c r="L631" t="str" cm="1">
        <f t="array" ref="L631">_xlfn.IFS(Table1[[#This Row],[Customer Tenure in months]]&lt;=6, "0-6 months", Table1[[#This Row],[Customer Tenure in months]] &lt;=12, "7-12 months", Table1[[#This Row],[Customer Tenure in months]] &lt;=24, "1-2 years", TRUE, "2+ years")</f>
        <v>7-12 months</v>
      </c>
      <c r="M631">
        <v>12</v>
      </c>
      <c r="N631" t="s">
        <v>71</v>
      </c>
      <c r="O631" s="1">
        <v>14500</v>
      </c>
      <c r="P631">
        <v>7</v>
      </c>
      <c r="Q631" s="1">
        <v>101500</v>
      </c>
      <c r="R631">
        <v>118.27</v>
      </c>
      <c r="S631" t="s">
        <v>1091</v>
      </c>
      <c r="T631" t="s">
        <v>39</v>
      </c>
    </row>
    <row r="632" spans="1:20" x14ac:dyDescent="0.35">
      <c r="A632" s="22" t="s">
        <v>728</v>
      </c>
      <c r="B632" cm="1">
        <f t="array" ref="B632">IF(MATCH(Table1[[#This Row],[Customer ID]], Table1[Customer ID], 0) = ROW() - ROW(Table1[#Headers]), 1, 0)</f>
        <v>0</v>
      </c>
      <c r="C632" t="s">
        <v>729</v>
      </c>
      <c r="D632" s="2">
        <v>45713</v>
      </c>
      <c r="E632">
        <v>27</v>
      </c>
      <c r="F632" t="str" cm="1">
        <f t="array" ref="F632">_xlfn.IFS( Table1[[#This Row],[Age]]&lt;18, "&lt;18", Table1[[#This Row],[Age]]&lt;= 29, "18-29", Table1[[#This Row],[Age]]&lt;= 44, "30-44",  Table1[[#This Row],[Age]]&lt;=59, "45-59", TRUE, "60+")</f>
        <v>18-29</v>
      </c>
      <c r="G632" t="s">
        <v>189</v>
      </c>
      <c r="H632" t="s">
        <v>29</v>
      </c>
      <c r="I632" t="s">
        <v>21</v>
      </c>
      <c r="J632">
        <v>4</v>
      </c>
      <c r="K632" t="s">
        <v>114</v>
      </c>
      <c r="L632" t="str" cm="1">
        <f t="array" ref="L632">_xlfn.IFS(Table1[[#This Row],[Customer Tenure in months]]&lt;=6, "0-6 months", Table1[[#This Row],[Customer Tenure in months]] &lt;=12, "7-12 months", Table1[[#This Row],[Customer Tenure in months]] &lt;=24, "1-2 years", TRUE, "2+ years")</f>
        <v>7-12 months</v>
      </c>
      <c r="M632">
        <v>12</v>
      </c>
      <c r="N632" t="s">
        <v>31</v>
      </c>
      <c r="O632" s="1">
        <v>5500</v>
      </c>
      <c r="P632">
        <v>11</v>
      </c>
      <c r="Q632" s="1">
        <v>60500</v>
      </c>
      <c r="R632">
        <v>18.489999999999998</v>
      </c>
      <c r="S632" t="s">
        <v>1091</v>
      </c>
      <c r="T632" t="s">
        <v>39</v>
      </c>
    </row>
    <row r="633" spans="1:20" x14ac:dyDescent="0.35">
      <c r="A633" s="22" t="s">
        <v>730</v>
      </c>
      <c r="B633" cm="1">
        <f t="array" ref="B633">IF(MATCH(Table1[[#This Row],[Customer ID]], Table1[Customer ID], 0) = ROW() - ROW(Table1[#Headers]), 1, 0)</f>
        <v>1</v>
      </c>
      <c r="C633" t="s">
        <v>731</v>
      </c>
      <c r="D633" s="2">
        <v>45713</v>
      </c>
      <c r="E633">
        <v>31</v>
      </c>
      <c r="F633" t="str" cm="1">
        <f t="array" ref="F633">_xlfn.IFS( Table1[[#This Row],[Age]]&lt;18, "&lt;18", Table1[[#This Row],[Age]]&lt;= 29, "18-29", Table1[[#This Row],[Age]]&lt;= 44, "30-44",  Table1[[#This Row],[Age]]&lt;=59, "45-59", TRUE, "60+")</f>
        <v>30-44</v>
      </c>
      <c r="G633" t="s">
        <v>299</v>
      </c>
      <c r="H633" t="s">
        <v>20</v>
      </c>
      <c r="I633" t="s">
        <v>21</v>
      </c>
      <c r="J633">
        <v>3</v>
      </c>
      <c r="K633" t="s">
        <v>50</v>
      </c>
      <c r="L633" t="str" cm="1">
        <f t="array" ref="L633">_xlfn.IFS(Table1[[#This Row],[Customer Tenure in months]]&lt;=6, "0-6 months", Table1[[#This Row],[Customer Tenure in months]] &lt;=12, "7-12 months", Table1[[#This Row],[Customer Tenure in months]] &lt;=24, "1-2 years", TRUE, "2+ years")</f>
        <v>2+ years</v>
      </c>
      <c r="M633">
        <v>46</v>
      </c>
      <c r="N633" t="s">
        <v>23</v>
      </c>
      <c r="O633" s="1">
        <v>35000</v>
      </c>
      <c r="P633">
        <v>6</v>
      </c>
      <c r="Q633" s="1">
        <v>210000</v>
      </c>
      <c r="R633">
        <v>9.26</v>
      </c>
      <c r="S633" t="s">
        <v>284</v>
      </c>
      <c r="T633" t="s">
        <v>24</v>
      </c>
    </row>
    <row r="634" spans="1:20" x14ac:dyDescent="0.35">
      <c r="A634" s="22" t="s">
        <v>730</v>
      </c>
      <c r="B634" cm="1">
        <f t="array" ref="B634">IF(MATCH(Table1[[#This Row],[Customer ID]], Table1[Customer ID], 0) = ROW() - ROW(Table1[#Headers]), 1, 0)</f>
        <v>0</v>
      </c>
      <c r="C634" t="s">
        <v>731</v>
      </c>
      <c r="D634" s="2">
        <v>45713</v>
      </c>
      <c r="E634">
        <v>31</v>
      </c>
      <c r="F634" t="str" cm="1">
        <f t="array" ref="F634">_xlfn.IFS( Table1[[#This Row],[Age]]&lt;18, "&lt;18", Table1[[#This Row],[Age]]&lt;= 29, "18-29", Table1[[#This Row],[Age]]&lt;= 44, "30-44",  Table1[[#This Row],[Age]]&lt;=59, "45-59", TRUE, "60+")</f>
        <v>30-44</v>
      </c>
      <c r="G634" t="s">
        <v>299</v>
      </c>
      <c r="H634" t="s">
        <v>29</v>
      </c>
      <c r="I634" t="s">
        <v>21</v>
      </c>
      <c r="J634">
        <v>3</v>
      </c>
      <c r="K634" t="s">
        <v>50</v>
      </c>
      <c r="L634" t="str" cm="1">
        <f t="array" ref="L634">_xlfn.IFS(Table1[[#This Row],[Customer Tenure in months]]&lt;=6, "0-6 months", Table1[[#This Row],[Customer Tenure in months]] &lt;=12, "7-12 months", Table1[[#This Row],[Customer Tenure in months]] &lt;=24, "1-2 years", TRUE, "2+ years")</f>
        <v>2+ years</v>
      </c>
      <c r="M634">
        <v>46</v>
      </c>
      <c r="N634" t="s">
        <v>56</v>
      </c>
      <c r="O634" s="1">
        <v>3500</v>
      </c>
      <c r="P634">
        <v>5</v>
      </c>
      <c r="Q634" s="1">
        <v>17500</v>
      </c>
      <c r="R634">
        <v>113.32</v>
      </c>
      <c r="S634" t="s">
        <v>284</v>
      </c>
      <c r="T634" t="s">
        <v>24</v>
      </c>
    </row>
    <row r="635" spans="1:20" x14ac:dyDescent="0.35">
      <c r="A635" s="22" t="s">
        <v>732</v>
      </c>
      <c r="B635" cm="1">
        <f t="array" ref="B635">IF(MATCH(Table1[[#This Row],[Customer ID]], Table1[Customer ID], 0) = ROW() - ROW(Table1[#Headers]), 1, 0)</f>
        <v>1</v>
      </c>
      <c r="C635" t="s">
        <v>733</v>
      </c>
      <c r="D635" s="2">
        <v>45741</v>
      </c>
      <c r="E635">
        <v>34</v>
      </c>
      <c r="F635" t="str" cm="1">
        <f t="array" ref="F635">_xlfn.IFS( Table1[[#This Row],[Age]]&lt;18, "&lt;18", Table1[[#This Row],[Age]]&lt;= 29, "18-29", Table1[[#This Row],[Age]]&lt;= 44, "30-44",  Table1[[#This Row],[Age]]&lt;=59, "45-59", TRUE, "60+")</f>
        <v>30-44</v>
      </c>
      <c r="G635" t="s">
        <v>131</v>
      </c>
      <c r="H635" t="s">
        <v>36</v>
      </c>
      <c r="I635" t="s">
        <v>21</v>
      </c>
      <c r="J635">
        <v>3</v>
      </c>
      <c r="K635" t="s">
        <v>50</v>
      </c>
      <c r="L635" t="str" cm="1">
        <f t="array" ref="L635">_xlfn.IFS(Table1[[#This Row],[Customer Tenure in months]]&lt;=6, "0-6 months", Table1[[#This Row],[Customer Tenure in months]] &lt;=12, "7-12 months", Table1[[#This Row],[Customer Tenure in months]] &lt;=24, "1-2 years", TRUE, "2+ years")</f>
        <v>2+ years</v>
      </c>
      <c r="M635">
        <v>27</v>
      </c>
      <c r="N635" t="s">
        <v>65</v>
      </c>
      <c r="O635" s="1">
        <v>30000</v>
      </c>
      <c r="P635">
        <v>5</v>
      </c>
      <c r="Q635" s="1">
        <v>150000</v>
      </c>
      <c r="R635">
        <v>23.95</v>
      </c>
      <c r="S635" t="s">
        <v>1091</v>
      </c>
      <c r="T635" t="s">
        <v>39</v>
      </c>
    </row>
    <row r="636" spans="1:20" x14ac:dyDescent="0.35">
      <c r="A636" s="22" t="s">
        <v>732</v>
      </c>
      <c r="B636" cm="1">
        <f t="array" ref="B636">IF(MATCH(Table1[[#This Row],[Customer ID]], Table1[Customer ID], 0) = ROW() - ROW(Table1[#Headers]), 1, 0)</f>
        <v>0</v>
      </c>
      <c r="C636" t="s">
        <v>733</v>
      </c>
      <c r="D636" s="2">
        <v>45741</v>
      </c>
      <c r="E636">
        <v>34</v>
      </c>
      <c r="F636" t="str" cm="1">
        <f t="array" ref="F636">_xlfn.IFS( Table1[[#This Row],[Age]]&lt;18, "&lt;18", Table1[[#This Row],[Age]]&lt;= 29, "18-29", Table1[[#This Row],[Age]]&lt;= 44, "30-44",  Table1[[#This Row],[Age]]&lt;=59, "45-59", TRUE, "60+")</f>
        <v>30-44</v>
      </c>
      <c r="G636" t="s">
        <v>131</v>
      </c>
      <c r="H636" t="s">
        <v>29</v>
      </c>
      <c r="I636" t="s">
        <v>21</v>
      </c>
      <c r="J636">
        <v>3</v>
      </c>
      <c r="K636" t="s">
        <v>50</v>
      </c>
      <c r="L636" t="str" cm="1">
        <f t="array" ref="L636">_xlfn.IFS(Table1[[#This Row],[Customer Tenure in months]]&lt;=6, "0-6 months", Table1[[#This Row],[Customer Tenure in months]] &lt;=12, "7-12 months", Table1[[#This Row],[Customer Tenure in months]] &lt;=24, "1-2 years", TRUE, "2+ years")</f>
        <v>2+ years</v>
      </c>
      <c r="M636">
        <v>27</v>
      </c>
      <c r="N636" t="s">
        <v>72</v>
      </c>
      <c r="O636" s="1">
        <v>350</v>
      </c>
      <c r="P636">
        <v>9</v>
      </c>
      <c r="Q636" s="1">
        <v>3150</v>
      </c>
      <c r="R636">
        <v>1.2</v>
      </c>
      <c r="S636" t="s">
        <v>1091</v>
      </c>
      <c r="T636" t="s">
        <v>39</v>
      </c>
    </row>
    <row r="637" spans="1:20" x14ac:dyDescent="0.35">
      <c r="A637" s="22" t="s">
        <v>734</v>
      </c>
      <c r="B637" cm="1">
        <f t="array" ref="B637">IF(MATCH(Table1[[#This Row],[Customer ID]], Table1[Customer ID], 0) = ROW() - ROW(Table1[#Headers]), 1, 0)</f>
        <v>1</v>
      </c>
      <c r="C637" t="s">
        <v>735</v>
      </c>
      <c r="D637" s="2">
        <v>45682</v>
      </c>
      <c r="E637">
        <v>74</v>
      </c>
      <c r="F637" t="str" cm="1">
        <f t="array" ref="F637">_xlfn.IFS( Table1[[#This Row],[Age]]&lt;18, "&lt;18", Table1[[#This Row],[Age]]&lt;= 29, "18-29", Table1[[#This Row],[Age]]&lt;= 44, "30-44",  Table1[[#This Row],[Age]]&lt;=59, "45-59", TRUE, "60+")</f>
        <v>60+</v>
      </c>
      <c r="G637" t="s">
        <v>90</v>
      </c>
      <c r="H637" t="s">
        <v>20</v>
      </c>
      <c r="I637" t="s">
        <v>30</v>
      </c>
      <c r="J637">
        <v>5</v>
      </c>
      <c r="K637" t="s">
        <v>55</v>
      </c>
      <c r="L637" t="str" cm="1">
        <f t="array" ref="L637">_xlfn.IFS(Table1[[#This Row],[Customer Tenure in months]]&lt;=6, "0-6 months", Table1[[#This Row],[Customer Tenure in months]] &lt;=12, "7-12 months", Table1[[#This Row],[Customer Tenure in months]] &lt;=24, "1-2 years", TRUE, "2+ years")</f>
        <v>2+ years</v>
      </c>
      <c r="M637">
        <v>35</v>
      </c>
      <c r="N637" t="s">
        <v>23</v>
      </c>
      <c r="O637" s="1">
        <v>35000</v>
      </c>
      <c r="P637">
        <v>15</v>
      </c>
      <c r="Q637" s="1">
        <v>525000</v>
      </c>
      <c r="R637">
        <v>91.02</v>
      </c>
      <c r="S637" t="s">
        <v>1091</v>
      </c>
      <c r="T637" t="s">
        <v>39</v>
      </c>
    </row>
    <row r="638" spans="1:20" x14ac:dyDescent="0.35">
      <c r="A638" s="22" t="s">
        <v>736</v>
      </c>
      <c r="B638" cm="1">
        <f t="array" ref="B638">IF(MATCH(Table1[[#This Row],[Customer ID]], Table1[Customer ID], 0) = ROW() - ROW(Table1[#Headers]), 1, 0)</f>
        <v>1</v>
      </c>
      <c r="C638" t="s">
        <v>737</v>
      </c>
      <c r="D638" s="2">
        <v>45713</v>
      </c>
      <c r="E638">
        <v>16</v>
      </c>
      <c r="F638" t="str" cm="1">
        <f t="array" ref="F638">_xlfn.IFS( Table1[[#This Row],[Age]]&lt;18, "&lt;18", Table1[[#This Row],[Age]]&lt;= 29, "18-29", Table1[[#This Row],[Age]]&lt;= 44, "30-44",  Table1[[#This Row],[Age]]&lt;=59, "45-59", TRUE, "60+")</f>
        <v>&lt;18</v>
      </c>
      <c r="G638" t="s">
        <v>70</v>
      </c>
      <c r="H638" t="s">
        <v>29</v>
      </c>
      <c r="I638" t="s">
        <v>30</v>
      </c>
      <c r="J638">
        <v>1</v>
      </c>
      <c r="K638" t="s">
        <v>37</v>
      </c>
      <c r="L638" t="str" cm="1">
        <f t="array" ref="L638">_xlfn.IFS(Table1[[#This Row],[Customer Tenure in months]]&lt;=6, "0-6 months", Table1[[#This Row],[Customer Tenure in months]] &lt;=12, "7-12 months", Table1[[#This Row],[Customer Tenure in months]] &lt;=24, "1-2 years", TRUE, "2+ years")</f>
        <v>2+ years</v>
      </c>
      <c r="M638">
        <v>40</v>
      </c>
      <c r="N638" t="s">
        <v>102</v>
      </c>
      <c r="O638" s="1">
        <v>900</v>
      </c>
      <c r="P638">
        <v>20</v>
      </c>
      <c r="Q638" s="1">
        <v>18000</v>
      </c>
      <c r="R638">
        <v>133.57</v>
      </c>
      <c r="S638" t="s">
        <v>76</v>
      </c>
      <c r="T638" t="s">
        <v>24</v>
      </c>
    </row>
    <row r="639" spans="1:20" x14ac:dyDescent="0.35">
      <c r="A639" s="22" t="s">
        <v>738</v>
      </c>
      <c r="B639" cm="1">
        <f t="array" ref="B639">IF(MATCH(Table1[[#This Row],[Customer ID]], Table1[Customer ID], 0) = ROW() - ROW(Table1[#Headers]), 1, 0)</f>
        <v>1</v>
      </c>
      <c r="C639" t="s">
        <v>739</v>
      </c>
      <c r="D639" s="2">
        <v>45713</v>
      </c>
      <c r="E639">
        <v>58</v>
      </c>
      <c r="F639" t="str" cm="1">
        <f t="array" ref="F639">_xlfn.IFS( Table1[[#This Row],[Age]]&lt;18, "&lt;18", Table1[[#This Row],[Age]]&lt;= 29, "18-29", Table1[[#This Row],[Age]]&lt;= 44, "30-44",  Table1[[#This Row],[Age]]&lt;=59, "45-59", TRUE, "60+")</f>
        <v>45-59</v>
      </c>
      <c r="G639" t="s">
        <v>299</v>
      </c>
      <c r="H639" t="s">
        <v>20</v>
      </c>
      <c r="I639" t="s">
        <v>21</v>
      </c>
      <c r="J639">
        <v>2</v>
      </c>
      <c r="K639" t="s">
        <v>22</v>
      </c>
      <c r="L639" t="str" cm="1">
        <f t="array" ref="L639">_xlfn.IFS(Table1[[#This Row],[Customer Tenure in months]]&lt;=6, "0-6 months", Table1[[#This Row],[Customer Tenure in months]] &lt;=12, "7-12 months", Table1[[#This Row],[Customer Tenure in months]] &lt;=24, "1-2 years", TRUE, "2+ years")</f>
        <v>7-12 months</v>
      </c>
      <c r="M639">
        <v>7</v>
      </c>
      <c r="N639" t="s">
        <v>58</v>
      </c>
      <c r="O639" s="1">
        <v>16000</v>
      </c>
      <c r="P639">
        <v>10</v>
      </c>
      <c r="Q639" s="1">
        <v>160000</v>
      </c>
      <c r="R639">
        <v>19.079999999999998</v>
      </c>
      <c r="S639" t="s">
        <v>96</v>
      </c>
      <c r="T639" t="s">
        <v>24</v>
      </c>
    </row>
    <row r="640" spans="1:20" x14ac:dyDescent="0.35">
      <c r="A640" s="22" t="s">
        <v>738</v>
      </c>
      <c r="B640" cm="1">
        <f t="array" ref="B640">IF(MATCH(Table1[[#This Row],[Customer ID]], Table1[Customer ID], 0) = ROW() - ROW(Table1[#Headers]), 1, 0)</f>
        <v>0</v>
      </c>
      <c r="C640" t="s">
        <v>739</v>
      </c>
      <c r="D640" s="2">
        <v>45713</v>
      </c>
      <c r="E640">
        <v>58</v>
      </c>
      <c r="F640" t="str" cm="1">
        <f t="array" ref="F640">_xlfn.IFS( Table1[[#This Row],[Age]]&lt;18, "&lt;18", Table1[[#This Row],[Age]]&lt;= 29, "18-29", Table1[[#This Row],[Age]]&lt;= 44, "30-44",  Table1[[#This Row],[Age]]&lt;=59, "45-59", TRUE, "60+")</f>
        <v>45-59</v>
      </c>
      <c r="G640" t="s">
        <v>299</v>
      </c>
      <c r="H640" t="s">
        <v>29</v>
      </c>
      <c r="I640" t="s">
        <v>21</v>
      </c>
      <c r="J640">
        <v>2</v>
      </c>
      <c r="K640" t="s">
        <v>22</v>
      </c>
      <c r="L640" t="str" cm="1">
        <f t="array" ref="L640">_xlfn.IFS(Table1[[#This Row],[Customer Tenure in months]]&lt;=6, "0-6 months", Table1[[#This Row],[Customer Tenure in months]] &lt;=12, "7-12 months", Table1[[#This Row],[Customer Tenure in months]] &lt;=24, "1-2 years", TRUE, "2+ years")</f>
        <v>7-12 months</v>
      </c>
      <c r="M640">
        <v>7</v>
      </c>
      <c r="N640" t="s">
        <v>56</v>
      </c>
      <c r="O640" s="1">
        <v>3500</v>
      </c>
      <c r="P640">
        <v>13</v>
      </c>
      <c r="Q640" s="1">
        <v>45500</v>
      </c>
      <c r="R640">
        <v>74.03</v>
      </c>
      <c r="S640" t="s">
        <v>96</v>
      </c>
      <c r="T640" t="s">
        <v>24</v>
      </c>
    </row>
    <row r="641" spans="1:20" x14ac:dyDescent="0.35">
      <c r="A641" s="22" t="s">
        <v>738</v>
      </c>
      <c r="B641" cm="1">
        <f t="array" ref="B641">IF(MATCH(Table1[[#This Row],[Customer ID]], Table1[Customer ID], 0) = ROW() - ROW(Table1[#Headers]), 1, 0)</f>
        <v>0</v>
      </c>
      <c r="C641" t="s">
        <v>739</v>
      </c>
      <c r="D641" s="2">
        <v>45713</v>
      </c>
      <c r="E641">
        <v>58</v>
      </c>
      <c r="F641" t="str" cm="1">
        <f t="array" ref="F641">_xlfn.IFS( Table1[[#This Row],[Age]]&lt;18, "&lt;18", Table1[[#This Row],[Age]]&lt;= 29, "18-29", Table1[[#This Row],[Age]]&lt;= 44, "30-44",  Table1[[#This Row],[Age]]&lt;=59, "45-59", TRUE, "60+")</f>
        <v>45-59</v>
      </c>
      <c r="G641" t="s">
        <v>299</v>
      </c>
      <c r="H641" t="s">
        <v>36</v>
      </c>
      <c r="I641" t="s">
        <v>21</v>
      </c>
      <c r="J641">
        <v>2</v>
      </c>
      <c r="K641" t="s">
        <v>22</v>
      </c>
      <c r="L641" t="str" cm="1">
        <f t="array" ref="L641">_xlfn.IFS(Table1[[#This Row],[Customer Tenure in months]]&lt;=6, "0-6 months", Table1[[#This Row],[Customer Tenure in months]] &lt;=12, "7-12 months", Table1[[#This Row],[Customer Tenure in months]] &lt;=24, "1-2 years", TRUE, "2+ years")</f>
        <v>7-12 months</v>
      </c>
      <c r="M641">
        <v>7</v>
      </c>
      <c r="N641" t="s">
        <v>38</v>
      </c>
      <c r="O641" s="1">
        <v>20000</v>
      </c>
      <c r="P641">
        <v>18</v>
      </c>
      <c r="Q641" s="1">
        <v>360000</v>
      </c>
      <c r="R641">
        <v>151.81</v>
      </c>
      <c r="S641" t="s">
        <v>96</v>
      </c>
      <c r="T641" t="s">
        <v>24</v>
      </c>
    </row>
    <row r="642" spans="1:20" x14ac:dyDescent="0.35">
      <c r="A642" s="22" t="s">
        <v>740</v>
      </c>
      <c r="B642" cm="1">
        <f t="array" ref="B642">IF(MATCH(Table1[[#This Row],[Customer ID]], Table1[Customer ID], 0) = ROW() - ROW(Table1[#Headers]), 1, 0)</f>
        <v>1</v>
      </c>
      <c r="C642" t="s">
        <v>741</v>
      </c>
      <c r="D642" s="2">
        <v>45741</v>
      </c>
      <c r="E642">
        <v>53</v>
      </c>
      <c r="F642" t="str" cm="1">
        <f t="array" ref="F642">_xlfn.IFS( Table1[[#This Row],[Age]]&lt;18, "&lt;18", Table1[[#This Row],[Age]]&lt;= 29, "18-29", Table1[[#This Row],[Age]]&lt;= 44, "30-44",  Table1[[#This Row],[Age]]&lt;=59, "45-59", TRUE, "60+")</f>
        <v>45-59</v>
      </c>
      <c r="G642" t="s">
        <v>213</v>
      </c>
      <c r="H642" t="s">
        <v>20</v>
      </c>
      <c r="I642" t="s">
        <v>21</v>
      </c>
      <c r="J642">
        <v>3</v>
      </c>
      <c r="K642" t="s">
        <v>50</v>
      </c>
      <c r="L642" t="str" cm="1">
        <f t="array" ref="L642">_xlfn.IFS(Table1[[#This Row],[Customer Tenure in months]]&lt;=6, "0-6 months", Table1[[#This Row],[Customer Tenure in months]] &lt;=12, "7-12 months", Table1[[#This Row],[Customer Tenure in months]] &lt;=24, "1-2 years", TRUE, "2+ years")</f>
        <v>7-12 months</v>
      </c>
      <c r="M642">
        <v>8</v>
      </c>
      <c r="N642" t="s">
        <v>58</v>
      </c>
      <c r="O642" s="1">
        <v>16000</v>
      </c>
      <c r="P642">
        <v>17</v>
      </c>
      <c r="Q642" s="1">
        <v>272000</v>
      </c>
      <c r="R642">
        <v>22.31</v>
      </c>
      <c r="S642" t="s">
        <v>1091</v>
      </c>
      <c r="T642" t="s">
        <v>39</v>
      </c>
    </row>
    <row r="643" spans="1:20" x14ac:dyDescent="0.35">
      <c r="A643" s="22" t="s">
        <v>740</v>
      </c>
      <c r="B643" cm="1">
        <f t="array" ref="B643">IF(MATCH(Table1[[#This Row],[Customer ID]], Table1[Customer ID], 0) = ROW() - ROW(Table1[#Headers]), 1, 0)</f>
        <v>0</v>
      </c>
      <c r="C643" t="s">
        <v>741</v>
      </c>
      <c r="D643" s="2">
        <v>45741</v>
      </c>
      <c r="E643">
        <v>53</v>
      </c>
      <c r="F643" t="str" cm="1">
        <f t="array" ref="F643">_xlfn.IFS( Table1[[#This Row],[Age]]&lt;18, "&lt;18", Table1[[#This Row],[Age]]&lt;= 29, "18-29", Table1[[#This Row],[Age]]&lt;= 44, "30-44",  Table1[[#This Row],[Age]]&lt;=59, "45-59", TRUE, "60+")</f>
        <v>45-59</v>
      </c>
      <c r="G643" t="s">
        <v>213</v>
      </c>
      <c r="H643" t="s">
        <v>36</v>
      </c>
      <c r="I643" t="s">
        <v>21</v>
      </c>
      <c r="J643">
        <v>3</v>
      </c>
      <c r="K643" t="s">
        <v>50</v>
      </c>
      <c r="L643" t="str" cm="1">
        <f t="array" ref="L643">_xlfn.IFS(Table1[[#This Row],[Customer Tenure in months]]&lt;=6, "0-6 months", Table1[[#This Row],[Customer Tenure in months]] &lt;=12, "7-12 months", Table1[[#This Row],[Customer Tenure in months]] &lt;=24, "1-2 years", TRUE, "2+ years")</f>
        <v>7-12 months</v>
      </c>
      <c r="M643">
        <v>8</v>
      </c>
      <c r="N643" t="s">
        <v>38</v>
      </c>
      <c r="O643" s="1">
        <v>20000</v>
      </c>
      <c r="P643">
        <v>20</v>
      </c>
      <c r="Q643" s="1">
        <v>400000</v>
      </c>
      <c r="R643">
        <v>96.99</v>
      </c>
      <c r="S643" t="s">
        <v>1091</v>
      </c>
      <c r="T643" t="s">
        <v>39</v>
      </c>
    </row>
    <row r="644" spans="1:20" x14ac:dyDescent="0.35">
      <c r="A644" s="22" t="s">
        <v>740</v>
      </c>
      <c r="B644" cm="1">
        <f t="array" ref="B644">IF(MATCH(Table1[[#This Row],[Customer ID]], Table1[Customer ID], 0) = ROW() - ROW(Table1[#Headers]), 1, 0)</f>
        <v>0</v>
      </c>
      <c r="C644" t="s">
        <v>741</v>
      </c>
      <c r="D644" s="2">
        <v>45741</v>
      </c>
      <c r="E644">
        <v>53</v>
      </c>
      <c r="F644" t="str" cm="1">
        <f t="array" ref="F644">_xlfn.IFS( Table1[[#This Row],[Age]]&lt;18, "&lt;18", Table1[[#This Row],[Age]]&lt;= 29, "18-29", Table1[[#This Row],[Age]]&lt;= 44, "30-44",  Table1[[#This Row],[Age]]&lt;=59, "45-59", TRUE, "60+")</f>
        <v>45-59</v>
      </c>
      <c r="G644" t="s">
        <v>213</v>
      </c>
      <c r="H644" t="s">
        <v>41</v>
      </c>
      <c r="I644" t="s">
        <v>21</v>
      </c>
      <c r="J644">
        <v>3</v>
      </c>
      <c r="K644" t="s">
        <v>50</v>
      </c>
      <c r="L644" t="str" cm="1">
        <f t="array" ref="L644">_xlfn.IFS(Table1[[#This Row],[Customer Tenure in months]]&lt;=6, "0-6 months", Table1[[#This Row],[Customer Tenure in months]] &lt;=12, "7-12 months", Table1[[#This Row],[Customer Tenure in months]] &lt;=24, "1-2 years", TRUE, "2+ years")</f>
        <v>7-12 months</v>
      </c>
      <c r="M644">
        <v>8</v>
      </c>
      <c r="N644" t="s">
        <v>65</v>
      </c>
      <c r="O644" s="1">
        <v>30000</v>
      </c>
      <c r="P644">
        <v>11</v>
      </c>
      <c r="Q644" s="1">
        <v>330000</v>
      </c>
      <c r="R644">
        <v>85.7</v>
      </c>
      <c r="S644" t="s">
        <v>1091</v>
      </c>
      <c r="T644" t="s">
        <v>39</v>
      </c>
    </row>
    <row r="645" spans="1:20" x14ac:dyDescent="0.35">
      <c r="A645" s="22" t="s">
        <v>742</v>
      </c>
      <c r="B645" cm="1">
        <f t="array" ref="B645">IF(MATCH(Table1[[#This Row],[Customer ID]], Table1[Customer ID], 0) = ROW() - ROW(Table1[#Headers]), 1, 0)</f>
        <v>1</v>
      </c>
      <c r="C645" t="s">
        <v>743</v>
      </c>
      <c r="D645" s="2">
        <v>45713</v>
      </c>
      <c r="E645">
        <v>61</v>
      </c>
      <c r="F645" t="str" cm="1">
        <f t="array" ref="F645">_xlfn.IFS( Table1[[#This Row],[Age]]&lt;18, "&lt;18", Table1[[#This Row],[Age]]&lt;= 29, "18-29", Table1[[#This Row],[Age]]&lt;= 44, "30-44",  Table1[[#This Row],[Age]]&lt;=59, "45-59", TRUE, "60+")</f>
        <v>60+</v>
      </c>
      <c r="G645" t="s">
        <v>140</v>
      </c>
      <c r="H645" t="s">
        <v>20</v>
      </c>
      <c r="I645" t="s">
        <v>30</v>
      </c>
      <c r="J645">
        <v>4</v>
      </c>
      <c r="K645" t="s">
        <v>114</v>
      </c>
      <c r="L645" t="str" cm="1">
        <f t="array" ref="L645">_xlfn.IFS(Table1[[#This Row],[Customer Tenure in months]]&lt;=6, "0-6 months", Table1[[#This Row],[Customer Tenure in months]] &lt;=12, "7-12 months", Table1[[#This Row],[Customer Tenure in months]] &lt;=24, "1-2 years", TRUE, "2+ years")</f>
        <v>2+ years</v>
      </c>
      <c r="M645">
        <v>34</v>
      </c>
      <c r="N645" t="s">
        <v>46</v>
      </c>
      <c r="O645" s="1">
        <v>4500</v>
      </c>
      <c r="P645">
        <v>1</v>
      </c>
      <c r="Q645" s="1">
        <v>4500</v>
      </c>
      <c r="R645">
        <v>0.82</v>
      </c>
      <c r="S645" t="s">
        <v>1091</v>
      </c>
      <c r="T645" t="s">
        <v>39</v>
      </c>
    </row>
    <row r="646" spans="1:20" x14ac:dyDescent="0.35">
      <c r="A646" s="22" t="s">
        <v>742</v>
      </c>
      <c r="B646" cm="1">
        <f t="array" ref="B646">IF(MATCH(Table1[[#This Row],[Customer ID]], Table1[Customer ID], 0) = ROW() - ROW(Table1[#Headers]), 1, 0)</f>
        <v>0</v>
      </c>
      <c r="C646" t="s">
        <v>743</v>
      </c>
      <c r="D646" s="2">
        <v>45713</v>
      </c>
      <c r="E646">
        <v>61</v>
      </c>
      <c r="F646" t="str" cm="1">
        <f t="array" ref="F646">_xlfn.IFS( Table1[[#This Row],[Age]]&lt;18, "&lt;18", Table1[[#This Row],[Age]]&lt;= 29, "18-29", Table1[[#This Row],[Age]]&lt;= 44, "30-44",  Table1[[#This Row],[Age]]&lt;=59, "45-59", TRUE, "60+")</f>
        <v>60+</v>
      </c>
      <c r="G646" t="s">
        <v>140</v>
      </c>
      <c r="H646" t="s">
        <v>36</v>
      </c>
      <c r="I646" t="s">
        <v>30</v>
      </c>
      <c r="J646">
        <v>4</v>
      </c>
      <c r="K646" t="s">
        <v>114</v>
      </c>
      <c r="L646" t="str" cm="1">
        <f t="array" ref="L646">_xlfn.IFS(Table1[[#This Row],[Customer Tenure in months]]&lt;=6, "0-6 months", Table1[[#This Row],[Customer Tenure in months]] &lt;=12, "7-12 months", Table1[[#This Row],[Customer Tenure in months]] &lt;=24, "1-2 years", TRUE, "2+ years")</f>
        <v>2+ years</v>
      </c>
      <c r="M646">
        <v>34</v>
      </c>
      <c r="N646" t="s">
        <v>57</v>
      </c>
      <c r="O646" s="1">
        <v>150000</v>
      </c>
      <c r="P646">
        <v>4</v>
      </c>
      <c r="Q646" s="1">
        <v>600000</v>
      </c>
      <c r="R646">
        <v>125.28</v>
      </c>
      <c r="S646" t="s">
        <v>1091</v>
      </c>
      <c r="T646" t="s">
        <v>39</v>
      </c>
    </row>
    <row r="647" spans="1:20" x14ac:dyDescent="0.35">
      <c r="A647" s="22" t="s">
        <v>742</v>
      </c>
      <c r="B647" cm="1">
        <f t="array" ref="B647">IF(MATCH(Table1[[#This Row],[Customer ID]], Table1[Customer ID], 0) = ROW() - ROW(Table1[#Headers]), 1, 0)</f>
        <v>0</v>
      </c>
      <c r="C647" t="s">
        <v>743</v>
      </c>
      <c r="D647" s="2">
        <v>45713</v>
      </c>
      <c r="E647">
        <v>61</v>
      </c>
      <c r="F647" t="str" cm="1">
        <f t="array" ref="F647">_xlfn.IFS( Table1[[#This Row],[Age]]&lt;18, "&lt;18", Table1[[#This Row],[Age]]&lt;= 29, "18-29", Table1[[#This Row],[Age]]&lt;= 44, "30-44",  Table1[[#This Row],[Age]]&lt;=59, "45-59", TRUE, "60+")</f>
        <v>60+</v>
      </c>
      <c r="G647" t="s">
        <v>140</v>
      </c>
      <c r="H647" t="s">
        <v>29</v>
      </c>
      <c r="I647" t="s">
        <v>30</v>
      </c>
      <c r="J647">
        <v>4</v>
      </c>
      <c r="K647" t="s">
        <v>114</v>
      </c>
      <c r="L647" t="str" cm="1">
        <f t="array" ref="L647">_xlfn.IFS(Table1[[#This Row],[Customer Tenure in months]]&lt;=6, "0-6 months", Table1[[#This Row],[Customer Tenure in months]] &lt;=12, "7-12 months", Table1[[#This Row],[Customer Tenure in months]] &lt;=24, "1-2 years", TRUE, "2+ years")</f>
        <v>2+ years</v>
      </c>
      <c r="M647">
        <v>34</v>
      </c>
      <c r="N647" t="s">
        <v>72</v>
      </c>
      <c r="O647" s="1">
        <v>350</v>
      </c>
      <c r="P647">
        <v>14</v>
      </c>
      <c r="Q647" s="1">
        <v>4900</v>
      </c>
      <c r="R647">
        <v>160.01</v>
      </c>
      <c r="S647" t="s">
        <v>1091</v>
      </c>
      <c r="T647" t="s">
        <v>39</v>
      </c>
    </row>
    <row r="648" spans="1:20" x14ac:dyDescent="0.35">
      <c r="A648" s="22" t="s">
        <v>744</v>
      </c>
      <c r="B648" cm="1">
        <f t="array" ref="B648">IF(MATCH(Table1[[#This Row],[Customer ID]], Table1[Customer ID], 0) = ROW() - ROW(Table1[#Headers]), 1, 0)</f>
        <v>1</v>
      </c>
      <c r="C648" t="s">
        <v>745</v>
      </c>
      <c r="D648" s="2">
        <v>45713</v>
      </c>
      <c r="E648">
        <v>21</v>
      </c>
      <c r="F648" t="str" cm="1">
        <f t="array" ref="F648">_xlfn.IFS( Table1[[#This Row],[Age]]&lt;18, "&lt;18", Table1[[#This Row],[Age]]&lt;= 29, "18-29", Table1[[#This Row],[Age]]&lt;= 44, "30-44",  Table1[[#This Row],[Age]]&lt;=59, "45-59", TRUE, "60+")</f>
        <v>18-29</v>
      </c>
      <c r="G648" t="s">
        <v>157</v>
      </c>
      <c r="H648" t="s">
        <v>36</v>
      </c>
      <c r="I648" t="s">
        <v>30</v>
      </c>
      <c r="J648">
        <v>1</v>
      </c>
      <c r="K648" t="s">
        <v>37</v>
      </c>
      <c r="L648" t="str" cm="1">
        <f t="array" ref="L648">_xlfn.IFS(Table1[[#This Row],[Customer Tenure in months]]&lt;=6, "0-6 months", Table1[[#This Row],[Customer Tenure in months]] &lt;=12, "7-12 months", Table1[[#This Row],[Customer Tenure in months]] &lt;=24, "1-2 years", TRUE, "2+ years")</f>
        <v>2+ years</v>
      </c>
      <c r="M648">
        <v>36</v>
      </c>
      <c r="N648" t="s">
        <v>62</v>
      </c>
      <c r="O648" s="1">
        <v>24000</v>
      </c>
      <c r="P648">
        <v>18</v>
      </c>
      <c r="Q648" s="1">
        <v>432000</v>
      </c>
      <c r="R648">
        <v>60.41</v>
      </c>
      <c r="S648" t="s">
        <v>1091</v>
      </c>
      <c r="T648" t="s">
        <v>39</v>
      </c>
    </row>
    <row r="649" spans="1:20" x14ac:dyDescent="0.35">
      <c r="A649" s="22" t="s">
        <v>744</v>
      </c>
      <c r="B649" cm="1">
        <f t="array" ref="B649">IF(MATCH(Table1[[#This Row],[Customer ID]], Table1[Customer ID], 0) = ROW() - ROW(Table1[#Headers]), 1, 0)</f>
        <v>0</v>
      </c>
      <c r="C649" t="s">
        <v>745</v>
      </c>
      <c r="D649" s="2">
        <v>45713</v>
      </c>
      <c r="E649">
        <v>21</v>
      </c>
      <c r="F649" t="str" cm="1">
        <f t="array" ref="F649">_xlfn.IFS( Table1[[#This Row],[Age]]&lt;18, "&lt;18", Table1[[#This Row],[Age]]&lt;= 29, "18-29", Table1[[#This Row],[Age]]&lt;= 44, "30-44",  Table1[[#This Row],[Age]]&lt;=59, "45-59", TRUE, "60+")</f>
        <v>18-29</v>
      </c>
      <c r="G649" t="s">
        <v>157</v>
      </c>
      <c r="H649" t="s">
        <v>20</v>
      </c>
      <c r="I649" t="s">
        <v>30</v>
      </c>
      <c r="J649">
        <v>1</v>
      </c>
      <c r="K649" t="s">
        <v>37</v>
      </c>
      <c r="L649" t="str" cm="1">
        <f t="array" ref="L649">_xlfn.IFS(Table1[[#This Row],[Customer Tenure in months]]&lt;=6, "0-6 months", Table1[[#This Row],[Customer Tenure in months]] &lt;=12, "7-12 months", Table1[[#This Row],[Customer Tenure in months]] &lt;=24, "1-2 years", TRUE, "2+ years")</f>
        <v>2+ years</v>
      </c>
      <c r="M649">
        <v>36</v>
      </c>
      <c r="N649" t="s">
        <v>51</v>
      </c>
      <c r="O649" s="1">
        <v>9000</v>
      </c>
      <c r="P649">
        <v>4</v>
      </c>
      <c r="Q649" s="1">
        <v>36000</v>
      </c>
      <c r="R649">
        <v>153.52000000000001</v>
      </c>
      <c r="S649" t="s">
        <v>1091</v>
      </c>
      <c r="T649" t="s">
        <v>39</v>
      </c>
    </row>
    <row r="650" spans="1:20" x14ac:dyDescent="0.35">
      <c r="A650" s="22" t="s">
        <v>744</v>
      </c>
      <c r="B650" cm="1">
        <f t="array" ref="B650">IF(MATCH(Table1[[#This Row],[Customer ID]], Table1[Customer ID], 0) = ROW() - ROW(Table1[#Headers]), 1, 0)</f>
        <v>0</v>
      </c>
      <c r="C650" t="s">
        <v>745</v>
      </c>
      <c r="D650" s="2">
        <v>45713</v>
      </c>
      <c r="E650">
        <v>21</v>
      </c>
      <c r="F650" t="str" cm="1">
        <f t="array" ref="F650">_xlfn.IFS( Table1[[#This Row],[Age]]&lt;18, "&lt;18", Table1[[#This Row],[Age]]&lt;= 29, "18-29", Table1[[#This Row],[Age]]&lt;= 44, "30-44",  Table1[[#This Row],[Age]]&lt;=59, "45-59", TRUE, "60+")</f>
        <v>18-29</v>
      </c>
      <c r="G650" t="s">
        <v>157</v>
      </c>
      <c r="H650" t="s">
        <v>41</v>
      </c>
      <c r="I650" t="s">
        <v>30</v>
      </c>
      <c r="J650">
        <v>1</v>
      </c>
      <c r="K650" t="s">
        <v>37</v>
      </c>
      <c r="L650" t="str" cm="1">
        <f t="array" ref="L650">_xlfn.IFS(Table1[[#This Row],[Customer Tenure in months]]&lt;=6, "0-6 months", Table1[[#This Row],[Customer Tenure in months]] &lt;=12, "7-12 months", Table1[[#This Row],[Customer Tenure in months]] &lt;=24, "1-2 years", TRUE, "2+ years")</f>
        <v>2+ years</v>
      </c>
      <c r="M650">
        <v>36</v>
      </c>
      <c r="N650" t="s">
        <v>65</v>
      </c>
      <c r="O650" s="1">
        <v>30000</v>
      </c>
      <c r="P650">
        <v>19</v>
      </c>
      <c r="Q650" s="1">
        <v>570000</v>
      </c>
      <c r="R650">
        <v>68.599999999999994</v>
      </c>
      <c r="S650" t="s">
        <v>1091</v>
      </c>
      <c r="T650" t="s">
        <v>39</v>
      </c>
    </row>
    <row r="651" spans="1:20" x14ac:dyDescent="0.35">
      <c r="A651" s="22" t="s">
        <v>746</v>
      </c>
      <c r="B651" cm="1">
        <f t="array" ref="B651">IF(MATCH(Table1[[#This Row],[Customer ID]], Table1[Customer ID], 0) = ROW() - ROW(Table1[#Headers]), 1, 0)</f>
        <v>1</v>
      </c>
      <c r="C651" t="s">
        <v>747</v>
      </c>
      <c r="D651" s="2">
        <v>45741</v>
      </c>
      <c r="E651">
        <v>38</v>
      </c>
      <c r="F651" t="str" cm="1">
        <f t="array" ref="F651">_xlfn.IFS( Table1[[#This Row],[Age]]&lt;18, "&lt;18", Table1[[#This Row],[Age]]&lt;= 29, "18-29", Table1[[#This Row],[Age]]&lt;= 44, "30-44",  Table1[[#This Row],[Age]]&lt;=59, "45-59", TRUE, "60+")</f>
        <v>30-44</v>
      </c>
      <c r="G651" t="s">
        <v>121</v>
      </c>
      <c r="H651" t="s">
        <v>20</v>
      </c>
      <c r="I651" t="s">
        <v>30</v>
      </c>
      <c r="J651">
        <v>4</v>
      </c>
      <c r="K651" t="s">
        <v>114</v>
      </c>
      <c r="L651" t="str" cm="1">
        <f t="array" ref="L651">_xlfn.IFS(Table1[[#This Row],[Customer Tenure in months]]&lt;=6, "0-6 months", Table1[[#This Row],[Customer Tenure in months]] &lt;=12, "7-12 months", Table1[[#This Row],[Customer Tenure in months]] &lt;=24, "1-2 years", TRUE, "2+ years")</f>
        <v>2+ years</v>
      </c>
      <c r="M651">
        <v>54</v>
      </c>
      <c r="N651" t="s">
        <v>23</v>
      </c>
      <c r="O651" s="1">
        <v>35000</v>
      </c>
      <c r="P651">
        <v>15</v>
      </c>
      <c r="Q651" s="1">
        <v>525000</v>
      </c>
      <c r="R651">
        <v>31.5</v>
      </c>
      <c r="S651" t="s">
        <v>1091</v>
      </c>
      <c r="T651" t="s">
        <v>39</v>
      </c>
    </row>
    <row r="652" spans="1:20" x14ac:dyDescent="0.35">
      <c r="A652" s="22" t="s">
        <v>748</v>
      </c>
      <c r="B652" cm="1">
        <f t="array" ref="B652">IF(MATCH(Table1[[#This Row],[Customer ID]], Table1[Customer ID], 0) = ROW() - ROW(Table1[#Headers]), 1, 0)</f>
        <v>1</v>
      </c>
      <c r="C652" t="s">
        <v>749</v>
      </c>
      <c r="D652" s="2">
        <v>45682</v>
      </c>
      <c r="E652">
        <v>58</v>
      </c>
      <c r="F652" t="str" cm="1">
        <f t="array" ref="F652">_xlfn.IFS( Table1[[#This Row],[Age]]&lt;18, "&lt;18", Table1[[#This Row],[Age]]&lt;= 29, "18-29", Table1[[#This Row],[Age]]&lt;= 44, "30-44",  Table1[[#This Row],[Age]]&lt;=59, "45-59", TRUE, "60+")</f>
        <v>45-59</v>
      </c>
      <c r="G652" t="s">
        <v>35</v>
      </c>
      <c r="H652" t="s">
        <v>36</v>
      </c>
      <c r="I652" t="s">
        <v>30</v>
      </c>
      <c r="J652">
        <v>5</v>
      </c>
      <c r="K652" t="s">
        <v>55</v>
      </c>
      <c r="L652" t="str" cm="1">
        <f t="array" ref="L652">_xlfn.IFS(Table1[[#This Row],[Customer Tenure in months]]&lt;=6, "0-6 months", Table1[[#This Row],[Customer Tenure in months]] &lt;=12, "7-12 months", Table1[[#This Row],[Customer Tenure in months]] &lt;=24, "1-2 years", TRUE, "2+ years")</f>
        <v>2+ years</v>
      </c>
      <c r="M652">
        <v>60</v>
      </c>
      <c r="N652" t="s">
        <v>71</v>
      </c>
      <c r="O652" s="1">
        <v>14500</v>
      </c>
      <c r="P652">
        <v>11</v>
      </c>
      <c r="Q652" s="1">
        <v>159500</v>
      </c>
      <c r="R652">
        <v>115.69</v>
      </c>
      <c r="S652" t="s">
        <v>284</v>
      </c>
      <c r="T652" t="s">
        <v>24</v>
      </c>
    </row>
    <row r="653" spans="1:20" x14ac:dyDescent="0.35">
      <c r="A653" s="22" t="s">
        <v>748</v>
      </c>
      <c r="B653" cm="1">
        <f t="array" ref="B653">IF(MATCH(Table1[[#This Row],[Customer ID]], Table1[Customer ID], 0) = ROW() - ROW(Table1[#Headers]), 1, 0)</f>
        <v>0</v>
      </c>
      <c r="C653" t="s">
        <v>749</v>
      </c>
      <c r="D653" s="2">
        <v>45682</v>
      </c>
      <c r="E653">
        <v>58</v>
      </c>
      <c r="F653" t="str" cm="1">
        <f t="array" ref="F653">_xlfn.IFS( Table1[[#This Row],[Age]]&lt;18, "&lt;18", Table1[[#This Row],[Age]]&lt;= 29, "18-29", Table1[[#This Row],[Age]]&lt;= 44, "30-44",  Table1[[#This Row],[Age]]&lt;=59, "45-59", TRUE, "60+")</f>
        <v>45-59</v>
      </c>
      <c r="G653" t="s">
        <v>35</v>
      </c>
      <c r="H653" t="s">
        <v>29</v>
      </c>
      <c r="I653" t="s">
        <v>30</v>
      </c>
      <c r="J653">
        <v>5</v>
      </c>
      <c r="K653" t="s">
        <v>55</v>
      </c>
      <c r="L653" t="str" cm="1">
        <f t="array" ref="L653">_xlfn.IFS(Table1[[#This Row],[Customer Tenure in months]]&lt;=6, "0-6 months", Table1[[#This Row],[Customer Tenure in months]] &lt;=12, "7-12 months", Table1[[#This Row],[Customer Tenure in months]] &lt;=24, "1-2 years", TRUE, "2+ years")</f>
        <v>2+ years</v>
      </c>
      <c r="M653">
        <v>60</v>
      </c>
      <c r="N653" t="s">
        <v>56</v>
      </c>
      <c r="O653" s="1">
        <v>3500</v>
      </c>
      <c r="P653">
        <v>5</v>
      </c>
      <c r="Q653" s="1">
        <v>17500</v>
      </c>
      <c r="R653">
        <v>13.71</v>
      </c>
      <c r="S653" t="s">
        <v>284</v>
      </c>
      <c r="T653" t="s">
        <v>24</v>
      </c>
    </row>
    <row r="654" spans="1:20" x14ac:dyDescent="0.35">
      <c r="A654" s="22" t="s">
        <v>748</v>
      </c>
      <c r="B654" cm="1">
        <f t="array" ref="B654">IF(MATCH(Table1[[#This Row],[Customer ID]], Table1[Customer ID], 0) = ROW() - ROW(Table1[#Headers]), 1, 0)</f>
        <v>0</v>
      </c>
      <c r="C654" t="s">
        <v>749</v>
      </c>
      <c r="D654" s="2">
        <v>45682</v>
      </c>
      <c r="E654">
        <v>58</v>
      </c>
      <c r="F654" t="str" cm="1">
        <f t="array" ref="F654">_xlfn.IFS( Table1[[#This Row],[Age]]&lt;18, "&lt;18", Table1[[#This Row],[Age]]&lt;= 29, "18-29", Table1[[#This Row],[Age]]&lt;= 44, "30-44",  Table1[[#This Row],[Age]]&lt;=59, "45-59", TRUE, "60+")</f>
        <v>45-59</v>
      </c>
      <c r="G654" t="s">
        <v>35</v>
      </c>
      <c r="H654" t="s">
        <v>41</v>
      </c>
      <c r="I654" t="s">
        <v>30</v>
      </c>
      <c r="J654">
        <v>5</v>
      </c>
      <c r="K654" t="s">
        <v>55</v>
      </c>
      <c r="L654" t="str" cm="1">
        <f t="array" ref="L654">_xlfn.IFS(Table1[[#This Row],[Customer Tenure in months]]&lt;=6, "0-6 months", Table1[[#This Row],[Customer Tenure in months]] &lt;=12, "7-12 months", Table1[[#This Row],[Customer Tenure in months]] &lt;=24, "1-2 years", TRUE, "2+ years")</f>
        <v>2+ years</v>
      </c>
      <c r="M654">
        <v>60</v>
      </c>
      <c r="N654" t="s">
        <v>65</v>
      </c>
      <c r="O654" s="1">
        <v>30000</v>
      </c>
      <c r="P654">
        <v>11</v>
      </c>
      <c r="Q654" s="1">
        <v>330000</v>
      </c>
      <c r="R654">
        <v>168.23</v>
      </c>
      <c r="S654" t="s">
        <v>284</v>
      </c>
      <c r="T654" t="s">
        <v>24</v>
      </c>
    </row>
    <row r="655" spans="1:20" x14ac:dyDescent="0.35">
      <c r="A655" s="22" t="s">
        <v>750</v>
      </c>
      <c r="B655" cm="1">
        <f t="array" ref="B655">IF(MATCH(Table1[[#This Row],[Customer ID]], Table1[Customer ID], 0) = ROW() - ROW(Table1[#Headers]), 1, 0)</f>
        <v>1</v>
      </c>
      <c r="C655" t="s">
        <v>751</v>
      </c>
      <c r="D655" s="2">
        <v>45682</v>
      </c>
      <c r="E655">
        <v>37</v>
      </c>
      <c r="F655" t="str" cm="1">
        <f t="array" ref="F655">_xlfn.IFS( Table1[[#This Row],[Age]]&lt;18, "&lt;18", Table1[[#This Row],[Age]]&lt;= 29, "18-29", Table1[[#This Row],[Age]]&lt;= 44, "30-44",  Table1[[#This Row],[Age]]&lt;=59, "45-59", TRUE, "60+")</f>
        <v>30-44</v>
      </c>
      <c r="G655" t="s">
        <v>61</v>
      </c>
      <c r="H655" t="s">
        <v>41</v>
      </c>
      <c r="I655" t="s">
        <v>21</v>
      </c>
      <c r="J655">
        <v>3</v>
      </c>
      <c r="K655" t="s">
        <v>50</v>
      </c>
      <c r="L655" t="str" cm="1">
        <f t="array" ref="L655">_xlfn.IFS(Table1[[#This Row],[Customer Tenure in months]]&lt;=6, "0-6 months", Table1[[#This Row],[Customer Tenure in months]] &lt;=12, "7-12 months", Table1[[#This Row],[Customer Tenure in months]] &lt;=24, "1-2 years", TRUE, "2+ years")</f>
        <v>2+ years</v>
      </c>
      <c r="M655">
        <v>39</v>
      </c>
      <c r="N655" t="s">
        <v>71</v>
      </c>
      <c r="O655" s="1">
        <v>14500</v>
      </c>
      <c r="P655">
        <v>8</v>
      </c>
      <c r="Q655" s="1">
        <v>116000</v>
      </c>
      <c r="R655">
        <v>17.82</v>
      </c>
      <c r="S655" t="s">
        <v>1091</v>
      </c>
      <c r="T655" t="s">
        <v>39</v>
      </c>
    </row>
    <row r="656" spans="1:20" x14ac:dyDescent="0.35">
      <c r="A656" s="22" t="s">
        <v>750</v>
      </c>
      <c r="B656" cm="1">
        <f t="array" ref="B656">IF(MATCH(Table1[[#This Row],[Customer ID]], Table1[Customer ID], 0) = ROW() - ROW(Table1[#Headers]), 1, 0)</f>
        <v>0</v>
      </c>
      <c r="C656" t="s">
        <v>751</v>
      </c>
      <c r="D656" s="2">
        <v>45682</v>
      </c>
      <c r="E656">
        <v>37</v>
      </c>
      <c r="F656" t="str" cm="1">
        <f t="array" ref="F656">_xlfn.IFS( Table1[[#This Row],[Age]]&lt;18, "&lt;18", Table1[[#This Row],[Age]]&lt;= 29, "18-29", Table1[[#This Row],[Age]]&lt;= 44, "30-44",  Table1[[#This Row],[Age]]&lt;=59, "45-59", TRUE, "60+")</f>
        <v>30-44</v>
      </c>
      <c r="G656" t="s">
        <v>61</v>
      </c>
      <c r="H656" t="s">
        <v>20</v>
      </c>
      <c r="I656" t="s">
        <v>21</v>
      </c>
      <c r="J656">
        <v>3</v>
      </c>
      <c r="K656" t="s">
        <v>50</v>
      </c>
      <c r="L656" t="str" cm="1">
        <f t="array" ref="L656">_xlfn.IFS(Table1[[#This Row],[Customer Tenure in months]]&lt;=6, "0-6 months", Table1[[#This Row],[Customer Tenure in months]] &lt;=12, "7-12 months", Table1[[#This Row],[Customer Tenure in months]] &lt;=24, "1-2 years", TRUE, "2+ years")</f>
        <v>2+ years</v>
      </c>
      <c r="M656">
        <v>39</v>
      </c>
      <c r="N656" t="s">
        <v>51</v>
      </c>
      <c r="O656" s="1">
        <v>9000</v>
      </c>
      <c r="P656">
        <v>10</v>
      </c>
      <c r="Q656" s="1">
        <v>90000</v>
      </c>
      <c r="R656">
        <v>90.66</v>
      </c>
      <c r="S656" t="s">
        <v>1091</v>
      </c>
      <c r="T656" t="s">
        <v>39</v>
      </c>
    </row>
    <row r="657" spans="1:20" x14ac:dyDescent="0.35">
      <c r="A657" s="22" t="s">
        <v>752</v>
      </c>
      <c r="B657" cm="1">
        <f t="array" ref="B657">IF(MATCH(Table1[[#This Row],[Customer ID]], Table1[Customer ID], 0) = ROW() - ROW(Table1[#Headers]), 1, 0)</f>
        <v>1</v>
      </c>
      <c r="C657" t="s">
        <v>753</v>
      </c>
      <c r="D657" s="2">
        <v>45682</v>
      </c>
      <c r="E657">
        <v>54</v>
      </c>
      <c r="F657" t="str" cm="1">
        <f t="array" ref="F657">_xlfn.IFS( Table1[[#This Row],[Age]]&lt;18, "&lt;18", Table1[[#This Row],[Age]]&lt;= 29, "18-29", Table1[[#This Row],[Age]]&lt;= 44, "30-44",  Table1[[#This Row],[Age]]&lt;=59, "45-59", TRUE, "60+")</f>
        <v>45-59</v>
      </c>
      <c r="G657" t="s">
        <v>131</v>
      </c>
      <c r="H657" t="s">
        <v>41</v>
      </c>
      <c r="I657" t="s">
        <v>21</v>
      </c>
      <c r="J657">
        <v>2</v>
      </c>
      <c r="K657" t="s">
        <v>22</v>
      </c>
      <c r="L657" t="str" cm="1">
        <f t="array" ref="L657">_xlfn.IFS(Table1[[#This Row],[Customer Tenure in months]]&lt;=6, "0-6 months", Table1[[#This Row],[Customer Tenure in months]] &lt;=12, "7-12 months", Table1[[#This Row],[Customer Tenure in months]] &lt;=24, "1-2 years", TRUE, "2+ years")</f>
        <v>1-2 years</v>
      </c>
      <c r="M657">
        <v>24</v>
      </c>
      <c r="N657" t="s">
        <v>62</v>
      </c>
      <c r="O657" s="1">
        <v>24000</v>
      </c>
      <c r="P657">
        <v>11</v>
      </c>
      <c r="Q657" s="1">
        <v>264000</v>
      </c>
      <c r="R657">
        <v>31.24</v>
      </c>
      <c r="S657" t="s">
        <v>1091</v>
      </c>
      <c r="T657" t="s">
        <v>39</v>
      </c>
    </row>
    <row r="658" spans="1:20" x14ac:dyDescent="0.35">
      <c r="A658" s="22" t="s">
        <v>752</v>
      </c>
      <c r="B658" cm="1">
        <f t="array" ref="B658">IF(MATCH(Table1[[#This Row],[Customer ID]], Table1[Customer ID], 0) = ROW() - ROW(Table1[#Headers]), 1, 0)</f>
        <v>0</v>
      </c>
      <c r="C658" t="s">
        <v>753</v>
      </c>
      <c r="D658" s="2">
        <v>45682</v>
      </c>
      <c r="E658">
        <v>54</v>
      </c>
      <c r="F658" t="str" cm="1">
        <f t="array" ref="F658">_xlfn.IFS( Table1[[#This Row],[Age]]&lt;18, "&lt;18", Table1[[#This Row],[Age]]&lt;= 29, "18-29", Table1[[#This Row],[Age]]&lt;= 44, "30-44",  Table1[[#This Row],[Age]]&lt;=59, "45-59", TRUE, "60+")</f>
        <v>45-59</v>
      </c>
      <c r="G658" t="s">
        <v>131</v>
      </c>
      <c r="H658" t="s">
        <v>20</v>
      </c>
      <c r="I658" t="s">
        <v>21</v>
      </c>
      <c r="J658">
        <v>2</v>
      </c>
      <c r="K658" t="s">
        <v>22</v>
      </c>
      <c r="L658" t="str" cm="1">
        <f t="array" ref="L658">_xlfn.IFS(Table1[[#This Row],[Customer Tenure in months]]&lt;=6, "0-6 months", Table1[[#This Row],[Customer Tenure in months]] &lt;=12, "7-12 months", Table1[[#This Row],[Customer Tenure in months]] &lt;=24, "1-2 years", TRUE, "2+ years")</f>
        <v>1-2 years</v>
      </c>
      <c r="M658">
        <v>24</v>
      </c>
      <c r="N658" t="s">
        <v>23</v>
      </c>
      <c r="O658" s="1">
        <v>35000</v>
      </c>
      <c r="P658">
        <v>17</v>
      </c>
      <c r="Q658" s="1">
        <v>595000</v>
      </c>
      <c r="R658">
        <v>146.62</v>
      </c>
      <c r="S658" t="s">
        <v>1091</v>
      </c>
      <c r="T658" t="s">
        <v>39</v>
      </c>
    </row>
    <row r="659" spans="1:20" x14ac:dyDescent="0.35">
      <c r="A659" s="22" t="s">
        <v>754</v>
      </c>
      <c r="B659" cm="1">
        <f t="array" ref="B659">IF(MATCH(Table1[[#This Row],[Customer ID]], Table1[Customer ID], 0) = ROW() - ROW(Table1[#Headers]), 1, 0)</f>
        <v>1</v>
      </c>
      <c r="C659" t="s">
        <v>755</v>
      </c>
      <c r="D659" s="2">
        <v>45713</v>
      </c>
      <c r="E659">
        <v>57</v>
      </c>
      <c r="F659" t="str" cm="1">
        <f t="array" ref="F659">_xlfn.IFS( Table1[[#This Row],[Age]]&lt;18, "&lt;18", Table1[[#This Row],[Age]]&lt;= 29, "18-29", Table1[[#This Row],[Age]]&lt;= 44, "30-44",  Table1[[#This Row],[Age]]&lt;=59, "45-59", TRUE, "60+")</f>
        <v>45-59</v>
      </c>
      <c r="G659" t="s">
        <v>54</v>
      </c>
      <c r="H659" t="s">
        <v>29</v>
      </c>
      <c r="I659" t="s">
        <v>21</v>
      </c>
      <c r="J659">
        <v>2</v>
      </c>
      <c r="K659" t="s">
        <v>22</v>
      </c>
      <c r="L659" t="str" cm="1">
        <f t="array" ref="L659">_xlfn.IFS(Table1[[#This Row],[Customer Tenure in months]]&lt;=6, "0-6 months", Table1[[#This Row],[Customer Tenure in months]] &lt;=12, "7-12 months", Table1[[#This Row],[Customer Tenure in months]] &lt;=24, "1-2 years", TRUE, "2+ years")</f>
        <v>2+ years</v>
      </c>
      <c r="M659">
        <v>53</v>
      </c>
      <c r="N659" t="s">
        <v>193</v>
      </c>
      <c r="O659" s="1">
        <v>6500</v>
      </c>
      <c r="P659">
        <v>10</v>
      </c>
      <c r="Q659" s="1">
        <v>65000</v>
      </c>
      <c r="R659">
        <v>23.61</v>
      </c>
      <c r="S659" t="s">
        <v>1091</v>
      </c>
      <c r="T659" t="s">
        <v>39</v>
      </c>
    </row>
    <row r="660" spans="1:20" x14ac:dyDescent="0.35">
      <c r="A660" s="22" t="s">
        <v>754</v>
      </c>
      <c r="B660" cm="1">
        <f t="array" ref="B660">IF(MATCH(Table1[[#This Row],[Customer ID]], Table1[Customer ID], 0) = ROW() - ROW(Table1[#Headers]), 1, 0)</f>
        <v>0</v>
      </c>
      <c r="C660" t="s">
        <v>755</v>
      </c>
      <c r="D660" s="2">
        <v>45713</v>
      </c>
      <c r="E660">
        <v>57</v>
      </c>
      <c r="F660" t="str" cm="1">
        <f t="array" ref="F660">_xlfn.IFS( Table1[[#This Row],[Age]]&lt;18, "&lt;18", Table1[[#This Row],[Age]]&lt;= 29, "18-29", Table1[[#This Row],[Age]]&lt;= 44, "30-44",  Table1[[#This Row],[Age]]&lt;=59, "45-59", TRUE, "60+")</f>
        <v>45-59</v>
      </c>
      <c r="G660" t="s">
        <v>54</v>
      </c>
      <c r="H660" t="s">
        <v>36</v>
      </c>
      <c r="I660" t="s">
        <v>21</v>
      </c>
      <c r="J660">
        <v>2</v>
      </c>
      <c r="K660" t="s">
        <v>22</v>
      </c>
      <c r="L660" t="str" cm="1">
        <f t="array" ref="L660">_xlfn.IFS(Table1[[#This Row],[Customer Tenure in months]]&lt;=6, "0-6 months", Table1[[#This Row],[Customer Tenure in months]] &lt;=12, "7-12 months", Table1[[#This Row],[Customer Tenure in months]] &lt;=24, "1-2 years", TRUE, "2+ years")</f>
        <v>2+ years</v>
      </c>
      <c r="M660">
        <v>53</v>
      </c>
      <c r="N660" t="s">
        <v>42</v>
      </c>
      <c r="O660" s="1">
        <v>9000</v>
      </c>
      <c r="P660">
        <v>20</v>
      </c>
      <c r="Q660" s="1">
        <v>180000</v>
      </c>
      <c r="R660">
        <v>137.57</v>
      </c>
      <c r="S660" t="s">
        <v>1091</v>
      </c>
      <c r="T660" t="s">
        <v>39</v>
      </c>
    </row>
    <row r="661" spans="1:20" x14ac:dyDescent="0.35">
      <c r="A661" s="22" t="s">
        <v>756</v>
      </c>
      <c r="B661" cm="1">
        <f t="array" ref="B661">IF(MATCH(Table1[[#This Row],[Customer ID]], Table1[Customer ID], 0) = ROW() - ROW(Table1[#Headers]), 1, 0)</f>
        <v>1</v>
      </c>
      <c r="C661" t="s">
        <v>757</v>
      </c>
      <c r="D661" s="2">
        <v>45741</v>
      </c>
      <c r="E661">
        <v>58</v>
      </c>
      <c r="F661" t="str" cm="1">
        <f t="array" ref="F661">_xlfn.IFS( Table1[[#This Row],[Age]]&lt;18, "&lt;18", Table1[[#This Row],[Age]]&lt;= 29, "18-29", Table1[[#This Row],[Age]]&lt;= 44, "30-44",  Table1[[#This Row],[Age]]&lt;=59, "45-59", TRUE, "60+")</f>
        <v>45-59</v>
      </c>
      <c r="G661" t="s">
        <v>35</v>
      </c>
      <c r="H661" t="s">
        <v>20</v>
      </c>
      <c r="I661" t="s">
        <v>21</v>
      </c>
      <c r="J661">
        <v>1</v>
      </c>
      <c r="K661" t="s">
        <v>37</v>
      </c>
      <c r="L661" t="str" cm="1">
        <f t="array" ref="L661">_xlfn.IFS(Table1[[#This Row],[Customer Tenure in months]]&lt;=6, "0-6 months", Table1[[#This Row],[Customer Tenure in months]] &lt;=12, "7-12 months", Table1[[#This Row],[Customer Tenure in months]] &lt;=24, "1-2 years", TRUE, "2+ years")</f>
        <v>7-12 months</v>
      </c>
      <c r="M661">
        <v>7</v>
      </c>
      <c r="N661" t="s">
        <v>46</v>
      </c>
      <c r="O661" s="1">
        <v>4500</v>
      </c>
      <c r="P661">
        <v>9</v>
      </c>
      <c r="Q661" s="1">
        <v>40500</v>
      </c>
      <c r="R661">
        <v>38.909999999999997</v>
      </c>
      <c r="S661" t="s">
        <v>1091</v>
      </c>
      <c r="T661" t="s">
        <v>39</v>
      </c>
    </row>
    <row r="662" spans="1:20" x14ac:dyDescent="0.35">
      <c r="A662" s="22" t="s">
        <v>756</v>
      </c>
      <c r="B662" cm="1">
        <f t="array" ref="B662">IF(MATCH(Table1[[#This Row],[Customer ID]], Table1[Customer ID], 0) = ROW() - ROW(Table1[#Headers]), 1, 0)</f>
        <v>0</v>
      </c>
      <c r="C662" t="s">
        <v>757</v>
      </c>
      <c r="D662" s="2">
        <v>45741</v>
      </c>
      <c r="E662">
        <v>58</v>
      </c>
      <c r="F662" t="str" cm="1">
        <f t="array" ref="F662">_xlfn.IFS( Table1[[#This Row],[Age]]&lt;18, "&lt;18", Table1[[#This Row],[Age]]&lt;= 29, "18-29", Table1[[#This Row],[Age]]&lt;= 44, "30-44",  Table1[[#This Row],[Age]]&lt;=59, "45-59", TRUE, "60+")</f>
        <v>45-59</v>
      </c>
      <c r="G662" t="s">
        <v>35</v>
      </c>
      <c r="H662" t="s">
        <v>29</v>
      </c>
      <c r="I662" t="s">
        <v>21</v>
      </c>
      <c r="J662">
        <v>1</v>
      </c>
      <c r="K662" t="s">
        <v>37</v>
      </c>
      <c r="L662" t="str" cm="1">
        <f t="array" ref="L662">_xlfn.IFS(Table1[[#This Row],[Customer Tenure in months]]&lt;=6, "0-6 months", Table1[[#This Row],[Customer Tenure in months]] &lt;=12, "7-12 months", Table1[[#This Row],[Customer Tenure in months]] &lt;=24, "1-2 years", TRUE, "2+ years")</f>
        <v>7-12 months</v>
      </c>
      <c r="M662">
        <v>7</v>
      </c>
      <c r="N662" t="s">
        <v>193</v>
      </c>
      <c r="O662" s="1">
        <v>6500</v>
      </c>
      <c r="P662">
        <v>15</v>
      </c>
      <c r="Q662" s="1">
        <v>97500</v>
      </c>
      <c r="R662">
        <v>64.17</v>
      </c>
      <c r="S662" t="s">
        <v>1091</v>
      </c>
      <c r="T662" t="s">
        <v>39</v>
      </c>
    </row>
    <row r="663" spans="1:20" x14ac:dyDescent="0.35">
      <c r="A663" s="22" t="s">
        <v>758</v>
      </c>
      <c r="B663" cm="1">
        <f t="array" ref="B663">IF(MATCH(Table1[[#This Row],[Customer ID]], Table1[Customer ID], 0) = ROW() - ROW(Table1[#Headers]), 1, 0)</f>
        <v>1</v>
      </c>
      <c r="C663" t="s">
        <v>759</v>
      </c>
      <c r="D663" s="2">
        <v>45682</v>
      </c>
      <c r="E663">
        <v>50</v>
      </c>
      <c r="F663" t="str" cm="1">
        <f t="array" ref="F663">_xlfn.IFS( Table1[[#This Row],[Age]]&lt;18, "&lt;18", Table1[[#This Row],[Age]]&lt;= 29, "18-29", Table1[[#This Row],[Age]]&lt;= 44, "30-44",  Table1[[#This Row],[Age]]&lt;=59, "45-59", TRUE, "60+")</f>
        <v>45-59</v>
      </c>
      <c r="G663" t="s">
        <v>54</v>
      </c>
      <c r="H663" t="s">
        <v>41</v>
      </c>
      <c r="I663" t="s">
        <v>21</v>
      </c>
      <c r="J663">
        <v>1</v>
      </c>
      <c r="K663" t="s">
        <v>37</v>
      </c>
      <c r="L663" t="str" cm="1">
        <f t="array" ref="L663">_xlfn.IFS(Table1[[#This Row],[Customer Tenure in months]]&lt;=6, "0-6 months", Table1[[#This Row],[Customer Tenure in months]] &lt;=12, "7-12 months", Table1[[#This Row],[Customer Tenure in months]] &lt;=24, "1-2 years", TRUE, "2+ years")</f>
        <v>1-2 years</v>
      </c>
      <c r="M663">
        <v>18</v>
      </c>
      <c r="N663" t="s">
        <v>62</v>
      </c>
      <c r="O663" s="1">
        <v>24000</v>
      </c>
      <c r="P663">
        <v>5</v>
      </c>
      <c r="Q663" s="1">
        <v>120000</v>
      </c>
      <c r="R663">
        <v>64.040000000000006</v>
      </c>
      <c r="S663" t="s">
        <v>1091</v>
      </c>
      <c r="T663" t="s">
        <v>39</v>
      </c>
    </row>
    <row r="664" spans="1:20" x14ac:dyDescent="0.35">
      <c r="A664" s="22" t="s">
        <v>758</v>
      </c>
      <c r="B664" cm="1">
        <f t="array" ref="B664">IF(MATCH(Table1[[#This Row],[Customer ID]], Table1[Customer ID], 0) = ROW() - ROW(Table1[#Headers]), 1, 0)</f>
        <v>0</v>
      </c>
      <c r="C664" t="s">
        <v>759</v>
      </c>
      <c r="D664" s="2">
        <v>45682</v>
      </c>
      <c r="E664">
        <v>50</v>
      </c>
      <c r="F664" t="str" cm="1">
        <f t="array" ref="F664">_xlfn.IFS( Table1[[#This Row],[Age]]&lt;18, "&lt;18", Table1[[#This Row],[Age]]&lt;= 29, "18-29", Table1[[#This Row],[Age]]&lt;= 44, "30-44",  Table1[[#This Row],[Age]]&lt;=59, "45-59", TRUE, "60+")</f>
        <v>45-59</v>
      </c>
      <c r="G664" t="s">
        <v>54</v>
      </c>
      <c r="H664" t="s">
        <v>29</v>
      </c>
      <c r="I664" t="s">
        <v>21</v>
      </c>
      <c r="J664">
        <v>1</v>
      </c>
      <c r="K664" t="s">
        <v>37</v>
      </c>
      <c r="L664" t="str" cm="1">
        <f t="array" ref="L664">_xlfn.IFS(Table1[[#This Row],[Customer Tenure in months]]&lt;=6, "0-6 months", Table1[[#This Row],[Customer Tenure in months]] &lt;=12, "7-12 months", Table1[[#This Row],[Customer Tenure in months]] &lt;=24, "1-2 years", TRUE, "2+ years")</f>
        <v>1-2 years</v>
      </c>
      <c r="M664">
        <v>18</v>
      </c>
      <c r="N664" t="s">
        <v>40</v>
      </c>
      <c r="O664" s="1">
        <v>500</v>
      </c>
      <c r="P664">
        <v>6</v>
      </c>
      <c r="Q664" s="1">
        <v>3000</v>
      </c>
      <c r="R664">
        <v>115.03</v>
      </c>
      <c r="S664" t="s">
        <v>1091</v>
      </c>
      <c r="T664" t="s">
        <v>39</v>
      </c>
    </row>
    <row r="665" spans="1:20" x14ac:dyDescent="0.35">
      <c r="A665" s="22" t="s">
        <v>758</v>
      </c>
      <c r="B665" cm="1">
        <f t="array" ref="B665">IF(MATCH(Table1[[#This Row],[Customer ID]], Table1[Customer ID], 0) = ROW() - ROW(Table1[#Headers]), 1, 0)</f>
        <v>0</v>
      </c>
      <c r="C665" t="s">
        <v>759</v>
      </c>
      <c r="D665" s="2">
        <v>45682</v>
      </c>
      <c r="E665">
        <v>50</v>
      </c>
      <c r="F665" t="str" cm="1">
        <f t="array" ref="F665">_xlfn.IFS( Table1[[#This Row],[Age]]&lt;18, "&lt;18", Table1[[#This Row],[Age]]&lt;= 29, "18-29", Table1[[#This Row],[Age]]&lt;= 44, "30-44",  Table1[[#This Row],[Age]]&lt;=59, "45-59", TRUE, "60+")</f>
        <v>45-59</v>
      </c>
      <c r="G665" t="s">
        <v>54</v>
      </c>
      <c r="H665" t="s">
        <v>20</v>
      </c>
      <c r="I665" t="s">
        <v>21</v>
      </c>
      <c r="J665">
        <v>1</v>
      </c>
      <c r="K665" t="s">
        <v>37</v>
      </c>
      <c r="L665" t="str" cm="1">
        <f t="array" ref="L665">_xlfn.IFS(Table1[[#This Row],[Customer Tenure in months]]&lt;=6, "0-6 months", Table1[[#This Row],[Customer Tenure in months]] &lt;=12, "7-12 months", Table1[[#This Row],[Customer Tenure in months]] &lt;=24, "1-2 years", TRUE, "2+ years")</f>
        <v>1-2 years</v>
      </c>
      <c r="M665">
        <v>18</v>
      </c>
      <c r="N665" t="s">
        <v>58</v>
      </c>
      <c r="O665" s="1">
        <v>16000</v>
      </c>
      <c r="P665">
        <v>11</v>
      </c>
      <c r="Q665" s="1">
        <v>176000</v>
      </c>
      <c r="R665">
        <v>62.62</v>
      </c>
      <c r="S665" t="s">
        <v>1091</v>
      </c>
      <c r="T665" t="s">
        <v>39</v>
      </c>
    </row>
    <row r="666" spans="1:20" x14ac:dyDescent="0.35">
      <c r="A666" s="22" t="s">
        <v>760</v>
      </c>
      <c r="B666" cm="1">
        <f t="array" ref="B666">IF(MATCH(Table1[[#This Row],[Customer ID]], Table1[Customer ID], 0) = ROW() - ROW(Table1[#Headers]), 1, 0)</f>
        <v>1</v>
      </c>
      <c r="C666" t="s">
        <v>761</v>
      </c>
      <c r="D666" s="2">
        <v>45713</v>
      </c>
      <c r="E666">
        <v>72</v>
      </c>
      <c r="F666" t="str" cm="1">
        <f t="array" ref="F666">_xlfn.IFS( Table1[[#This Row],[Age]]&lt;18, "&lt;18", Table1[[#This Row],[Age]]&lt;= 29, "18-29", Table1[[#This Row],[Age]]&lt;= 44, "30-44",  Table1[[#This Row],[Age]]&lt;=59, "45-59", TRUE, "60+")</f>
        <v>60+</v>
      </c>
      <c r="G666" t="s">
        <v>49</v>
      </c>
      <c r="H666" t="s">
        <v>29</v>
      </c>
      <c r="I666" t="s">
        <v>21</v>
      </c>
      <c r="J666">
        <v>1</v>
      </c>
      <c r="K666" t="s">
        <v>37</v>
      </c>
      <c r="L666" t="str" cm="1">
        <f t="array" ref="L666">_xlfn.IFS(Table1[[#This Row],[Customer Tenure in months]]&lt;=6, "0-6 months", Table1[[#This Row],[Customer Tenure in months]] &lt;=12, "7-12 months", Table1[[#This Row],[Customer Tenure in months]] &lt;=24, "1-2 years", TRUE, "2+ years")</f>
        <v>0-6 months</v>
      </c>
      <c r="M666">
        <v>2</v>
      </c>
      <c r="N666" t="s">
        <v>87</v>
      </c>
      <c r="O666" s="1">
        <v>7500</v>
      </c>
      <c r="P666">
        <v>20</v>
      </c>
      <c r="Q666" s="1">
        <v>150000</v>
      </c>
      <c r="R666">
        <v>36.21</v>
      </c>
      <c r="S666" t="s">
        <v>76</v>
      </c>
      <c r="T666" t="s">
        <v>24</v>
      </c>
    </row>
    <row r="667" spans="1:20" x14ac:dyDescent="0.35">
      <c r="A667" s="22" t="s">
        <v>762</v>
      </c>
      <c r="B667" cm="1">
        <f t="array" ref="B667">IF(MATCH(Table1[[#This Row],[Customer ID]], Table1[Customer ID], 0) = ROW() - ROW(Table1[#Headers]), 1, 0)</f>
        <v>1</v>
      </c>
      <c r="C667" t="s">
        <v>133</v>
      </c>
      <c r="D667" s="2">
        <v>45713</v>
      </c>
      <c r="E667">
        <v>61</v>
      </c>
      <c r="F667" t="str" cm="1">
        <f t="array" ref="F667">_xlfn.IFS( Table1[[#This Row],[Age]]&lt;18, "&lt;18", Table1[[#This Row],[Age]]&lt;= 29, "18-29", Table1[[#This Row],[Age]]&lt;= 44, "30-44",  Table1[[#This Row],[Age]]&lt;=59, "45-59", TRUE, "60+")</f>
        <v>60+</v>
      </c>
      <c r="G667" t="s">
        <v>149</v>
      </c>
      <c r="H667" t="s">
        <v>20</v>
      </c>
      <c r="I667" t="s">
        <v>30</v>
      </c>
      <c r="J667">
        <v>5</v>
      </c>
      <c r="K667" t="s">
        <v>55</v>
      </c>
      <c r="L667" t="str" cm="1">
        <f t="array" ref="L667">_xlfn.IFS(Table1[[#This Row],[Customer Tenure in months]]&lt;=6, "0-6 months", Table1[[#This Row],[Customer Tenure in months]] &lt;=12, "7-12 months", Table1[[#This Row],[Customer Tenure in months]] &lt;=24, "1-2 years", TRUE, "2+ years")</f>
        <v>2+ years</v>
      </c>
      <c r="M667">
        <v>53</v>
      </c>
      <c r="N667" t="s">
        <v>23</v>
      </c>
      <c r="O667" s="1">
        <v>35000</v>
      </c>
      <c r="P667">
        <v>10</v>
      </c>
      <c r="Q667" s="1">
        <v>350000</v>
      </c>
      <c r="R667">
        <v>19.899999999999999</v>
      </c>
      <c r="S667" t="s">
        <v>32</v>
      </c>
      <c r="T667" t="s">
        <v>24</v>
      </c>
    </row>
    <row r="668" spans="1:20" x14ac:dyDescent="0.35">
      <c r="A668" s="22" t="s">
        <v>762</v>
      </c>
      <c r="B668" cm="1">
        <f t="array" ref="B668">IF(MATCH(Table1[[#This Row],[Customer ID]], Table1[Customer ID], 0) = ROW() - ROW(Table1[#Headers]), 1, 0)</f>
        <v>0</v>
      </c>
      <c r="C668" t="s">
        <v>133</v>
      </c>
      <c r="D668" s="2">
        <v>45713</v>
      </c>
      <c r="E668">
        <v>61</v>
      </c>
      <c r="F668" t="str" cm="1">
        <f t="array" ref="F668">_xlfn.IFS( Table1[[#This Row],[Age]]&lt;18, "&lt;18", Table1[[#This Row],[Age]]&lt;= 29, "18-29", Table1[[#This Row],[Age]]&lt;= 44, "30-44",  Table1[[#This Row],[Age]]&lt;=59, "45-59", TRUE, "60+")</f>
        <v>60+</v>
      </c>
      <c r="G668" t="s">
        <v>149</v>
      </c>
      <c r="H668" t="s">
        <v>41</v>
      </c>
      <c r="I668" t="s">
        <v>30</v>
      </c>
      <c r="J668">
        <v>5</v>
      </c>
      <c r="K668" t="s">
        <v>55</v>
      </c>
      <c r="L668" t="str" cm="1">
        <f t="array" ref="L668">_xlfn.IFS(Table1[[#This Row],[Customer Tenure in months]]&lt;=6, "0-6 months", Table1[[#This Row],[Customer Tenure in months]] &lt;=12, "7-12 months", Table1[[#This Row],[Customer Tenure in months]] &lt;=24, "1-2 years", TRUE, "2+ years")</f>
        <v>2+ years</v>
      </c>
      <c r="M668">
        <v>53</v>
      </c>
      <c r="N668" t="s">
        <v>71</v>
      </c>
      <c r="O668" s="1">
        <v>14500</v>
      </c>
      <c r="P668">
        <v>8</v>
      </c>
      <c r="Q668" s="1">
        <v>116000</v>
      </c>
      <c r="R668">
        <v>94.37</v>
      </c>
      <c r="S668" t="s">
        <v>32</v>
      </c>
      <c r="T668" t="s">
        <v>24</v>
      </c>
    </row>
    <row r="669" spans="1:20" x14ac:dyDescent="0.35">
      <c r="A669" s="22" t="s">
        <v>763</v>
      </c>
      <c r="B669" cm="1">
        <f t="array" ref="B669">IF(MATCH(Table1[[#This Row],[Customer ID]], Table1[Customer ID], 0) = ROW() - ROW(Table1[#Headers]), 1, 0)</f>
        <v>1</v>
      </c>
      <c r="C669" t="s">
        <v>764</v>
      </c>
      <c r="D669" s="2">
        <v>45741</v>
      </c>
      <c r="E669">
        <v>49</v>
      </c>
      <c r="F669" t="str" cm="1">
        <f t="array" ref="F669">_xlfn.IFS( Table1[[#This Row],[Age]]&lt;18, "&lt;18", Table1[[#This Row],[Age]]&lt;= 29, "18-29", Table1[[#This Row],[Age]]&lt;= 44, "30-44",  Table1[[#This Row],[Age]]&lt;=59, "45-59", TRUE, "60+")</f>
        <v>45-59</v>
      </c>
      <c r="G669" t="s">
        <v>45</v>
      </c>
      <c r="H669" t="s">
        <v>41</v>
      </c>
      <c r="I669" t="s">
        <v>30</v>
      </c>
      <c r="J669">
        <v>3</v>
      </c>
      <c r="K669" t="s">
        <v>50</v>
      </c>
      <c r="L669" t="str" cm="1">
        <f t="array" ref="L669">_xlfn.IFS(Table1[[#This Row],[Customer Tenure in months]]&lt;=6, "0-6 months", Table1[[#This Row],[Customer Tenure in months]] &lt;=12, "7-12 months", Table1[[#This Row],[Customer Tenure in months]] &lt;=24, "1-2 years", TRUE, "2+ years")</f>
        <v>7-12 months</v>
      </c>
      <c r="M669">
        <v>12</v>
      </c>
      <c r="N669" t="s">
        <v>71</v>
      </c>
      <c r="O669" s="1">
        <v>14500</v>
      </c>
      <c r="P669">
        <v>16</v>
      </c>
      <c r="Q669" s="1">
        <v>232000</v>
      </c>
      <c r="R669">
        <v>23.02</v>
      </c>
      <c r="S669" t="s">
        <v>1091</v>
      </c>
      <c r="T669" t="s">
        <v>39</v>
      </c>
    </row>
    <row r="670" spans="1:20" x14ac:dyDescent="0.35">
      <c r="A670" s="22" t="s">
        <v>765</v>
      </c>
      <c r="B670" cm="1">
        <f t="array" ref="B670">IF(MATCH(Table1[[#This Row],[Customer ID]], Table1[Customer ID], 0) = ROW() - ROW(Table1[#Headers]), 1, 0)</f>
        <v>1</v>
      </c>
      <c r="C670" t="s">
        <v>766</v>
      </c>
      <c r="D670" s="2">
        <v>45713</v>
      </c>
      <c r="E670">
        <v>37</v>
      </c>
      <c r="F670" t="str" cm="1">
        <f t="array" ref="F670">_xlfn.IFS( Table1[[#This Row],[Age]]&lt;18, "&lt;18", Table1[[#This Row],[Age]]&lt;= 29, "18-29", Table1[[#This Row],[Age]]&lt;= 44, "30-44",  Table1[[#This Row],[Age]]&lt;=59, "45-59", TRUE, "60+")</f>
        <v>30-44</v>
      </c>
      <c r="G670" t="s">
        <v>101</v>
      </c>
      <c r="H670" t="s">
        <v>41</v>
      </c>
      <c r="I670" t="s">
        <v>30</v>
      </c>
      <c r="J670">
        <v>5</v>
      </c>
      <c r="K670" t="s">
        <v>55</v>
      </c>
      <c r="L670" t="str" cm="1">
        <f t="array" ref="L670">_xlfn.IFS(Table1[[#This Row],[Customer Tenure in months]]&lt;=6, "0-6 months", Table1[[#This Row],[Customer Tenure in months]] &lt;=12, "7-12 months", Table1[[#This Row],[Customer Tenure in months]] &lt;=24, "1-2 years", TRUE, "2+ years")</f>
        <v>2+ years</v>
      </c>
      <c r="M670">
        <v>39</v>
      </c>
      <c r="N670" t="s">
        <v>65</v>
      </c>
      <c r="O670" s="1">
        <v>30000</v>
      </c>
      <c r="P670">
        <v>13</v>
      </c>
      <c r="Q670" s="1">
        <v>390000</v>
      </c>
      <c r="R670">
        <v>106.78</v>
      </c>
      <c r="S670" t="s">
        <v>32</v>
      </c>
      <c r="T670" t="s">
        <v>24</v>
      </c>
    </row>
    <row r="671" spans="1:20" x14ac:dyDescent="0.35">
      <c r="A671" s="22" t="s">
        <v>765</v>
      </c>
      <c r="B671" cm="1">
        <f t="array" ref="B671">IF(MATCH(Table1[[#This Row],[Customer ID]], Table1[Customer ID], 0) = ROW() - ROW(Table1[#Headers]), 1, 0)</f>
        <v>0</v>
      </c>
      <c r="C671" t="s">
        <v>766</v>
      </c>
      <c r="D671" s="2">
        <v>45713</v>
      </c>
      <c r="E671">
        <v>37</v>
      </c>
      <c r="F671" t="str" cm="1">
        <f t="array" ref="F671">_xlfn.IFS( Table1[[#This Row],[Age]]&lt;18, "&lt;18", Table1[[#This Row],[Age]]&lt;= 29, "18-29", Table1[[#This Row],[Age]]&lt;= 44, "30-44",  Table1[[#This Row],[Age]]&lt;=59, "45-59", TRUE, "60+")</f>
        <v>30-44</v>
      </c>
      <c r="G671" t="s">
        <v>101</v>
      </c>
      <c r="H671" t="s">
        <v>20</v>
      </c>
      <c r="I671" t="s">
        <v>30</v>
      </c>
      <c r="J671">
        <v>5</v>
      </c>
      <c r="K671" t="s">
        <v>55</v>
      </c>
      <c r="L671" t="str" cm="1">
        <f t="array" ref="L671">_xlfn.IFS(Table1[[#This Row],[Customer Tenure in months]]&lt;=6, "0-6 months", Table1[[#This Row],[Customer Tenure in months]] &lt;=12, "7-12 months", Table1[[#This Row],[Customer Tenure in months]] &lt;=24, "1-2 years", TRUE, "2+ years")</f>
        <v>2+ years</v>
      </c>
      <c r="M671">
        <v>39</v>
      </c>
      <c r="N671" t="s">
        <v>23</v>
      </c>
      <c r="O671" s="1">
        <v>35000</v>
      </c>
      <c r="P671">
        <v>8</v>
      </c>
      <c r="Q671" s="1">
        <v>280000</v>
      </c>
      <c r="R671">
        <v>48.1</v>
      </c>
      <c r="S671" t="s">
        <v>32</v>
      </c>
      <c r="T671" t="s">
        <v>24</v>
      </c>
    </row>
    <row r="672" spans="1:20" x14ac:dyDescent="0.35">
      <c r="A672" s="22" t="s">
        <v>765</v>
      </c>
      <c r="B672" cm="1">
        <f t="array" ref="B672">IF(MATCH(Table1[[#This Row],[Customer ID]], Table1[Customer ID], 0) = ROW() - ROW(Table1[#Headers]), 1, 0)</f>
        <v>0</v>
      </c>
      <c r="C672" t="s">
        <v>766</v>
      </c>
      <c r="D672" s="2">
        <v>45713</v>
      </c>
      <c r="E672">
        <v>37</v>
      </c>
      <c r="F672" t="str" cm="1">
        <f t="array" ref="F672">_xlfn.IFS( Table1[[#This Row],[Age]]&lt;18, "&lt;18", Table1[[#This Row],[Age]]&lt;= 29, "18-29", Table1[[#This Row],[Age]]&lt;= 44, "30-44",  Table1[[#This Row],[Age]]&lt;=59, "45-59", TRUE, "60+")</f>
        <v>30-44</v>
      </c>
      <c r="G672" t="s">
        <v>101</v>
      </c>
      <c r="H672" t="s">
        <v>29</v>
      </c>
      <c r="I672" t="s">
        <v>30</v>
      </c>
      <c r="J672">
        <v>5</v>
      </c>
      <c r="K672" t="s">
        <v>55</v>
      </c>
      <c r="L672" t="str" cm="1">
        <f t="array" ref="L672">_xlfn.IFS(Table1[[#This Row],[Customer Tenure in months]]&lt;=6, "0-6 months", Table1[[#This Row],[Customer Tenure in months]] &lt;=12, "7-12 months", Table1[[#This Row],[Customer Tenure in months]] &lt;=24, "1-2 years", TRUE, "2+ years")</f>
        <v>2+ years</v>
      </c>
      <c r="M672">
        <v>39</v>
      </c>
      <c r="N672" t="s">
        <v>193</v>
      </c>
      <c r="O672" s="1">
        <v>6500</v>
      </c>
      <c r="P672">
        <v>16</v>
      </c>
      <c r="Q672" s="1">
        <v>104000</v>
      </c>
      <c r="R672">
        <v>32.22</v>
      </c>
      <c r="S672" t="s">
        <v>32</v>
      </c>
      <c r="T672" t="s">
        <v>24</v>
      </c>
    </row>
    <row r="673" spans="1:20" x14ac:dyDescent="0.35">
      <c r="A673" s="22" t="s">
        <v>767</v>
      </c>
      <c r="B673" cm="1">
        <f t="array" ref="B673">IF(MATCH(Table1[[#This Row],[Customer ID]], Table1[Customer ID], 0) = ROW() - ROW(Table1[#Headers]), 1, 0)</f>
        <v>1</v>
      </c>
      <c r="C673" t="s">
        <v>768</v>
      </c>
      <c r="D673" s="2">
        <v>45713</v>
      </c>
      <c r="E673">
        <v>24</v>
      </c>
      <c r="F673" t="str" cm="1">
        <f t="array" ref="F673">_xlfn.IFS( Table1[[#This Row],[Age]]&lt;18, "&lt;18", Table1[[#This Row],[Age]]&lt;= 29, "18-29", Table1[[#This Row],[Age]]&lt;= 44, "30-44",  Table1[[#This Row],[Age]]&lt;=59, "45-59", TRUE, "60+")</f>
        <v>18-29</v>
      </c>
      <c r="G673" t="s">
        <v>157</v>
      </c>
      <c r="H673" t="s">
        <v>20</v>
      </c>
      <c r="I673" t="s">
        <v>21</v>
      </c>
      <c r="J673">
        <v>4</v>
      </c>
      <c r="K673" t="s">
        <v>114</v>
      </c>
      <c r="L673" t="str" cm="1">
        <f t="array" ref="L673">_xlfn.IFS(Table1[[#This Row],[Customer Tenure in months]]&lt;=6, "0-6 months", Table1[[#This Row],[Customer Tenure in months]] &lt;=12, "7-12 months", Table1[[#This Row],[Customer Tenure in months]] &lt;=24, "1-2 years", TRUE, "2+ years")</f>
        <v>2+ years</v>
      </c>
      <c r="M673">
        <v>53</v>
      </c>
      <c r="N673" t="s">
        <v>58</v>
      </c>
      <c r="O673" s="1">
        <v>16000</v>
      </c>
      <c r="P673">
        <v>19</v>
      </c>
      <c r="Q673" s="1">
        <v>304000</v>
      </c>
      <c r="R673">
        <v>148</v>
      </c>
      <c r="S673" t="s">
        <v>1091</v>
      </c>
      <c r="T673" t="s">
        <v>39</v>
      </c>
    </row>
    <row r="674" spans="1:20" x14ac:dyDescent="0.35">
      <c r="A674" s="22" t="s">
        <v>767</v>
      </c>
      <c r="B674" cm="1">
        <f t="array" ref="B674">IF(MATCH(Table1[[#This Row],[Customer ID]], Table1[Customer ID], 0) = ROW() - ROW(Table1[#Headers]), 1, 0)</f>
        <v>0</v>
      </c>
      <c r="C674" t="s">
        <v>768</v>
      </c>
      <c r="D674" s="2">
        <v>45713</v>
      </c>
      <c r="E674">
        <v>24</v>
      </c>
      <c r="F674" t="str" cm="1">
        <f t="array" ref="F674">_xlfn.IFS( Table1[[#This Row],[Age]]&lt;18, "&lt;18", Table1[[#This Row],[Age]]&lt;= 29, "18-29", Table1[[#This Row],[Age]]&lt;= 44, "30-44",  Table1[[#This Row],[Age]]&lt;=59, "45-59", TRUE, "60+")</f>
        <v>18-29</v>
      </c>
      <c r="G674" t="s">
        <v>157</v>
      </c>
      <c r="H674" t="s">
        <v>41</v>
      </c>
      <c r="I674" t="s">
        <v>21</v>
      </c>
      <c r="J674">
        <v>4</v>
      </c>
      <c r="K674" t="s">
        <v>114</v>
      </c>
      <c r="L674" t="str" cm="1">
        <f t="array" ref="L674">_xlfn.IFS(Table1[[#This Row],[Customer Tenure in months]]&lt;=6, "0-6 months", Table1[[#This Row],[Customer Tenure in months]] &lt;=12, "7-12 months", Table1[[#This Row],[Customer Tenure in months]] &lt;=24, "1-2 years", TRUE, "2+ years")</f>
        <v>2+ years</v>
      </c>
      <c r="M674">
        <v>53</v>
      </c>
      <c r="N674" t="s">
        <v>71</v>
      </c>
      <c r="O674" s="1">
        <v>14500</v>
      </c>
      <c r="P674">
        <v>20</v>
      </c>
      <c r="Q674" s="1">
        <v>290000</v>
      </c>
      <c r="R674">
        <v>23.31</v>
      </c>
      <c r="S674" t="s">
        <v>1091</v>
      </c>
      <c r="T674" t="s">
        <v>39</v>
      </c>
    </row>
    <row r="675" spans="1:20" x14ac:dyDescent="0.35">
      <c r="A675" s="22" t="s">
        <v>769</v>
      </c>
      <c r="B675" cm="1">
        <f t="array" ref="B675">IF(MATCH(Table1[[#This Row],[Customer ID]], Table1[Customer ID], 0) = ROW() - ROW(Table1[#Headers]), 1, 0)</f>
        <v>1</v>
      </c>
      <c r="C675" t="s">
        <v>770</v>
      </c>
      <c r="D675" s="2">
        <v>45741</v>
      </c>
      <c r="E675">
        <v>57</v>
      </c>
      <c r="F675" t="str" cm="1">
        <f t="array" ref="F675">_xlfn.IFS( Table1[[#This Row],[Age]]&lt;18, "&lt;18", Table1[[#This Row],[Age]]&lt;= 29, "18-29", Table1[[#This Row],[Age]]&lt;= 44, "30-44",  Table1[[#This Row],[Age]]&lt;=59, "45-59", TRUE, "60+")</f>
        <v>45-59</v>
      </c>
      <c r="G675" t="s">
        <v>95</v>
      </c>
      <c r="H675" t="s">
        <v>29</v>
      </c>
      <c r="I675" t="s">
        <v>30</v>
      </c>
      <c r="J675">
        <v>4</v>
      </c>
      <c r="K675" t="s">
        <v>114</v>
      </c>
      <c r="L675" t="str" cm="1">
        <f t="array" ref="L675">_xlfn.IFS(Table1[[#This Row],[Customer Tenure in months]]&lt;=6, "0-6 months", Table1[[#This Row],[Customer Tenure in months]] &lt;=12, "7-12 months", Table1[[#This Row],[Customer Tenure in months]] &lt;=24, "1-2 years", TRUE, "2+ years")</f>
        <v>7-12 months</v>
      </c>
      <c r="M675">
        <v>12</v>
      </c>
      <c r="N675" t="s">
        <v>102</v>
      </c>
      <c r="O675" s="1">
        <v>900</v>
      </c>
      <c r="P675">
        <v>5</v>
      </c>
      <c r="Q675" s="1">
        <v>4500</v>
      </c>
      <c r="R675">
        <v>18.559999999999999</v>
      </c>
      <c r="S675" t="s">
        <v>76</v>
      </c>
      <c r="T675" t="s">
        <v>24</v>
      </c>
    </row>
    <row r="676" spans="1:20" x14ac:dyDescent="0.35">
      <c r="A676" s="22" t="s">
        <v>769</v>
      </c>
      <c r="B676" cm="1">
        <f t="array" ref="B676">IF(MATCH(Table1[[#This Row],[Customer ID]], Table1[Customer ID], 0) = ROW() - ROW(Table1[#Headers]), 1, 0)</f>
        <v>0</v>
      </c>
      <c r="C676" t="s">
        <v>770</v>
      </c>
      <c r="D676" s="2">
        <v>45741</v>
      </c>
      <c r="E676">
        <v>57</v>
      </c>
      <c r="F676" t="str" cm="1">
        <f t="array" ref="F676">_xlfn.IFS( Table1[[#This Row],[Age]]&lt;18, "&lt;18", Table1[[#This Row],[Age]]&lt;= 29, "18-29", Table1[[#This Row],[Age]]&lt;= 44, "30-44",  Table1[[#This Row],[Age]]&lt;=59, "45-59", TRUE, "60+")</f>
        <v>45-59</v>
      </c>
      <c r="G676" t="s">
        <v>95</v>
      </c>
      <c r="H676" t="s">
        <v>20</v>
      </c>
      <c r="I676" t="s">
        <v>30</v>
      </c>
      <c r="J676">
        <v>4</v>
      </c>
      <c r="K676" t="s">
        <v>114</v>
      </c>
      <c r="L676" t="str" cm="1">
        <f t="array" ref="L676">_xlfn.IFS(Table1[[#This Row],[Customer Tenure in months]]&lt;=6, "0-6 months", Table1[[#This Row],[Customer Tenure in months]] &lt;=12, "7-12 months", Table1[[#This Row],[Customer Tenure in months]] &lt;=24, "1-2 years", TRUE, "2+ years")</f>
        <v>7-12 months</v>
      </c>
      <c r="M676">
        <v>12</v>
      </c>
      <c r="N676" t="s">
        <v>58</v>
      </c>
      <c r="O676" s="1">
        <v>16000</v>
      </c>
      <c r="P676">
        <v>5</v>
      </c>
      <c r="Q676" s="1">
        <v>80000</v>
      </c>
      <c r="R676">
        <v>151.54</v>
      </c>
      <c r="S676" t="s">
        <v>76</v>
      </c>
      <c r="T676" t="s">
        <v>24</v>
      </c>
    </row>
    <row r="677" spans="1:20" x14ac:dyDescent="0.35">
      <c r="A677" s="22" t="s">
        <v>769</v>
      </c>
      <c r="B677" cm="1">
        <f t="array" ref="B677">IF(MATCH(Table1[[#This Row],[Customer ID]], Table1[Customer ID], 0) = ROW() - ROW(Table1[#Headers]), 1, 0)</f>
        <v>0</v>
      </c>
      <c r="C677" t="s">
        <v>770</v>
      </c>
      <c r="D677" s="2">
        <v>45741</v>
      </c>
      <c r="E677">
        <v>57</v>
      </c>
      <c r="F677" t="str" cm="1">
        <f t="array" ref="F677">_xlfn.IFS( Table1[[#This Row],[Age]]&lt;18, "&lt;18", Table1[[#This Row],[Age]]&lt;= 29, "18-29", Table1[[#This Row],[Age]]&lt;= 44, "30-44",  Table1[[#This Row],[Age]]&lt;=59, "45-59", TRUE, "60+")</f>
        <v>45-59</v>
      </c>
      <c r="G677" t="s">
        <v>95</v>
      </c>
      <c r="H677" t="s">
        <v>36</v>
      </c>
      <c r="I677" t="s">
        <v>30</v>
      </c>
      <c r="J677">
        <v>4</v>
      </c>
      <c r="K677" t="s">
        <v>114</v>
      </c>
      <c r="L677" t="str" cm="1">
        <f t="array" ref="L677">_xlfn.IFS(Table1[[#This Row],[Customer Tenure in months]]&lt;=6, "0-6 months", Table1[[#This Row],[Customer Tenure in months]] &lt;=12, "7-12 months", Table1[[#This Row],[Customer Tenure in months]] &lt;=24, "1-2 years", TRUE, "2+ years")</f>
        <v>7-12 months</v>
      </c>
      <c r="M677">
        <v>12</v>
      </c>
      <c r="N677" t="s">
        <v>57</v>
      </c>
      <c r="O677" s="1">
        <v>150000</v>
      </c>
      <c r="P677">
        <v>13</v>
      </c>
      <c r="Q677" s="1">
        <v>1950000</v>
      </c>
      <c r="R677">
        <v>106.49</v>
      </c>
      <c r="S677" t="s">
        <v>76</v>
      </c>
      <c r="T677" t="s">
        <v>24</v>
      </c>
    </row>
    <row r="678" spans="1:20" x14ac:dyDescent="0.35">
      <c r="A678" s="22" t="s">
        <v>771</v>
      </c>
      <c r="B678" cm="1">
        <f t="array" ref="B678">IF(MATCH(Table1[[#This Row],[Customer ID]], Table1[Customer ID], 0) = ROW() - ROW(Table1[#Headers]), 1, 0)</f>
        <v>1</v>
      </c>
      <c r="C678" t="s">
        <v>772</v>
      </c>
      <c r="D678" s="2">
        <v>45741</v>
      </c>
      <c r="E678">
        <v>41</v>
      </c>
      <c r="F678" t="str" cm="1">
        <f t="array" ref="F678">_xlfn.IFS( Table1[[#This Row],[Age]]&lt;18, "&lt;18", Table1[[#This Row],[Age]]&lt;= 29, "18-29", Table1[[#This Row],[Age]]&lt;= 44, "30-44",  Table1[[#This Row],[Age]]&lt;=59, "45-59", TRUE, "60+")</f>
        <v>30-44</v>
      </c>
      <c r="G678" t="s">
        <v>79</v>
      </c>
      <c r="H678" t="s">
        <v>41</v>
      </c>
      <c r="I678" t="s">
        <v>30</v>
      </c>
      <c r="J678">
        <v>4</v>
      </c>
      <c r="K678" t="s">
        <v>114</v>
      </c>
      <c r="L678" t="str" cm="1">
        <f t="array" ref="L678">_xlfn.IFS(Table1[[#This Row],[Customer Tenure in months]]&lt;=6, "0-6 months", Table1[[#This Row],[Customer Tenure in months]] &lt;=12, "7-12 months", Table1[[#This Row],[Customer Tenure in months]] &lt;=24, "1-2 years", TRUE, "2+ years")</f>
        <v>1-2 years</v>
      </c>
      <c r="M678">
        <v>20</v>
      </c>
      <c r="N678" t="s">
        <v>42</v>
      </c>
      <c r="O678" s="1">
        <v>9000</v>
      </c>
      <c r="P678">
        <v>17</v>
      </c>
      <c r="Q678" s="1">
        <v>153000</v>
      </c>
      <c r="R678">
        <v>122.49</v>
      </c>
      <c r="S678" t="s">
        <v>1091</v>
      </c>
      <c r="T678" t="s">
        <v>39</v>
      </c>
    </row>
    <row r="679" spans="1:20" x14ac:dyDescent="0.35">
      <c r="A679" s="22" t="s">
        <v>771</v>
      </c>
      <c r="B679" cm="1">
        <f t="array" ref="B679">IF(MATCH(Table1[[#This Row],[Customer ID]], Table1[Customer ID], 0) = ROW() - ROW(Table1[#Headers]), 1, 0)</f>
        <v>0</v>
      </c>
      <c r="C679" t="s">
        <v>772</v>
      </c>
      <c r="D679" s="2">
        <v>45741</v>
      </c>
      <c r="E679">
        <v>41</v>
      </c>
      <c r="F679" t="str" cm="1">
        <f t="array" ref="F679">_xlfn.IFS( Table1[[#This Row],[Age]]&lt;18, "&lt;18", Table1[[#This Row],[Age]]&lt;= 29, "18-29", Table1[[#This Row],[Age]]&lt;= 44, "30-44",  Table1[[#This Row],[Age]]&lt;=59, "45-59", TRUE, "60+")</f>
        <v>30-44</v>
      </c>
      <c r="G679" t="s">
        <v>79</v>
      </c>
      <c r="H679" t="s">
        <v>36</v>
      </c>
      <c r="I679" t="s">
        <v>30</v>
      </c>
      <c r="J679">
        <v>4</v>
      </c>
      <c r="K679" t="s">
        <v>114</v>
      </c>
      <c r="L679" t="str" cm="1">
        <f t="array" ref="L679">_xlfn.IFS(Table1[[#This Row],[Customer Tenure in months]]&lt;=6, "0-6 months", Table1[[#This Row],[Customer Tenure in months]] &lt;=12, "7-12 months", Table1[[#This Row],[Customer Tenure in months]] &lt;=24, "1-2 years", TRUE, "2+ years")</f>
        <v>1-2 years</v>
      </c>
      <c r="M679">
        <v>20</v>
      </c>
      <c r="N679" t="s">
        <v>105</v>
      </c>
      <c r="O679" s="1">
        <v>75000</v>
      </c>
      <c r="P679">
        <v>10</v>
      </c>
      <c r="Q679" s="1">
        <v>750000</v>
      </c>
      <c r="R679">
        <v>169.6</v>
      </c>
      <c r="S679" t="s">
        <v>1091</v>
      </c>
      <c r="T679" t="s">
        <v>39</v>
      </c>
    </row>
    <row r="680" spans="1:20" x14ac:dyDescent="0.35">
      <c r="A680" s="22" t="s">
        <v>773</v>
      </c>
      <c r="B680" cm="1">
        <f t="array" ref="B680">IF(MATCH(Table1[[#This Row],[Customer ID]], Table1[Customer ID], 0) = ROW() - ROW(Table1[#Headers]), 1, 0)</f>
        <v>1</v>
      </c>
      <c r="C680" t="s">
        <v>774</v>
      </c>
      <c r="D680" s="2">
        <v>45741</v>
      </c>
      <c r="E680">
        <v>63</v>
      </c>
      <c r="F680" t="str" cm="1">
        <f t="array" ref="F680">_xlfn.IFS( Table1[[#This Row],[Age]]&lt;18, "&lt;18", Table1[[#This Row],[Age]]&lt;= 29, "18-29", Table1[[#This Row],[Age]]&lt;= 44, "30-44",  Table1[[#This Row],[Age]]&lt;=59, "45-59", TRUE, "60+")</f>
        <v>60+</v>
      </c>
      <c r="G680" t="s">
        <v>49</v>
      </c>
      <c r="H680" t="s">
        <v>20</v>
      </c>
      <c r="I680" t="s">
        <v>21</v>
      </c>
      <c r="J680">
        <v>1</v>
      </c>
      <c r="K680" t="s">
        <v>37</v>
      </c>
      <c r="L680" t="str" cm="1">
        <f t="array" ref="L680">_xlfn.IFS(Table1[[#This Row],[Customer Tenure in months]]&lt;=6, "0-6 months", Table1[[#This Row],[Customer Tenure in months]] &lt;=12, "7-12 months", Table1[[#This Row],[Customer Tenure in months]] &lt;=24, "1-2 years", TRUE, "2+ years")</f>
        <v>2+ years</v>
      </c>
      <c r="M680">
        <v>46</v>
      </c>
      <c r="N680" t="s">
        <v>23</v>
      </c>
      <c r="O680" s="1">
        <v>35000</v>
      </c>
      <c r="P680">
        <v>13</v>
      </c>
      <c r="Q680" s="1">
        <v>455000</v>
      </c>
      <c r="R680">
        <v>140.59</v>
      </c>
      <c r="S680" t="s">
        <v>1091</v>
      </c>
      <c r="T680" t="s">
        <v>39</v>
      </c>
    </row>
    <row r="681" spans="1:20" x14ac:dyDescent="0.35">
      <c r="A681" s="22" t="s">
        <v>775</v>
      </c>
      <c r="B681" cm="1">
        <f t="array" ref="B681">IF(MATCH(Table1[[#This Row],[Customer ID]], Table1[Customer ID], 0) = ROW() - ROW(Table1[#Headers]), 1, 0)</f>
        <v>1</v>
      </c>
      <c r="C681" t="s">
        <v>776</v>
      </c>
      <c r="D681" s="2">
        <v>45713</v>
      </c>
      <c r="E681">
        <v>64</v>
      </c>
      <c r="F681" t="str" cm="1">
        <f t="array" ref="F681">_xlfn.IFS( Table1[[#This Row],[Age]]&lt;18, "&lt;18", Table1[[#This Row],[Age]]&lt;= 29, "18-29", Table1[[#This Row],[Age]]&lt;= 44, "30-44",  Table1[[#This Row],[Age]]&lt;=59, "45-59", TRUE, "60+")</f>
        <v>60+</v>
      </c>
      <c r="G681" t="s">
        <v>82</v>
      </c>
      <c r="H681" t="s">
        <v>29</v>
      </c>
      <c r="I681" t="s">
        <v>30</v>
      </c>
      <c r="J681">
        <v>2</v>
      </c>
      <c r="K681" t="s">
        <v>22</v>
      </c>
      <c r="L681" t="str" cm="1">
        <f t="array" ref="L681">_xlfn.IFS(Table1[[#This Row],[Customer Tenure in months]]&lt;=6, "0-6 months", Table1[[#This Row],[Customer Tenure in months]] &lt;=12, "7-12 months", Table1[[#This Row],[Customer Tenure in months]] &lt;=24, "1-2 years", TRUE, "2+ years")</f>
        <v>2+ years</v>
      </c>
      <c r="M681">
        <v>28</v>
      </c>
      <c r="N681" t="s">
        <v>56</v>
      </c>
      <c r="O681" s="1">
        <v>3500</v>
      </c>
      <c r="P681">
        <v>5</v>
      </c>
      <c r="Q681" s="1">
        <v>17500</v>
      </c>
      <c r="R681">
        <v>168.07</v>
      </c>
      <c r="S681" t="s">
        <v>1091</v>
      </c>
      <c r="T681" t="s">
        <v>39</v>
      </c>
    </row>
    <row r="682" spans="1:20" x14ac:dyDescent="0.35">
      <c r="A682" s="22" t="s">
        <v>777</v>
      </c>
      <c r="B682" cm="1">
        <f t="array" ref="B682">IF(MATCH(Table1[[#This Row],[Customer ID]], Table1[Customer ID], 0) = ROW() - ROW(Table1[#Headers]), 1, 0)</f>
        <v>1</v>
      </c>
      <c r="C682" t="s">
        <v>778</v>
      </c>
      <c r="D682" s="2">
        <v>45682</v>
      </c>
      <c r="E682">
        <v>32</v>
      </c>
      <c r="F682" t="str" cm="1">
        <f t="array" ref="F682">_xlfn.IFS( Table1[[#This Row],[Age]]&lt;18, "&lt;18", Table1[[#This Row],[Age]]&lt;= 29, "18-29", Table1[[#This Row],[Age]]&lt;= 44, "30-44",  Table1[[#This Row],[Age]]&lt;=59, "45-59", TRUE, "60+")</f>
        <v>30-44</v>
      </c>
      <c r="G682" t="s">
        <v>140</v>
      </c>
      <c r="H682" t="s">
        <v>29</v>
      </c>
      <c r="I682" t="s">
        <v>21</v>
      </c>
      <c r="J682">
        <v>2</v>
      </c>
      <c r="K682" t="s">
        <v>22</v>
      </c>
      <c r="L682" t="str" cm="1">
        <f t="array" ref="L682">_xlfn.IFS(Table1[[#This Row],[Customer Tenure in months]]&lt;=6, "0-6 months", Table1[[#This Row],[Customer Tenure in months]] &lt;=12, "7-12 months", Table1[[#This Row],[Customer Tenure in months]] &lt;=24, "1-2 years", TRUE, "2+ years")</f>
        <v>0-6 months</v>
      </c>
      <c r="M682">
        <v>5</v>
      </c>
      <c r="N682" t="s">
        <v>83</v>
      </c>
      <c r="O682" s="1">
        <v>1000</v>
      </c>
      <c r="P682">
        <v>14</v>
      </c>
      <c r="Q682" s="1">
        <v>14000</v>
      </c>
      <c r="R682">
        <v>27.88</v>
      </c>
      <c r="S682" t="s">
        <v>1091</v>
      </c>
      <c r="T682" t="s">
        <v>39</v>
      </c>
    </row>
    <row r="683" spans="1:20" x14ac:dyDescent="0.35">
      <c r="A683" s="22" t="s">
        <v>777</v>
      </c>
      <c r="B683" cm="1">
        <f t="array" ref="B683">IF(MATCH(Table1[[#This Row],[Customer ID]], Table1[Customer ID], 0) = ROW() - ROW(Table1[#Headers]), 1, 0)</f>
        <v>0</v>
      </c>
      <c r="C683" t="s">
        <v>778</v>
      </c>
      <c r="D683" s="2">
        <v>45682</v>
      </c>
      <c r="E683">
        <v>32</v>
      </c>
      <c r="F683" t="str" cm="1">
        <f t="array" ref="F683">_xlfn.IFS( Table1[[#This Row],[Age]]&lt;18, "&lt;18", Table1[[#This Row],[Age]]&lt;= 29, "18-29", Table1[[#This Row],[Age]]&lt;= 44, "30-44",  Table1[[#This Row],[Age]]&lt;=59, "45-59", TRUE, "60+")</f>
        <v>30-44</v>
      </c>
      <c r="G683" t="s">
        <v>140</v>
      </c>
      <c r="H683" t="s">
        <v>41</v>
      </c>
      <c r="I683" t="s">
        <v>21</v>
      </c>
      <c r="J683">
        <v>2</v>
      </c>
      <c r="K683" t="s">
        <v>22</v>
      </c>
      <c r="L683" t="str" cm="1">
        <f t="array" ref="L683">_xlfn.IFS(Table1[[#This Row],[Customer Tenure in months]]&lt;=6, "0-6 months", Table1[[#This Row],[Customer Tenure in months]] &lt;=12, "7-12 months", Table1[[#This Row],[Customer Tenure in months]] &lt;=24, "1-2 years", TRUE, "2+ years")</f>
        <v>0-6 months</v>
      </c>
      <c r="M683">
        <v>5</v>
      </c>
      <c r="N683" t="s">
        <v>71</v>
      </c>
      <c r="O683" s="1">
        <v>14500</v>
      </c>
      <c r="P683">
        <v>20</v>
      </c>
      <c r="Q683" s="1">
        <v>290000</v>
      </c>
      <c r="R683">
        <v>178.77</v>
      </c>
      <c r="S683" t="s">
        <v>1091</v>
      </c>
      <c r="T683" t="s">
        <v>39</v>
      </c>
    </row>
    <row r="684" spans="1:20" x14ac:dyDescent="0.35">
      <c r="A684" s="22" t="s">
        <v>779</v>
      </c>
      <c r="B684" cm="1">
        <f t="array" ref="B684">IF(MATCH(Table1[[#This Row],[Customer ID]], Table1[Customer ID], 0) = ROW() - ROW(Table1[#Headers]), 1, 0)</f>
        <v>1</v>
      </c>
      <c r="C684" t="s">
        <v>780</v>
      </c>
      <c r="D684" s="2">
        <v>45713</v>
      </c>
      <c r="E684">
        <v>39</v>
      </c>
      <c r="F684" t="str" cm="1">
        <f t="array" ref="F684">_xlfn.IFS( Table1[[#This Row],[Age]]&lt;18, "&lt;18", Table1[[#This Row],[Age]]&lt;= 29, "18-29", Table1[[#This Row],[Age]]&lt;= 44, "30-44",  Table1[[#This Row],[Age]]&lt;=59, "45-59", TRUE, "60+")</f>
        <v>30-44</v>
      </c>
      <c r="G684" t="s">
        <v>35</v>
      </c>
      <c r="H684" t="s">
        <v>29</v>
      </c>
      <c r="I684" t="s">
        <v>30</v>
      </c>
      <c r="J684">
        <v>4</v>
      </c>
      <c r="K684" t="s">
        <v>114</v>
      </c>
      <c r="L684" t="str" cm="1">
        <f t="array" ref="L684">_xlfn.IFS(Table1[[#This Row],[Customer Tenure in months]]&lt;=6, "0-6 months", Table1[[#This Row],[Customer Tenure in months]] &lt;=12, "7-12 months", Table1[[#This Row],[Customer Tenure in months]] &lt;=24, "1-2 years", TRUE, "2+ years")</f>
        <v>2+ years</v>
      </c>
      <c r="M684">
        <v>36</v>
      </c>
      <c r="N684" t="s">
        <v>102</v>
      </c>
      <c r="O684" s="1">
        <v>900</v>
      </c>
      <c r="P684">
        <v>8</v>
      </c>
      <c r="Q684" s="1">
        <v>7200</v>
      </c>
      <c r="R684">
        <v>115.8</v>
      </c>
      <c r="S684" t="s">
        <v>1091</v>
      </c>
      <c r="T684" t="s">
        <v>39</v>
      </c>
    </row>
    <row r="685" spans="1:20" x14ac:dyDescent="0.35">
      <c r="A685" s="22" t="s">
        <v>781</v>
      </c>
      <c r="B685" cm="1">
        <f t="array" ref="B685">IF(MATCH(Table1[[#This Row],[Customer ID]], Table1[Customer ID], 0) = ROW() - ROW(Table1[#Headers]), 1, 0)</f>
        <v>1</v>
      </c>
      <c r="C685" t="s">
        <v>782</v>
      </c>
      <c r="D685" s="2">
        <v>45682</v>
      </c>
      <c r="E685">
        <v>50</v>
      </c>
      <c r="F685" t="str" cm="1">
        <f t="array" ref="F685">_xlfn.IFS( Table1[[#This Row],[Age]]&lt;18, "&lt;18", Table1[[#This Row],[Age]]&lt;= 29, "18-29", Table1[[#This Row],[Age]]&lt;= 44, "30-44",  Table1[[#This Row],[Age]]&lt;=59, "45-59", TRUE, "60+")</f>
        <v>45-59</v>
      </c>
      <c r="G685" t="s">
        <v>110</v>
      </c>
      <c r="H685" t="s">
        <v>41</v>
      </c>
      <c r="I685" t="s">
        <v>30</v>
      </c>
      <c r="J685">
        <v>5</v>
      </c>
      <c r="K685" t="s">
        <v>55</v>
      </c>
      <c r="L685" t="str" cm="1">
        <f t="array" ref="L685">_xlfn.IFS(Table1[[#This Row],[Customer Tenure in months]]&lt;=6, "0-6 months", Table1[[#This Row],[Customer Tenure in months]] &lt;=12, "7-12 months", Table1[[#This Row],[Customer Tenure in months]] &lt;=24, "1-2 years", TRUE, "2+ years")</f>
        <v>0-6 months</v>
      </c>
      <c r="M685">
        <v>3</v>
      </c>
      <c r="N685" t="s">
        <v>71</v>
      </c>
      <c r="O685" s="1">
        <v>14500</v>
      </c>
      <c r="P685">
        <v>3</v>
      </c>
      <c r="Q685" s="1">
        <v>43500</v>
      </c>
      <c r="R685">
        <v>192.37</v>
      </c>
      <c r="S685" t="s">
        <v>1091</v>
      </c>
      <c r="T685" t="s">
        <v>39</v>
      </c>
    </row>
    <row r="686" spans="1:20" x14ac:dyDescent="0.35">
      <c r="A686" s="22" t="s">
        <v>781</v>
      </c>
      <c r="B686" cm="1">
        <f t="array" ref="B686">IF(MATCH(Table1[[#This Row],[Customer ID]], Table1[Customer ID], 0) = ROW() - ROW(Table1[#Headers]), 1, 0)</f>
        <v>0</v>
      </c>
      <c r="C686" t="s">
        <v>782</v>
      </c>
      <c r="D686" s="2">
        <v>45682</v>
      </c>
      <c r="E686">
        <v>50</v>
      </c>
      <c r="F686" t="str" cm="1">
        <f t="array" ref="F686">_xlfn.IFS( Table1[[#This Row],[Age]]&lt;18, "&lt;18", Table1[[#This Row],[Age]]&lt;= 29, "18-29", Table1[[#This Row],[Age]]&lt;= 44, "30-44",  Table1[[#This Row],[Age]]&lt;=59, "45-59", TRUE, "60+")</f>
        <v>45-59</v>
      </c>
      <c r="G686" t="s">
        <v>110</v>
      </c>
      <c r="H686" t="s">
        <v>36</v>
      </c>
      <c r="I686" t="s">
        <v>30</v>
      </c>
      <c r="J686">
        <v>5</v>
      </c>
      <c r="K686" t="s">
        <v>55</v>
      </c>
      <c r="L686" t="str" cm="1">
        <f t="array" ref="L686">_xlfn.IFS(Table1[[#This Row],[Customer Tenure in months]]&lt;=6, "0-6 months", Table1[[#This Row],[Customer Tenure in months]] &lt;=12, "7-12 months", Table1[[#This Row],[Customer Tenure in months]] &lt;=24, "1-2 years", TRUE, "2+ years")</f>
        <v>0-6 months</v>
      </c>
      <c r="M686">
        <v>3</v>
      </c>
      <c r="N686" t="s">
        <v>65</v>
      </c>
      <c r="O686" s="1">
        <v>30000</v>
      </c>
      <c r="P686">
        <v>17</v>
      </c>
      <c r="Q686" s="1">
        <v>510000</v>
      </c>
      <c r="R686">
        <v>146.16999999999999</v>
      </c>
      <c r="S686" t="s">
        <v>1091</v>
      </c>
      <c r="T686" t="s">
        <v>39</v>
      </c>
    </row>
    <row r="687" spans="1:20" x14ac:dyDescent="0.35">
      <c r="A687" s="22" t="s">
        <v>783</v>
      </c>
      <c r="B687" cm="1">
        <f t="array" ref="B687">IF(MATCH(Table1[[#This Row],[Customer ID]], Table1[Customer ID], 0) = ROW() - ROW(Table1[#Headers]), 1, 0)</f>
        <v>1</v>
      </c>
      <c r="C687" t="s">
        <v>784</v>
      </c>
      <c r="D687" s="2">
        <v>45682</v>
      </c>
      <c r="E687">
        <v>75</v>
      </c>
      <c r="F687" t="str" cm="1">
        <f t="array" ref="F687">_xlfn.IFS( Table1[[#This Row],[Age]]&lt;18, "&lt;18", Table1[[#This Row],[Age]]&lt;= 29, "18-29", Table1[[#This Row],[Age]]&lt;= 44, "30-44",  Table1[[#This Row],[Age]]&lt;=59, "45-59", TRUE, "60+")</f>
        <v>60+</v>
      </c>
      <c r="G687" t="s">
        <v>75</v>
      </c>
      <c r="H687" t="s">
        <v>41</v>
      </c>
      <c r="I687" t="s">
        <v>21</v>
      </c>
      <c r="J687">
        <v>2</v>
      </c>
      <c r="K687" t="s">
        <v>22</v>
      </c>
      <c r="L687" t="str" cm="1">
        <f t="array" ref="L687">_xlfn.IFS(Table1[[#This Row],[Customer Tenure in months]]&lt;=6, "0-6 months", Table1[[#This Row],[Customer Tenure in months]] &lt;=12, "7-12 months", Table1[[#This Row],[Customer Tenure in months]] &lt;=24, "1-2 years", TRUE, "2+ years")</f>
        <v>2+ years</v>
      </c>
      <c r="M687">
        <v>34</v>
      </c>
      <c r="N687" t="s">
        <v>62</v>
      </c>
      <c r="O687" s="1">
        <v>24000</v>
      </c>
      <c r="P687">
        <v>11</v>
      </c>
      <c r="Q687" s="1">
        <v>264000</v>
      </c>
      <c r="R687">
        <v>11.03</v>
      </c>
      <c r="S687" t="s">
        <v>1091</v>
      </c>
      <c r="T687" t="s">
        <v>39</v>
      </c>
    </row>
    <row r="688" spans="1:20" x14ac:dyDescent="0.35">
      <c r="A688" s="22" t="s">
        <v>783</v>
      </c>
      <c r="B688" cm="1">
        <f t="array" ref="B688">IF(MATCH(Table1[[#This Row],[Customer ID]], Table1[Customer ID], 0) = ROW() - ROW(Table1[#Headers]), 1, 0)</f>
        <v>0</v>
      </c>
      <c r="C688" t="s">
        <v>784</v>
      </c>
      <c r="D688" s="2">
        <v>45682</v>
      </c>
      <c r="E688">
        <v>75</v>
      </c>
      <c r="F688" t="str" cm="1">
        <f t="array" ref="F688">_xlfn.IFS( Table1[[#This Row],[Age]]&lt;18, "&lt;18", Table1[[#This Row],[Age]]&lt;= 29, "18-29", Table1[[#This Row],[Age]]&lt;= 44, "30-44",  Table1[[#This Row],[Age]]&lt;=59, "45-59", TRUE, "60+")</f>
        <v>60+</v>
      </c>
      <c r="G688" t="s">
        <v>75</v>
      </c>
      <c r="H688" t="s">
        <v>36</v>
      </c>
      <c r="I688" t="s">
        <v>21</v>
      </c>
      <c r="J688">
        <v>2</v>
      </c>
      <c r="K688" t="s">
        <v>22</v>
      </c>
      <c r="L688" t="str" cm="1">
        <f t="array" ref="L688">_xlfn.IFS(Table1[[#This Row],[Customer Tenure in months]]&lt;=6, "0-6 months", Table1[[#This Row],[Customer Tenure in months]] &lt;=12, "7-12 months", Table1[[#This Row],[Customer Tenure in months]] &lt;=24, "1-2 years", TRUE, "2+ years")</f>
        <v>2+ years</v>
      </c>
      <c r="M688">
        <v>34</v>
      </c>
      <c r="N688" t="s">
        <v>42</v>
      </c>
      <c r="O688" s="1">
        <v>9000</v>
      </c>
      <c r="P688">
        <v>17</v>
      </c>
      <c r="Q688" s="1">
        <v>153000</v>
      </c>
      <c r="R688">
        <v>94.04</v>
      </c>
      <c r="S688" t="s">
        <v>1091</v>
      </c>
      <c r="T688" t="s">
        <v>39</v>
      </c>
    </row>
    <row r="689" spans="1:20" x14ac:dyDescent="0.35">
      <c r="A689" s="22" t="s">
        <v>783</v>
      </c>
      <c r="B689" cm="1">
        <f t="array" ref="B689">IF(MATCH(Table1[[#This Row],[Customer ID]], Table1[Customer ID], 0) = ROW() - ROW(Table1[#Headers]), 1, 0)</f>
        <v>0</v>
      </c>
      <c r="C689" t="s">
        <v>784</v>
      </c>
      <c r="D689" s="2">
        <v>45682</v>
      </c>
      <c r="E689">
        <v>75</v>
      </c>
      <c r="F689" t="str" cm="1">
        <f t="array" ref="F689">_xlfn.IFS( Table1[[#This Row],[Age]]&lt;18, "&lt;18", Table1[[#This Row],[Age]]&lt;= 29, "18-29", Table1[[#This Row],[Age]]&lt;= 44, "30-44",  Table1[[#This Row],[Age]]&lt;=59, "45-59", TRUE, "60+")</f>
        <v>60+</v>
      </c>
      <c r="G689" t="s">
        <v>75</v>
      </c>
      <c r="H689" t="s">
        <v>20</v>
      </c>
      <c r="I689" t="s">
        <v>21</v>
      </c>
      <c r="J689">
        <v>2</v>
      </c>
      <c r="K689" t="s">
        <v>22</v>
      </c>
      <c r="L689" t="str" cm="1">
        <f t="array" ref="L689">_xlfn.IFS(Table1[[#This Row],[Customer Tenure in months]]&lt;=6, "0-6 months", Table1[[#This Row],[Customer Tenure in months]] &lt;=12, "7-12 months", Table1[[#This Row],[Customer Tenure in months]] &lt;=24, "1-2 years", TRUE, "2+ years")</f>
        <v>2+ years</v>
      </c>
      <c r="M689">
        <v>34</v>
      </c>
      <c r="N689" t="s">
        <v>23</v>
      </c>
      <c r="O689" s="1">
        <v>35000</v>
      </c>
      <c r="P689">
        <v>11</v>
      </c>
      <c r="Q689" s="1">
        <v>385000</v>
      </c>
      <c r="R689">
        <v>115.01</v>
      </c>
      <c r="S689" t="s">
        <v>1091</v>
      </c>
      <c r="T689" t="s">
        <v>39</v>
      </c>
    </row>
    <row r="690" spans="1:20" x14ac:dyDescent="0.35">
      <c r="A690" s="22" t="s">
        <v>785</v>
      </c>
      <c r="B690" cm="1">
        <f t="array" ref="B690">IF(MATCH(Table1[[#This Row],[Customer ID]], Table1[Customer ID], 0) = ROW() - ROW(Table1[#Headers]), 1, 0)</f>
        <v>1</v>
      </c>
      <c r="C690" t="s">
        <v>786</v>
      </c>
      <c r="D690" s="2">
        <v>45682</v>
      </c>
      <c r="E690">
        <v>61</v>
      </c>
      <c r="F690" t="str" cm="1">
        <f t="array" ref="F690">_xlfn.IFS( Table1[[#This Row],[Age]]&lt;18, "&lt;18", Table1[[#This Row],[Age]]&lt;= 29, "18-29", Table1[[#This Row],[Age]]&lt;= 44, "30-44",  Table1[[#This Row],[Age]]&lt;=59, "45-59", TRUE, "60+")</f>
        <v>60+</v>
      </c>
      <c r="G690" t="s">
        <v>101</v>
      </c>
      <c r="H690" t="s">
        <v>36</v>
      </c>
      <c r="I690" t="s">
        <v>30</v>
      </c>
      <c r="J690">
        <v>5</v>
      </c>
      <c r="K690" t="s">
        <v>55</v>
      </c>
      <c r="L690" t="str" cm="1">
        <f t="array" ref="L690">_xlfn.IFS(Table1[[#This Row],[Customer Tenure in months]]&lt;=6, "0-6 months", Table1[[#This Row],[Customer Tenure in months]] &lt;=12, "7-12 months", Table1[[#This Row],[Customer Tenure in months]] &lt;=24, "1-2 years", TRUE, "2+ years")</f>
        <v>7-12 months</v>
      </c>
      <c r="M690">
        <v>11</v>
      </c>
      <c r="N690" t="s">
        <v>65</v>
      </c>
      <c r="O690" s="1">
        <v>30000</v>
      </c>
      <c r="P690">
        <v>10</v>
      </c>
      <c r="Q690" s="1">
        <v>300000</v>
      </c>
      <c r="R690">
        <v>114.79</v>
      </c>
      <c r="S690" t="s">
        <v>1091</v>
      </c>
      <c r="T690" t="s">
        <v>39</v>
      </c>
    </row>
    <row r="691" spans="1:20" x14ac:dyDescent="0.35">
      <c r="A691" s="22" t="s">
        <v>785</v>
      </c>
      <c r="B691" cm="1">
        <f t="array" ref="B691">IF(MATCH(Table1[[#This Row],[Customer ID]], Table1[Customer ID], 0) = ROW() - ROW(Table1[#Headers]), 1, 0)</f>
        <v>0</v>
      </c>
      <c r="C691" t="s">
        <v>786</v>
      </c>
      <c r="D691" s="2">
        <v>45682</v>
      </c>
      <c r="E691">
        <v>61</v>
      </c>
      <c r="F691" t="str" cm="1">
        <f t="array" ref="F691">_xlfn.IFS( Table1[[#This Row],[Age]]&lt;18, "&lt;18", Table1[[#This Row],[Age]]&lt;= 29, "18-29", Table1[[#This Row],[Age]]&lt;= 44, "30-44",  Table1[[#This Row],[Age]]&lt;=59, "45-59", TRUE, "60+")</f>
        <v>60+</v>
      </c>
      <c r="G691" t="s">
        <v>101</v>
      </c>
      <c r="H691" t="s">
        <v>41</v>
      </c>
      <c r="I691" t="s">
        <v>30</v>
      </c>
      <c r="J691">
        <v>5</v>
      </c>
      <c r="K691" t="s">
        <v>55</v>
      </c>
      <c r="L691" t="str" cm="1">
        <f t="array" ref="L691">_xlfn.IFS(Table1[[#This Row],[Customer Tenure in months]]&lt;=6, "0-6 months", Table1[[#This Row],[Customer Tenure in months]] &lt;=12, "7-12 months", Table1[[#This Row],[Customer Tenure in months]] &lt;=24, "1-2 years", TRUE, "2+ years")</f>
        <v>7-12 months</v>
      </c>
      <c r="M691">
        <v>11</v>
      </c>
      <c r="N691" t="s">
        <v>62</v>
      </c>
      <c r="O691" s="1">
        <v>24000</v>
      </c>
      <c r="P691">
        <v>16</v>
      </c>
      <c r="Q691" s="1">
        <v>384000</v>
      </c>
      <c r="R691">
        <v>5.95</v>
      </c>
      <c r="S691" t="s">
        <v>1091</v>
      </c>
      <c r="T691" t="s">
        <v>39</v>
      </c>
    </row>
    <row r="692" spans="1:20" x14ac:dyDescent="0.35">
      <c r="A692" s="22" t="s">
        <v>785</v>
      </c>
      <c r="B692" cm="1">
        <f t="array" ref="B692">IF(MATCH(Table1[[#This Row],[Customer ID]], Table1[Customer ID], 0) = ROW() - ROW(Table1[#Headers]), 1, 0)</f>
        <v>0</v>
      </c>
      <c r="C692" t="s">
        <v>786</v>
      </c>
      <c r="D692" s="2">
        <v>45682</v>
      </c>
      <c r="E692">
        <v>61</v>
      </c>
      <c r="F692" t="str" cm="1">
        <f t="array" ref="F692">_xlfn.IFS( Table1[[#This Row],[Age]]&lt;18, "&lt;18", Table1[[#This Row],[Age]]&lt;= 29, "18-29", Table1[[#This Row],[Age]]&lt;= 44, "30-44",  Table1[[#This Row],[Age]]&lt;=59, "45-59", TRUE, "60+")</f>
        <v>60+</v>
      </c>
      <c r="G692" t="s">
        <v>101</v>
      </c>
      <c r="H692" t="s">
        <v>20</v>
      </c>
      <c r="I692" t="s">
        <v>30</v>
      </c>
      <c r="J692">
        <v>5</v>
      </c>
      <c r="K692" t="s">
        <v>55</v>
      </c>
      <c r="L692" t="str" cm="1">
        <f t="array" ref="L692">_xlfn.IFS(Table1[[#This Row],[Customer Tenure in months]]&lt;=6, "0-6 months", Table1[[#This Row],[Customer Tenure in months]] &lt;=12, "7-12 months", Table1[[#This Row],[Customer Tenure in months]] &lt;=24, "1-2 years", TRUE, "2+ years")</f>
        <v>7-12 months</v>
      </c>
      <c r="M692">
        <v>11</v>
      </c>
      <c r="N692" t="s">
        <v>58</v>
      </c>
      <c r="O692" s="1">
        <v>16000</v>
      </c>
      <c r="P692">
        <v>3</v>
      </c>
      <c r="Q692" s="1">
        <v>48000</v>
      </c>
      <c r="R692">
        <v>25.8</v>
      </c>
      <c r="S692" t="s">
        <v>1091</v>
      </c>
      <c r="T692" t="s">
        <v>39</v>
      </c>
    </row>
    <row r="693" spans="1:20" x14ac:dyDescent="0.35">
      <c r="A693" s="22" t="s">
        <v>787</v>
      </c>
      <c r="B693" cm="1">
        <f t="array" ref="B693">IF(MATCH(Table1[[#This Row],[Customer ID]], Table1[Customer ID], 0) = ROW() - ROW(Table1[#Headers]), 1, 0)</f>
        <v>1</v>
      </c>
      <c r="C693" t="s">
        <v>788</v>
      </c>
      <c r="D693" s="2">
        <v>45741</v>
      </c>
      <c r="E693">
        <v>48</v>
      </c>
      <c r="F693" t="str" cm="1">
        <f t="array" ref="F693">_xlfn.IFS( Table1[[#This Row],[Age]]&lt;18, "&lt;18", Table1[[#This Row],[Age]]&lt;= 29, "18-29", Table1[[#This Row],[Age]]&lt;= 44, "30-44",  Table1[[#This Row],[Age]]&lt;=59, "45-59", TRUE, "60+")</f>
        <v>45-59</v>
      </c>
      <c r="G693" t="s">
        <v>140</v>
      </c>
      <c r="H693" t="s">
        <v>20</v>
      </c>
      <c r="I693" t="s">
        <v>30</v>
      </c>
      <c r="J693">
        <v>1</v>
      </c>
      <c r="K693" t="s">
        <v>37</v>
      </c>
      <c r="L693" t="str" cm="1">
        <f t="array" ref="L693">_xlfn.IFS(Table1[[#This Row],[Customer Tenure in months]]&lt;=6, "0-6 months", Table1[[#This Row],[Customer Tenure in months]] &lt;=12, "7-12 months", Table1[[#This Row],[Customer Tenure in months]] &lt;=24, "1-2 years", TRUE, "2+ years")</f>
        <v>1-2 years</v>
      </c>
      <c r="M693">
        <v>18</v>
      </c>
      <c r="N693" t="s">
        <v>23</v>
      </c>
      <c r="O693" s="1">
        <v>35000</v>
      </c>
      <c r="P693">
        <v>6</v>
      </c>
      <c r="Q693" s="1">
        <v>210000</v>
      </c>
      <c r="R693">
        <v>74.27</v>
      </c>
      <c r="S693" t="s">
        <v>1091</v>
      </c>
      <c r="T693" t="s">
        <v>39</v>
      </c>
    </row>
    <row r="694" spans="1:20" x14ac:dyDescent="0.35">
      <c r="A694" s="22" t="s">
        <v>787</v>
      </c>
      <c r="B694" cm="1">
        <f t="array" ref="B694">IF(MATCH(Table1[[#This Row],[Customer ID]], Table1[Customer ID], 0) = ROW() - ROW(Table1[#Headers]), 1, 0)</f>
        <v>0</v>
      </c>
      <c r="C694" t="s">
        <v>788</v>
      </c>
      <c r="D694" s="2">
        <v>45741</v>
      </c>
      <c r="E694">
        <v>48</v>
      </c>
      <c r="F694" t="str" cm="1">
        <f t="array" ref="F694">_xlfn.IFS( Table1[[#This Row],[Age]]&lt;18, "&lt;18", Table1[[#This Row],[Age]]&lt;= 29, "18-29", Table1[[#This Row],[Age]]&lt;= 44, "30-44",  Table1[[#This Row],[Age]]&lt;=59, "45-59", TRUE, "60+")</f>
        <v>45-59</v>
      </c>
      <c r="G694" t="s">
        <v>140</v>
      </c>
      <c r="H694" t="s">
        <v>36</v>
      </c>
      <c r="I694" t="s">
        <v>30</v>
      </c>
      <c r="J694">
        <v>1</v>
      </c>
      <c r="K694" t="s">
        <v>37</v>
      </c>
      <c r="L694" t="str" cm="1">
        <f t="array" ref="L694">_xlfn.IFS(Table1[[#This Row],[Customer Tenure in months]]&lt;=6, "0-6 months", Table1[[#This Row],[Customer Tenure in months]] &lt;=12, "7-12 months", Table1[[#This Row],[Customer Tenure in months]] &lt;=24, "1-2 years", TRUE, "2+ years")</f>
        <v>1-2 years</v>
      </c>
      <c r="M694">
        <v>18</v>
      </c>
      <c r="N694" t="s">
        <v>62</v>
      </c>
      <c r="O694" s="1">
        <v>24000</v>
      </c>
      <c r="P694">
        <v>8</v>
      </c>
      <c r="Q694" s="1">
        <v>192000</v>
      </c>
      <c r="R694">
        <v>156.61000000000001</v>
      </c>
      <c r="S694" t="s">
        <v>1091</v>
      </c>
      <c r="T694" t="s">
        <v>39</v>
      </c>
    </row>
    <row r="695" spans="1:20" x14ac:dyDescent="0.35">
      <c r="A695" s="22" t="s">
        <v>787</v>
      </c>
      <c r="B695" cm="1">
        <f t="array" ref="B695">IF(MATCH(Table1[[#This Row],[Customer ID]], Table1[Customer ID], 0) = ROW() - ROW(Table1[#Headers]), 1, 0)</f>
        <v>0</v>
      </c>
      <c r="C695" t="s">
        <v>788</v>
      </c>
      <c r="D695" s="2">
        <v>45741</v>
      </c>
      <c r="E695">
        <v>48</v>
      </c>
      <c r="F695" t="str" cm="1">
        <f t="array" ref="F695">_xlfn.IFS( Table1[[#This Row],[Age]]&lt;18, "&lt;18", Table1[[#This Row],[Age]]&lt;= 29, "18-29", Table1[[#This Row],[Age]]&lt;= 44, "30-44",  Table1[[#This Row],[Age]]&lt;=59, "45-59", TRUE, "60+")</f>
        <v>45-59</v>
      </c>
      <c r="G695" t="s">
        <v>140</v>
      </c>
      <c r="H695" t="s">
        <v>41</v>
      </c>
      <c r="I695" t="s">
        <v>30</v>
      </c>
      <c r="J695">
        <v>1</v>
      </c>
      <c r="K695" t="s">
        <v>37</v>
      </c>
      <c r="L695" t="str" cm="1">
        <f t="array" ref="L695">_xlfn.IFS(Table1[[#This Row],[Customer Tenure in months]]&lt;=6, "0-6 months", Table1[[#This Row],[Customer Tenure in months]] &lt;=12, "7-12 months", Table1[[#This Row],[Customer Tenure in months]] &lt;=24, "1-2 years", TRUE, "2+ years")</f>
        <v>1-2 years</v>
      </c>
      <c r="M695">
        <v>18</v>
      </c>
      <c r="N695" t="s">
        <v>71</v>
      </c>
      <c r="O695" s="1">
        <v>14500</v>
      </c>
      <c r="P695">
        <v>17</v>
      </c>
      <c r="Q695" s="1">
        <v>246500</v>
      </c>
      <c r="R695">
        <v>36.57</v>
      </c>
      <c r="S695" t="s">
        <v>1091</v>
      </c>
      <c r="T695" t="s">
        <v>39</v>
      </c>
    </row>
    <row r="696" spans="1:20" x14ac:dyDescent="0.35">
      <c r="A696" s="22" t="s">
        <v>789</v>
      </c>
      <c r="B696" cm="1">
        <f t="array" ref="B696">IF(MATCH(Table1[[#This Row],[Customer ID]], Table1[Customer ID], 0) = ROW() - ROW(Table1[#Headers]), 1, 0)</f>
        <v>1</v>
      </c>
      <c r="C696" t="s">
        <v>790</v>
      </c>
      <c r="D696" s="2">
        <v>45713</v>
      </c>
      <c r="E696">
        <v>59</v>
      </c>
      <c r="F696" t="str" cm="1">
        <f t="array" ref="F696">_xlfn.IFS( Table1[[#This Row],[Age]]&lt;18, "&lt;18", Table1[[#This Row],[Age]]&lt;= 29, "18-29", Table1[[#This Row],[Age]]&lt;= 44, "30-44",  Table1[[#This Row],[Age]]&lt;=59, "45-59", TRUE, "60+")</f>
        <v>45-59</v>
      </c>
      <c r="G696" t="s">
        <v>299</v>
      </c>
      <c r="H696" t="s">
        <v>29</v>
      </c>
      <c r="I696" t="s">
        <v>21</v>
      </c>
      <c r="J696">
        <v>4</v>
      </c>
      <c r="K696" t="s">
        <v>114</v>
      </c>
      <c r="L696" t="str" cm="1">
        <f t="array" ref="L696">_xlfn.IFS(Table1[[#This Row],[Customer Tenure in months]]&lt;=6, "0-6 months", Table1[[#This Row],[Customer Tenure in months]] &lt;=12, "7-12 months", Table1[[#This Row],[Customer Tenure in months]] &lt;=24, "1-2 years", TRUE, "2+ years")</f>
        <v>2+ years</v>
      </c>
      <c r="M696">
        <v>39</v>
      </c>
      <c r="N696" t="s">
        <v>31</v>
      </c>
      <c r="O696" s="1">
        <v>5500</v>
      </c>
      <c r="P696">
        <v>6</v>
      </c>
      <c r="Q696" s="1">
        <v>33000</v>
      </c>
      <c r="R696">
        <v>145.34</v>
      </c>
      <c r="S696" t="s">
        <v>1091</v>
      </c>
      <c r="T696" t="s">
        <v>39</v>
      </c>
    </row>
    <row r="697" spans="1:20" x14ac:dyDescent="0.35">
      <c r="A697" s="22" t="s">
        <v>789</v>
      </c>
      <c r="B697" cm="1">
        <f t="array" ref="B697">IF(MATCH(Table1[[#This Row],[Customer ID]], Table1[Customer ID], 0) = ROW() - ROW(Table1[#Headers]), 1, 0)</f>
        <v>0</v>
      </c>
      <c r="C697" t="s">
        <v>790</v>
      </c>
      <c r="D697" s="2">
        <v>45713</v>
      </c>
      <c r="E697">
        <v>59</v>
      </c>
      <c r="F697" t="str" cm="1">
        <f t="array" ref="F697">_xlfn.IFS( Table1[[#This Row],[Age]]&lt;18, "&lt;18", Table1[[#This Row],[Age]]&lt;= 29, "18-29", Table1[[#This Row],[Age]]&lt;= 44, "30-44",  Table1[[#This Row],[Age]]&lt;=59, "45-59", TRUE, "60+")</f>
        <v>45-59</v>
      </c>
      <c r="G697" t="s">
        <v>299</v>
      </c>
      <c r="H697" t="s">
        <v>41</v>
      </c>
      <c r="I697" t="s">
        <v>21</v>
      </c>
      <c r="J697">
        <v>4</v>
      </c>
      <c r="K697" t="s">
        <v>114</v>
      </c>
      <c r="L697" t="str" cm="1">
        <f t="array" ref="L697">_xlfn.IFS(Table1[[#This Row],[Customer Tenure in months]]&lt;=6, "0-6 months", Table1[[#This Row],[Customer Tenure in months]] &lt;=12, "7-12 months", Table1[[#This Row],[Customer Tenure in months]] &lt;=24, "1-2 years", TRUE, "2+ years")</f>
        <v>2+ years</v>
      </c>
      <c r="M697">
        <v>39</v>
      </c>
      <c r="N697" t="s">
        <v>38</v>
      </c>
      <c r="O697" s="1">
        <v>20000</v>
      </c>
      <c r="P697">
        <v>12</v>
      </c>
      <c r="Q697" s="1">
        <v>240000</v>
      </c>
      <c r="R697">
        <v>115.76</v>
      </c>
      <c r="S697" t="s">
        <v>1091</v>
      </c>
      <c r="T697" t="s">
        <v>39</v>
      </c>
    </row>
    <row r="698" spans="1:20" x14ac:dyDescent="0.35">
      <c r="A698" s="22" t="s">
        <v>791</v>
      </c>
      <c r="B698" cm="1">
        <f t="array" ref="B698">IF(MATCH(Table1[[#This Row],[Customer ID]], Table1[Customer ID], 0) = ROW() - ROW(Table1[#Headers]), 1, 0)</f>
        <v>1</v>
      </c>
      <c r="C698" t="s">
        <v>792</v>
      </c>
      <c r="D698" s="2">
        <v>45713</v>
      </c>
      <c r="E698">
        <v>49</v>
      </c>
      <c r="F698" t="str" cm="1">
        <f t="array" ref="F698">_xlfn.IFS( Table1[[#This Row],[Age]]&lt;18, "&lt;18", Table1[[#This Row],[Age]]&lt;= 29, "18-29", Table1[[#This Row],[Age]]&lt;= 44, "30-44",  Table1[[#This Row],[Age]]&lt;=59, "45-59", TRUE, "60+")</f>
        <v>45-59</v>
      </c>
      <c r="G698" t="s">
        <v>176</v>
      </c>
      <c r="H698" t="s">
        <v>20</v>
      </c>
      <c r="I698" t="s">
        <v>21</v>
      </c>
      <c r="J698">
        <v>4</v>
      </c>
      <c r="K698" t="s">
        <v>114</v>
      </c>
      <c r="L698" t="str" cm="1">
        <f t="array" ref="L698">_xlfn.IFS(Table1[[#This Row],[Customer Tenure in months]]&lt;=6, "0-6 months", Table1[[#This Row],[Customer Tenure in months]] &lt;=12, "7-12 months", Table1[[#This Row],[Customer Tenure in months]] &lt;=24, "1-2 years", TRUE, "2+ years")</f>
        <v>7-12 months</v>
      </c>
      <c r="M698">
        <v>11</v>
      </c>
      <c r="N698" t="s">
        <v>23</v>
      </c>
      <c r="O698" s="1">
        <v>35000</v>
      </c>
      <c r="P698">
        <v>5</v>
      </c>
      <c r="Q698" s="1">
        <v>175000</v>
      </c>
      <c r="R698">
        <v>95.18</v>
      </c>
      <c r="S698" t="s">
        <v>1091</v>
      </c>
      <c r="T698" t="s">
        <v>39</v>
      </c>
    </row>
    <row r="699" spans="1:20" x14ac:dyDescent="0.35">
      <c r="A699" s="22" t="s">
        <v>791</v>
      </c>
      <c r="B699" cm="1">
        <f t="array" ref="B699">IF(MATCH(Table1[[#This Row],[Customer ID]], Table1[Customer ID], 0) = ROW() - ROW(Table1[#Headers]), 1, 0)</f>
        <v>0</v>
      </c>
      <c r="C699" t="s">
        <v>792</v>
      </c>
      <c r="D699" s="2">
        <v>45713</v>
      </c>
      <c r="E699">
        <v>49</v>
      </c>
      <c r="F699" t="str" cm="1">
        <f t="array" ref="F699">_xlfn.IFS( Table1[[#This Row],[Age]]&lt;18, "&lt;18", Table1[[#This Row],[Age]]&lt;= 29, "18-29", Table1[[#This Row],[Age]]&lt;= 44, "30-44",  Table1[[#This Row],[Age]]&lt;=59, "45-59", TRUE, "60+")</f>
        <v>45-59</v>
      </c>
      <c r="G699" t="s">
        <v>176</v>
      </c>
      <c r="H699" t="s">
        <v>29</v>
      </c>
      <c r="I699" t="s">
        <v>21</v>
      </c>
      <c r="J699">
        <v>4</v>
      </c>
      <c r="K699" t="s">
        <v>114</v>
      </c>
      <c r="L699" t="str" cm="1">
        <f t="array" ref="L699">_xlfn.IFS(Table1[[#This Row],[Customer Tenure in months]]&lt;=6, "0-6 months", Table1[[#This Row],[Customer Tenure in months]] &lt;=12, "7-12 months", Table1[[#This Row],[Customer Tenure in months]] &lt;=24, "1-2 years", TRUE, "2+ years")</f>
        <v>7-12 months</v>
      </c>
      <c r="M699">
        <v>11</v>
      </c>
      <c r="N699" t="s">
        <v>193</v>
      </c>
      <c r="O699" s="1">
        <v>6500</v>
      </c>
      <c r="P699">
        <v>1</v>
      </c>
      <c r="Q699" s="1">
        <v>6500</v>
      </c>
      <c r="R699">
        <v>174.12</v>
      </c>
      <c r="S699" t="s">
        <v>1091</v>
      </c>
      <c r="T699" t="s">
        <v>39</v>
      </c>
    </row>
    <row r="700" spans="1:20" x14ac:dyDescent="0.35">
      <c r="A700" s="22" t="s">
        <v>793</v>
      </c>
      <c r="B700" cm="1">
        <f t="array" ref="B700">IF(MATCH(Table1[[#This Row],[Customer ID]], Table1[Customer ID], 0) = ROW() - ROW(Table1[#Headers]), 1, 0)</f>
        <v>1</v>
      </c>
      <c r="C700" t="s">
        <v>794</v>
      </c>
      <c r="D700" s="2">
        <v>45682</v>
      </c>
      <c r="E700">
        <v>73</v>
      </c>
      <c r="F700" t="str" cm="1">
        <f t="array" ref="F700">_xlfn.IFS( Table1[[#This Row],[Age]]&lt;18, "&lt;18", Table1[[#This Row],[Age]]&lt;= 29, "18-29", Table1[[#This Row],[Age]]&lt;= 44, "30-44",  Table1[[#This Row],[Age]]&lt;=59, "45-59", TRUE, "60+")</f>
        <v>60+</v>
      </c>
      <c r="G700" t="s">
        <v>61</v>
      </c>
      <c r="H700" t="s">
        <v>36</v>
      </c>
      <c r="I700" t="s">
        <v>30</v>
      </c>
      <c r="J700">
        <v>1</v>
      </c>
      <c r="K700" t="s">
        <v>37</v>
      </c>
      <c r="L700" t="str" cm="1">
        <f t="array" ref="L700">_xlfn.IFS(Table1[[#This Row],[Customer Tenure in months]]&lt;=6, "0-6 months", Table1[[#This Row],[Customer Tenure in months]] &lt;=12, "7-12 months", Table1[[#This Row],[Customer Tenure in months]] &lt;=24, "1-2 years", TRUE, "2+ years")</f>
        <v>2+ years</v>
      </c>
      <c r="M700">
        <v>34</v>
      </c>
      <c r="N700" t="s">
        <v>115</v>
      </c>
      <c r="O700" s="1">
        <v>25000</v>
      </c>
      <c r="P700">
        <v>4</v>
      </c>
      <c r="Q700" s="1">
        <v>100000</v>
      </c>
      <c r="R700">
        <v>54.43</v>
      </c>
      <c r="S700" t="s">
        <v>1091</v>
      </c>
      <c r="T700" t="s">
        <v>39</v>
      </c>
    </row>
    <row r="701" spans="1:20" x14ac:dyDescent="0.35">
      <c r="A701" s="22" t="s">
        <v>793</v>
      </c>
      <c r="B701" cm="1">
        <f t="array" ref="B701">IF(MATCH(Table1[[#This Row],[Customer ID]], Table1[Customer ID], 0) = ROW() - ROW(Table1[#Headers]), 1, 0)</f>
        <v>0</v>
      </c>
      <c r="C701" t="s">
        <v>794</v>
      </c>
      <c r="D701" s="2">
        <v>45682</v>
      </c>
      <c r="E701">
        <v>73</v>
      </c>
      <c r="F701" t="str" cm="1">
        <f t="array" ref="F701">_xlfn.IFS( Table1[[#This Row],[Age]]&lt;18, "&lt;18", Table1[[#This Row],[Age]]&lt;= 29, "18-29", Table1[[#This Row],[Age]]&lt;= 44, "30-44",  Table1[[#This Row],[Age]]&lt;=59, "45-59", TRUE, "60+")</f>
        <v>60+</v>
      </c>
      <c r="G701" t="s">
        <v>61</v>
      </c>
      <c r="H701" t="s">
        <v>20</v>
      </c>
      <c r="I701" t="s">
        <v>30</v>
      </c>
      <c r="J701">
        <v>1</v>
      </c>
      <c r="K701" t="s">
        <v>37</v>
      </c>
      <c r="L701" t="str" cm="1">
        <f t="array" ref="L701">_xlfn.IFS(Table1[[#This Row],[Customer Tenure in months]]&lt;=6, "0-6 months", Table1[[#This Row],[Customer Tenure in months]] &lt;=12, "7-12 months", Table1[[#This Row],[Customer Tenure in months]] &lt;=24, "1-2 years", TRUE, "2+ years")</f>
        <v>2+ years</v>
      </c>
      <c r="M701">
        <v>34</v>
      </c>
      <c r="N701" t="s">
        <v>51</v>
      </c>
      <c r="O701" s="1">
        <v>9000</v>
      </c>
      <c r="P701">
        <v>13</v>
      </c>
      <c r="Q701" s="1">
        <v>117000</v>
      </c>
      <c r="R701">
        <v>131.04</v>
      </c>
      <c r="S701" t="s">
        <v>1091</v>
      </c>
      <c r="T701" t="s">
        <v>39</v>
      </c>
    </row>
    <row r="702" spans="1:20" x14ac:dyDescent="0.35">
      <c r="A702" s="22" t="s">
        <v>793</v>
      </c>
      <c r="B702" cm="1">
        <f t="array" ref="B702">IF(MATCH(Table1[[#This Row],[Customer ID]], Table1[Customer ID], 0) = ROW() - ROW(Table1[#Headers]), 1, 0)</f>
        <v>0</v>
      </c>
      <c r="C702" t="s">
        <v>794</v>
      </c>
      <c r="D702" s="2">
        <v>45682</v>
      </c>
      <c r="E702">
        <v>73</v>
      </c>
      <c r="F702" t="str" cm="1">
        <f t="array" ref="F702">_xlfn.IFS( Table1[[#This Row],[Age]]&lt;18, "&lt;18", Table1[[#This Row],[Age]]&lt;= 29, "18-29", Table1[[#This Row],[Age]]&lt;= 44, "30-44",  Table1[[#This Row],[Age]]&lt;=59, "45-59", TRUE, "60+")</f>
        <v>60+</v>
      </c>
      <c r="G702" t="s">
        <v>61</v>
      </c>
      <c r="H702" t="s">
        <v>29</v>
      </c>
      <c r="I702" t="s">
        <v>30</v>
      </c>
      <c r="J702">
        <v>1</v>
      </c>
      <c r="K702" t="s">
        <v>37</v>
      </c>
      <c r="L702" t="str" cm="1">
        <f t="array" ref="L702">_xlfn.IFS(Table1[[#This Row],[Customer Tenure in months]]&lt;=6, "0-6 months", Table1[[#This Row],[Customer Tenure in months]] &lt;=12, "7-12 months", Table1[[#This Row],[Customer Tenure in months]] &lt;=24, "1-2 years", TRUE, "2+ years")</f>
        <v>2+ years</v>
      </c>
      <c r="M702">
        <v>34</v>
      </c>
      <c r="N702" t="s">
        <v>31</v>
      </c>
      <c r="O702" s="1">
        <v>5500</v>
      </c>
      <c r="P702">
        <v>8</v>
      </c>
      <c r="Q702" s="1">
        <v>44000</v>
      </c>
      <c r="R702">
        <v>154.74</v>
      </c>
      <c r="S702" t="s">
        <v>1091</v>
      </c>
      <c r="T702" t="s">
        <v>39</v>
      </c>
    </row>
    <row r="703" spans="1:20" x14ac:dyDescent="0.35">
      <c r="A703" s="22" t="s">
        <v>795</v>
      </c>
      <c r="B703" cm="1">
        <f t="array" ref="B703">IF(MATCH(Table1[[#This Row],[Customer ID]], Table1[Customer ID], 0) = ROW() - ROW(Table1[#Headers]), 1, 0)</f>
        <v>1</v>
      </c>
      <c r="C703" t="s">
        <v>796</v>
      </c>
      <c r="D703" s="2">
        <v>45682</v>
      </c>
      <c r="E703">
        <v>59</v>
      </c>
      <c r="F703" t="str" cm="1">
        <f t="array" ref="F703">_xlfn.IFS( Table1[[#This Row],[Age]]&lt;18, "&lt;18", Table1[[#This Row],[Age]]&lt;= 29, "18-29", Table1[[#This Row],[Age]]&lt;= 44, "30-44",  Table1[[#This Row],[Age]]&lt;=59, "45-59", TRUE, "60+")</f>
        <v>45-59</v>
      </c>
      <c r="G703" t="s">
        <v>131</v>
      </c>
      <c r="H703" t="s">
        <v>29</v>
      </c>
      <c r="I703" t="s">
        <v>30</v>
      </c>
      <c r="J703">
        <v>1</v>
      </c>
      <c r="K703" t="s">
        <v>37</v>
      </c>
      <c r="L703" t="str" cm="1">
        <f t="array" ref="L703">_xlfn.IFS(Table1[[#This Row],[Customer Tenure in months]]&lt;=6, "0-6 months", Table1[[#This Row],[Customer Tenure in months]] &lt;=12, "7-12 months", Table1[[#This Row],[Customer Tenure in months]] &lt;=24, "1-2 years", TRUE, "2+ years")</f>
        <v>2+ years</v>
      </c>
      <c r="M703">
        <v>36</v>
      </c>
      <c r="N703" t="s">
        <v>83</v>
      </c>
      <c r="O703" s="1">
        <v>1000</v>
      </c>
      <c r="P703">
        <v>15</v>
      </c>
      <c r="Q703" s="1">
        <v>15000</v>
      </c>
      <c r="R703">
        <v>105.29</v>
      </c>
      <c r="S703" t="s">
        <v>1091</v>
      </c>
      <c r="T703" t="s">
        <v>39</v>
      </c>
    </row>
    <row r="704" spans="1:20" x14ac:dyDescent="0.35">
      <c r="A704" s="22" t="s">
        <v>797</v>
      </c>
      <c r="B704" cm="1">
        <f t="array" ref="B704">IF(MATCH(Table1[[#This Row],[Customer ID]], Table1[Customer ID], 0) = ROW() - ROW(Table1[#Headers]), 1, 0)</f>
        <v>1</v>
      </c>
      <c r="C704" t="s">
        <v>798</v>
      </c>
      <c r="D704" s="2">
        <v>45682</v>
      </c>
      <c r="E704">
        <v>44</v>
      </c>
      <c r="F704" t="str" cm="1">
        <f t="array" ref="F704">_xlfn.IFS( Table1[[#This Row],[Age]]&lt;18, "&lt;18", Table1[[#This Row],[Age]]&lt;= 29, "18-29", Table1[[#This Row],[Age]]&lt;= 44, "30-44",  Table1[[#This Row],[Age]]&lt;=59, "45-59", TRUE, "60+")</f>
        <v>30-44</v>
      </c>
      <c r="G704" t="s">
        <v>101</v>
      </c>
      <c r="H704" t="s">
        <v>20</v>
      </c>
      <c r="I704" t="s">
        <v>30</v>
      </c>
      <c r="J704">
        <v>1</v>
      </c>
      <c r="K704" t="s">
        <v>37</v>
      </c>
      <c r="L704" t="str" cm="1">
        <f t="array" ref="L704">_xlfn.IFS(Table1[[#This Row],[Customer Tenure in months]]&lt;=6, "0-6 months", Table1[[#This Row],[Customer Tenure in months]] &lt;=12, "7-12 months", Table1[[#This Row],[Customer Tenure in months]] &lt;=24, "1-2 years", TRUE, "2+ years")</f>
        <v>1-2 years</v>
      </c>
      <c r="M704">
        <v>13</v>
      </c>
      <c r="N704" t="s">
        <v>58</v>
      </c>
      <c r="O704" s="1">
        <v>16000</v>
      </c>
      <c r="P704">
        <v>4</v>
      </c>
      <c r="Q704" s="1">
        <v>64000</v>
      </c>
      <c r="R704">
        <v>141.76</v>
      </c>
      <c r="S704" t="s">
        <v>1091</v>
      </c>
      <c r="T704" t="s">
        <v>39</v>
      </c>
    </row>
    <row r="705" spans="1:20" x14ac:dyDescent="0.35">
      <c r="A705" s="22" t="s">
        <v>799</v>
      </c>
      <c r="B705" cm="1">
        <f t="array" ref="B705">IF(MATCH(Table1[[#This Row],[Customer ID]], Table1[Customer ID], 0) = ROW() - ROW(Table1[#Headers]), 1, 0)</f>
        <v>1</v>
      </c>
      <c r="C705" t="s">
        <v>800</v>
      </c>
      <c r="D705" s="2">
        <v>45682</v>
      </c>
      <c r="E705">
        <v>32</v>
      </c>
      <c r="F705" t="str" cm="1">
        <f t="array" ref="F705">_xlfn.IFS( Table1[[#This Row],[Age]]&lt;18, "&lt;18", Table1[[#This Row],[Age]]&lt;= 29, "18-29", Table1[[#This Row],[Age]]&lt;= 44, "30-44",  Table1[[#This Row],[Age]]&lt;=59, "45-59", TRUE, "60+")</f>
        <v>30-44</v>
      </c>
      <c r="G705" t="s">
        <v>61</v>
      </c>
      <c r="H705" t="s">
        <v>41</v>
      </c>
      <c r="I705" t="s">
        <v>21</v>
      </c>
      <c r="J705">
        <v>2</v>
      </c>
      <c r="K705" t="s">
        <v>22</v>
      </c>
      <c r="L705" t="str" cm="1">
        <f t="array" ref="L705">_xlfn.IFS(Table1[[#This Row],[Customer Tenure in months]]&lt;=6, "0-6 months", Table1[[#This Row],[Customer Tenure in months]] &lt;=12, "7-12 months", Table1[[#This Row],[Customer Tenure in months]] &lt;=24, "1-2 years", TRUE, "2+ years")</f>
        <v>2+ years</v>
      </c>
      <c r="M705">
        <v>58</v>
      </c>
      <c r="N705" t="s">
        <v>65</v>
      </c>
      <c r="O705" s="1">
        <v>30000</v>
      </c>
      <c r="P705">
        <v>11</v>
      </c>
      <c r="Q705" s="1">
        <v>330000</v>
      </c>
      <c r="R705">
        <v>153.99</v>
      </c>
      <c r="S705" t="s">
        <v>167</v>
      </c>
      <c r="T705" t="s">
        <v>24</v>
      </c>
    </row>
    <row r="706" spans="1:20" x14ac:dyDescent="0.35">
      <c r="A706" s="22" t="s">
        <v>799</v>
      </c>
      <c r="B706" cm="1">
        <f t="array" ref="B706">IF(MATCH(Table1[[#This Row],[Customer ID]], Table1[Customer ID], 0) = ROW() - ROW(Table1[#Headers]), 1, 0)</f>
        <v>0</v>
      </c>
      <c r="C706" t="s">
        <v>800</v>
      </c>
      <c r="D706" s="2">
        <v>45682</v>
      </c>
      <c r="E706">
        <v>32</v>
      </c>
      <c r="F706" t="str" cm="1">
        <f t="array" ref="F706">_xlfn.IFS( Table1[[#This Row],[Age]]&lt;18, "&lt;18", Table1[[#This Row],[Age]]&lt;= 29, "18-29", Table1[[#This Row],[Age]]&lt;= 44, "30-44",  Table1[[#This Row],[Age]]&lt;=59, "45-59", TRUE, "60+")</f>
        <v>30-44</v>
      </c>
      <c r="G706" t="s">
        <v>61</v>
      </c>
      <c r="H706" t="s">
        <v>36</v>
      </c>
      <c r="I706" t="s">
        <v>21</v>
      </c>
      <c r="J706">
        <v>2</v>
      </c>
      <c r="K706" t="s">
        <v>22</v>
      </c>
      <c r="L706" t="str" cm="1">
        <f t="array" ref="L706">_xlfn.IFS(Table1[[#This Row],[Customer Tenure in months]]&lt;=6, "0-6 months", Table1[[#This Row],[Customer Tenure in months]] &lt;=12, "7-12 months", Table1[[#This Row],[Customer Tenure in months]] &lt;=24, "1-2 years", TRUE, "2+ years")</f>
        <v>2+ years</v>
      </c>
      <c r="M706">
        <v>58</v>
      </c>
      <c r="N706" t="s">
        <v>62</v>
      </c>
      <c r="O706" s="1">
        <v>24000</v>
      </c>
      <c r="P706">
        <v>3</v>
      </c>
      <c r="Q706" s="1">
        <v>72000</v>
      </c>
      <c r="R706">
        <v>32.81</v>
      </c>
      <c r="S706" t="s">
        <v>167</v>
      </c>
      <c r="T706" t="s">
        <v>24</v>
      </c>
    </row>
    <row r="707" spans="1:20" x14ac:dyDescent="0.35">
      <c r="A707" s="22" t="s">
        <v>799</v>
      </c>
      <c r="B707" cm="1">
        <f t="array" ref="B707">IF(MATCH(Table1[[#This Row],[Customer ID]], Table1[Customer ID], 0) = ROW() - ROW(Table1[#Headers]), 1, 0)</f>
        <v>0</v>
      </c>
      <c r="C707" t="s">
        <v>800</v>
      </c>
      <c r="D707" s="2">
        <v>45682</v>
      </c>
      <c r="E707">
        <v>32</v>
      </c>
      <c r="F707" t="str" cm="1">
        <f t="array" ref="F707">_xlfn.IFS( Table1[[#This Row],[Age]]&lt;18, "&lt;18", Table1[[#This Row],[Age]]&lt;= 29, "18-29", Table1[[#This Row],[Age]]&lt;= 44, "30-44",  Table1[[#This Row],[Age]]&lt;=59, "45-59", TRUE, "60+")</f>
        <v>30-44</v>
      </c>
      <c r="G707" t="s">
        <v>61</v>
      </c>
      <c r="H707" t="s">
        <v>20</v>
      </c>
      <c r="I707" t="s">
        <v>21</v>
      </c>
      <c r="J707">
        <v>2</v>
      </c>
      <c r="K707" t="s">
        <v>22</v>
      </c>
      <c r="L707" t="str" cm="1">
        <f t="array" ref="L707">_xlfn.IFS(Table1[[#This Row],[Customer Tenure in months]]&lt;=6, "0-6 months", Table1[[#This Row],[Customer Tenure in months]] &lt;=12, "7-12 months", Table1[[#This Row],[Customer Tenure in months]] &lt;=24, "1-2 years", TRUE, "2+ years")</f>
        <v>2+ years</v>
      </c>
      <c r="M707">
        <v>58</v>
      </c>
      <c r="N707" t="s">
        <v>51</v>
      </c>
      <c r="O707" s="1">
        <v>9000</v>
      </c>
      <c r="P707">
        <v>13</v>
      </c>
      <c r="Q707" s="1">
        <v>117000</v>
      </c>
      <c r="R707">
        <v>155.53</v>
      </c>
      <c r="S707" t="s">
        <v>167</v>
      </c>
      <c r="T707" t="s">
        <v>24</v>
      </c>
    </row>
    <row r="708" spans="1:20" x14ac:dyDescent="0.35">
      <c r="A708" s="22" t="s">
        <v>801</v>
      </c>
      <c r="B708" cm="1">
        <f t="array" ref="B708">IF(MATCH(Table1[[#This Row],[Customer ID]], Table1[Customer ID], 0) = ROW() - ROW(Table1[#Headers]), 1, 0)</f>
        <v>1</v>
      </c>
      <c r="C708" t="s">
        <v>802</v>
      </c>
      <c r="D708" s="2">
        <v>45741</v>
      </c>
      <c r="E708">
        <v>58</v>
      </c>
      <c r="F708" t="str" cm="1">
        <f t="array" ref="F708">_xlfn.IFS( Table1[[#This Row],[Age]]&lt;18, "&lt;18", Table1[[#This Row],[Age]]&lt;= 29, "18-29", Table1[[#This Row],[Age]]&lt;= 44, "30-44",  Table1[[#This Row],[Age]]&lt;=59, "45-59", TRUE, "60+")</f>
        <v>45-59</v>
      </c>
      <c r="G708" t="s">
        <v>49</v>
      </c>
      <c r="H708" t="s">
        <v>20</v>
      </c>
      <c r="I708" t="s">
        <v>30</v>
      </c>
      <c r="J708">
        <v>2</v>
      </c>
      <c r="K708" t="s">
        <v>22</v>
      </c>
      <c r="L708" t="str" cm="1">
        <f t="array" ref="L708">_xlfn.IFS(Table1[[#This Row],[Customer Tenure in months]]&lt;=6, "0-6 months", Table1[[#This Row],[Customer Tenure in months]] &lt;=12, "7-12 months", Table1[[#This Row],[Customer Tenure in months]] &lt;=24, "1-2 years", TRUE, "2+ years")</f>
        <v>2+ years</v>
      </c>
      <c r="M708">
        <v>53</v>
      </c>
      <c r="N708" t="s">
        <v>23</v>
      </c>
      <c r="O708" s="1">
        <v>35000</v>
      </c>
      <c r="P708">
        <v>16</v>
      </c>
      <c r="Q708" s="1">
        <v>560000</v>
      </c>
      <c r="R708">
        <v>36.1</v>
      </c>
      <c r="S708" t="s">
        <v>1091</v>
      </c>
      <c r="T708" t="s">
        <v>39</v>
      </c>
    </row>
    <row r="709" spans="1:20" x14ac:dyDescent="0.35">
      <c r="A709" s="22" t="s">
        <v>801</v>
      </c>
      <c r="B709" cm="1">
        <f t="array" ref="B709">IF(MATCH(Table1[[#This Row],[Customer ID]], Table1[Customer ID], 0) = ROW() - ROW(Table1[#Headers]), 1, 0)</f>
        <v>0</v>
      </c>
      <c r="C709" t="s">
        <v>802</v>
      </c>
      <c r="D709" s="2">
        <v>45741</v>
      </c>
      <c r="E709">
        <v>58</v>
      </c>
      <c r="F709" t="str" cm="1">
        <f t="array" ref="F709">_xlfn.IFS( Table1[[#This Row],[Age]]&lt;18, "&lt;18", Table1[[#This Row],[Age]]&lt;= 29, "18-29", Table1[[#This Row],[Age]]&lt;= 44, "30-44",  Table1[[#This Row],[Age]]&lt;=59, "45-59", TRUE, "60+")</f>
        <v>45-59</v>
      </c>
      <c r="G709" t="s">
        <v>49</v>
      </c>
      <c r="H709" t="s">
        <v>36</v>
      </c>
      <c r="I709" t="s">
        <v>30</v>
      </c>
      <c r="J709">
        <v>2</v>
      </c>
      <c r="K709" t="s">
        <v>22</v>
      </c>
      <c r="L709" t="str" cm="1">
        <f t="array" ref="L709">_xlfn.IFS(Table1[[#This Row],[Customer Tenure in months]]&lt;=6, "0-6 months", Table1[[#This Row],[Customer Tenure in months]] &lt;=12, "7-12 months", Table1[[#This Row],[Customer Tenure in months]] &lt;=24, "1-2 years", TRUE, "2+ years")</f>
        <v>2+ years</v>
      </c>
      <c r="M709">
        <v>53</v>
      </c>
      <c r="N709" t="s">
        <v>38</v>
      </c>
      <c r="O709" s="1">
        <v>20000</v>
      </c>
      <c r="P709">
        <v>14</v>
      </c>
      <c r="Q709" s="1">
        <v>280000</v>
      </c>
      <c r="R709">
        <v>29.2</v>
      </c>
      <c r="S709" t="s">
        <v>1091</v>
      </c>
      <c r="T709" t="s">
        <v>39</v>
      </c>
    </row>
    <row r="710" spans="1:20" x14ac:dyDescent="0.35">
      <c r="A710" s="22" t="s">
        <v>803</v>
      </c>
      <c r="B710" cm="1">
        <f t="array" ref="B710">IF(MATCH(Table1[[#This Row],[Customer ID]], Table1[Customer ID], 0) = ROW() - ROW(Table1[#Headers]), 1, 0)</f>
        <v>1</v>
      </c>
      <c r="C710" t="s">
        <v>804</v>
      </c>
      <c r="D710" s="2">
        <v>45682</v>
      </c>
      <c r="E710">
        <v>29</v>
      </c>
      <c r="F710" t="str" cm="1">
        <f t="array" ref="F710">_xlfn.IFS( Table1[[#This Row],[Age]]&lt;18, "&lt;18", Table1[[#This Row],[Age]]&lt;= 29, "18-29", Table1[[#This Row],[Age]]&lt;= 44, "30-44",  Table1[[#This Row],[Age]]&lt;=59, "45-59", TRUE, "60+")</f>
        <v>18-29</v>
      </c>
      <c r="G710" t="s">
        <v>198</v>
      </c>
      <c r="H710" t="s">
        <v>29</v>
      </c>
      <c r="I710" t="s">
        <v>30</v>
      </c>
      <c r="J710">
        <v>1</v>
      </c>
      <c r="K710" t="s">
        <v>37</v>
      </c>
      <c r="L710" t="str" cm="1">
        <f t="array" ref="L710">_xlfn.IFS(Table1[[#This Row],[Customer Tenure in months]]&lt;=6, "0-6 months", Table1[[#This Row],[Customer Tenure in months]] &lt;=12, "7-12 months", Table1[[#This Row],[Customer Tenure in months]] &lt;=24, "1-2 years", TRUE, "2+ years")</f>
        <v>7-12 months</v>
      </c>
      <c r="M710">
        <v>7</v>
      </c>
      <c r="N710" t="s">
        <v>31</v>
      </c>
      <c r="O710" s="1">
        <v>5500</v>
      </c>
      <c r="P710">
        <v>1</v>
      </c>
      <c r="Q710" s="1">
        <v>5500</v>
      </c>
      <c r="R710">
        <v>30.2</v>
      </c>
      <c r="S710" t="s">
        <v>284</v>
      </c>
      <c r="T710" t="s">
        <v>24</v>
      </c>
    </row>
    <row r="711" spans="1:20" x14ac:dyDescent="0.35">
      <c r="A711" s="22" t="s">
        <v>803</v>
      </c>
      <c r="B711" cm="1">
        <f t="array" ref="B711">IF(MATCH(Table1[[#This Row],[Customer ID]], Table1[Customer ID], 0) = ROW() - ROW(Table1[#Headers]), 1, 0)</f>
        <v>0</v>
      </c>
      <c r="C711" t="s">
        <v>804</v>
      </c>
      <c r="D711" s="2">
        <v>45682</v>
      </c>
      <c r="E711">
        <v>29</v>
      </c>
      <c r="F711" t="str" cm="1">
        <f t="array" ref="F711">_xlfn.IFS( Table1[[#This Row],[Age]]&lt;18, "&lt;18", Table1[[#This Row],[Age]]&lt;= 29, "18-29", Table1[[#This Row],[Age]]&lt;= 44, "30-44",  Table1[[#This Row],[Age]]&lt;=59, "45-59", TRUE, "60+")</f>
        <v>18-29</v>
      </c>
      <c r="G711" t="s">
        <v>198</v>
      </c>
      <c r="H711" t="s">
        <v>41</v>
      </c>
      <c r="I711" t="s">
        <v>30</v>
      </c>
      <c r="J711">
        <v>1</v>
      </c>
      <c r="K711" t="s">
        <v>37</v>
      </c>
      <c r="L711" t="str" cm="1">
        <f t="array" ref="L711">_xlfn.IFS(Table1[[#This Row],[Customer Tenure in months]]&lt;=6, "0-6 months", Table1[[#This Row],[Customer Tenure in months]] &lt;=12, "7-12 months", Table1[[#This Row],[Customer Tenure in months]] &lt;=24, "1-2 years", TRUE, "2+ years")</f>
        <v>7-12 months</v>
      </c>
      <c r="M711">
        <v>7</v>
      </c>
      <c r="N711" t="s">
        <v>42</v>
      </c>
      <c r="O711" s="1">
        <v>9000</v>
      </c>
      <c r="P711">
        <v>9</v>
      </c>
      <c r="Q711" s="1">
        <v>81000</v>
      </c>
      <c r="R711">
        <v>133.09</v>
      </c>
      <c r="S711" t="s">
        <v>284</v>
      </c>
      <c r="T711" t="s">
        <v>24</v>
      </c>
    </row>
    <row r="712" spans="1:20" x14ac:dyDescent="0.35">
      <c r="A712" s="22" t="s">
        <v>805</v>
      </c>
      <c r="B712" cm="1">
        <f t="array" ref="B712">IF(MATCH(Table1[[#This Row],[Customer ID]], Table1[Customer ID], 0) = ROW() - ROW(Table1[#Headers]), 1, 0)</f>
        <v>1</v>
      </c>
      <c r="C712" t="s">
        <v>806</v>
      </c>
      <c r="D712" s="2">
        <v>45713</v>
      </c>
      <c r="E712">
        <v>58</v>
      </c>
      <c r="F712" t="str" cm="1">
        <f t="array" ref="F712">_xlfn.IFS( Table1[[#This Row],[Age]]&lt;18, "&lt;18", Table1[[#This Row],[Age]]&lt;= 29, "18-29", Table1[[#This Row],[Age]]&lt;= 44, "30-44",  Table1[[#This Row],[Age]]&lt;=59, "45-59", TRUE, "60+")</f>
        <v>45-59</v>
      </c>
      <c r="G712" t="s">
        <v>82</v>
      </c>
      <c r="H712" t="s">
        <v>41</v>
      </c>
      <c r="I712" t="s">
        <v>21</v>
      </c>
      <c r="J712">
        <v>4</v>
      </c>
      <c r="K712" t="s">
        <v>114</v>
      </c>
      <c r="L712" t="str" cm="1">
        <f t="array" ref="L712">_xlfn.IFS(Table1[[#This Row],[Customer Tenure in months]]&lt;=6, "0-6 months", Table1[[#This Row],[Customer Tenure in months]] &lt;=12, "7-12 months", Table1[[#This Row],[Customer Tenure in months]] &lt;=24, "1-2 years", TRUE, "2+ years")</f>
        <v>2+ years</v>
      </c>
      <c r="M712">
        <v>33</v>
      </c>
      <c r="N712" t="s">
        <v>42</v>
      </c>
      <c r="O712" s="1">
        <v>9000</v>
      </c>
      <c r="P712">
        <v>16</v>
      </c>
      <c r="Q712" s="1">
        <v>144000</v>
      </c>
      <c r="R712">
        <v>77.19</v>
      </c>
      <c r="S712" t="s">
        <v>1091</v>
      </c>
      <c r="T712" t="s">
        <v>39</v>
      </c>
    </row>
    <row r="713" spans="1:20" x14ac:dyDescent="0.35">
      <c r="A713" s="22" t="s">
        <v>805</v>
      </c>
      <c r="B713" cm="1">
        <f t="array" ref="B713">IF(MATCH(Table1[[#This Row],[Customer ID]], Table1[Customer ID], 0) = ROW() - ROW(Table1[#Headers]), 1, 0)</f>
        <v>0</v>
      </c>
      <c r="C713" t="s">
        <v>806</v>
      </c>
      <c r="D713" s="2">
        <v>45713</v>
      </c>
      <c r="E713">
        <v>58</v>
      </c>
      <c r="F713" t="str" cm="1">
        <f t="array" ref="F713">_xlfn.IFS( Table1[[#This Row],[Age]]&lt;18, "&lt;18", Table1[[#This Row],[Age]]&lt;= 29, "18-29", Table1[[#This Row],[Age]]&lt;= 44, "30-44",  Table1[[#This Row],[Age]]&lt;=59, "45-59", TRUE, "60+")</f>
        <v>45-59</v>
      </c>
      <c r="G713" t="s">
        <v>82</v>
      </c>
      <c r="H713" t="s">
        <v>36</v>
      </c>
      <c r="I713" t="s">
        <v>21</v>
      </c>
      <c r="J713">
        <v>4</v>
      </c>
      <c r="K713" t="s">
        <v>114</v>
      </c>
      <c r="L713" t="str" cm="1">
        <f t="array" ref="L713">_xlfn.IFS(Table1[[#This Row],[Customer Tenure in months]]&lt;=6, "0-6 months", Table1[[#This Row],[Customer Tenure in months]] &lt;=12, "7-12 months", Table1[[#This Row],[Customer Tenure in months]] &lt;=24, "1-2 years", TRUE, "2+ years")</f>
        <v>2+ years</v>
      </c>
      <c r="M713">
        <v>33</v>
      </c>
      <c r="N713" t="s">
        <v>38</v>
      </c>
      <c r="O713" s="1">
        <v>20000</v>
      </c>
      <c r="P713">
        <v>12</v>
      </c>
      <c r="Q713" s="1">
        <v>240000</v>
      </c>
      <c r="R713">
        <v>113.67</v>
      </c>
      <c r="S713" t="s">
        <v>1091</v>
      </c>
      <c r="T713" t="s">
        <v>39</v>
      </c>
    </row>
    <row r="714" spans="1:20" x14ac:dyDescent="0.35">
      <c r="A714" s="22" t="s">
        <v>805</v>
      </c>
      <c r="B714" cm="1">
        <f t="array" ref="B714">IF(MATCH(Table1[[#This Row],[Customer ID]], Table1[Customer ID], 0) = ROW() - ROW(Table1[#Headers]), 1, 0)</f>
        <v>0</v>
      </c>
      <c r="C714" t="s">
        <v>806</v>
      </c>
      <c r="D714" s="2">
        <v>45713</v>
      </c>
      <c r="E714">
        <v>58</v>
      </c>
      <c r="F714" t="str" cm="1">
        <f t="array" ref="F714">_xlfn.IFS( Table1[[#This Row],[Age]]&lt;18, "&lt;18", Table1[[#This Row],[Age]]&lt;= 29, "18-29", Table1[[#This Row],[Age]]&lt;= 44, "30-44",  Table1[[#This Row],[Age]]&lt;=59, "45-59", TRUE, "60+")</f>
        <v>45-59</v>
      </c>
      <c r="G714" t="s">
        <v>82</v>
      </c>
      <c r="H714" t="s">
        <v>29</v>
      </c>
      <c r="I714" t="s">
        <v>21</v>
      </c>
      <c r="J714">
        <v>4</v>
      </c>
      <c r="K714" t="s">
        <v>114</v>
      </c>
      <c r="L714" t="str" cm="1">
        <f t="array" ref="L714">_xlfn.IFS(Table1[[#This Row],[Customer Tenure in months]]&lt;=6, "0-6 months", Table1[[#This Row],[Customer Tenure in months]] &lt;=12, "7-12 months", Table1[[#This Row],[Customer Tenure in months]] &lt;=24, "1-2 years", TRUE, "2+ years")</f>
        <v>2+ years</v>
      </c>
      <c r="M714">
        <v>33</v>
      </c>
      <c r="N714" t="s">
        <v>56</v>
      </c>
      <c r="O714" s="1">
        <v>3500</v>
      </c>
      <c r="P714">
        <v>13</v>
      </c>
      <c r="Q714" s="1">
        <v>45500</v>
      </c>
      <c r="R714">
        <v>136.53</v>
      </c>
      <c r="S714" t="s">
        <v>1091</v>
      </c>
      <c r="T714" t="s">
        <v>39</v>
      </c>
    </row>
    <row r="715" spans="1:20" x14ac:dyDescent="0.35">
      <c r="A715" s="22" t="s">
        <v>807</v>
      </c>
      <c r="B715" cm="1">
        <f t="array" ref="B715">IF(MATCH(Table1[[#This Row],[Customer ID]], Table1[Customer ID], 0) = ROW() - ROW(Table1[#Headers]), 1, 0)</f>
        <v>1</v>
      </c>
      <c r="C715" t="s">
        <v>808</v>
      </c>
      <c r="D715" s="2">
        <v>45713</v>
      </c>
      <c r="E715">
        <v>27</v>
      </c>
      <c r="F715" t="str" cm="1">
        <f t="array" ref="F715">_xlfn.IFS( Table1[[#This Row],[Age]]&lt;18, "&lt;18", Table1[[#This Row],[Age]]&lt;= 29, "18-29", Table1[[#This Row],[Age]]&lt;= 44, "30-44",  Table1[[#This Row],[Age]]&lt;=59, "45-59", TRUE, "60+")</f>
        <v>18-29</v>
      </c>
      <c r="G715" t="s">
        <v>45</v>
      </c>
      <c r="H715" t="s">
        <v>41</v>
      </c>
      <c r="I715" t="s">
        <v>30</v>
      </c>
      <c r="J715">
        <v>3</v>
      </c>
      <c r="K715" t="s">
        <v>50</v>
      </c>
      <c r="L715" t="str" cm="1">
        <f t="array" ref="L715">_xlfn.IFS(Table1[[#This Row],[Customer Tenure in months]]&lt;=6, "0-6 months", Table1[[#This Row],[Customer Tenure in months]] &lt;=12, "7-12 months", Table1[[#This Row],[Customer Tenure in months]] &lt;=24, "1-2 years", TRUE, "2+ years")</f>
        <v>0-6 months</v>
      </c>
      <c r="M715">
        <v>6</v>
      </c>
      <c r="N715" t="s">
        <v>71</v>
      </c>
      <c r="O715" s="1">
        <v>14500</v>
      </c>
      <c r="P715">
        <v>10</v>
      </c>
      <c r="Q715" s="1">
        <v>145000</v>
      </c>
      <c r="R715">
        <v>132.32</v>
      </c>
      <c r="S715" t="s">
        <v>1091</v>
      </c>
      <c r="T715" t="s">
        <v>39</v>
      </c>
    </row>
    <row r="716" spans="1:20" x14ac:dyDescent="0.35">
      <c r="A716" s="22" t="s">
        <v>809</v>
      </c>
      <c r="B716" cm="1">
        <f t="array" ref="B716">IF(MATCH(Table1[[#This Row],[Customer ID]], Table1[Customer ID], 0) = ROW() - ROW(Table1[#Headers]), 1, 0)</f>
        <v>1</v>
      </c>
      <c r="C716" t="s">
        <v>810</v>
      </c>
      <c r="D716" s="2">
        <v>45713</v>
      </c>
      <c r="E716">
        <v>29</v>
      </c>
      <c r="F716" t="str" cm="1">
        <f t="array" ref="F716">_xlfn.IFS( Table1[[#This Row],[Age]]&lt;18, "&lt;18", Table1[[#This Row],[Age]]&lt;= 29, "18-29", Table1[[#This Row],[Age]]&lt;= 44, "30-44",  Table1[[#This Row],[Age]]&lt;=59, "45-59", TRUE, "60+")</f>
        <v>18-29</v>
      </c>
      <c r="G716" t="s">
        <v>152</v>
      </c>
      <c r="H716" t="s">
        <v>20</v>
      </c>
      <c r="I716" t="s">
        <v>30</v>
      </c>
      <c r="J716">
        <v>2</v>
      </c>
      <c r="K716" t="s">
        <v>22</v>
      </c>
      <c r="L716" t="str" cm="1">
        <f t="array" ref="L716">_xlfn.IFS(Table1[[#This Row],[Customer Tenure in months]]&lt;=6, "0-6 months", Table1[[#This Row],[Customer Tenure in months]] &lt;=12, "7-12 months", Table1[[#This Row],[Customer Tenure in months]] &lt;=24, "1-2 years", TRUE, "2+ years")</f>
        <v>0-6 months</v>
      </c>
      <c r="M716">
        <v>6</v>
      </c>
      <c r="N716" t="s">
        <v>23</v>
      </c>
      <c r="O716" s="1">
        <v>35000</v>
      </c>
      <c r="P716">
        <v>18</v>
      </c>
      <c r="Q716" s="1">
        <v>630000</v>
      </c>
      <c r="R716">
        <v>78.06</v>
      </c>
      <c r="S716" t="s">
        <v>265</v>
      </c>
      <c r="T716" t="s">
        <v>24</v>
      </c>
    </row>
    <row r="717" spans="1:20" x14ac:dyDescent="0.35">
      <c r="A717" s="22" t="s">
        <v>811</v>
      </c>
      <c r="B717" cm="1">
        <f t="array" ref="B717">IF(MATCH(Table1[[#This Row],[Customer ID]], Table1[Customer ID], 0) = ROW() - ROW(Table1[#Headers]), 1, 0)</f>
        <v>1</v>
      </c>
      <c r="C717" t="s">
        <v>812</v>
      </c>
      <c r="D717" s="2">
        <v>45682</v>
      </c>
      <c r="E717">
        <v>79</v>
      </c>
      <c r="F717" t="str" cm="1">
        <f t="array" ref="F717">_xlfn.IFS( Table1[[#This Row],[Age]]&lt;18, "&lt;18", Table1[[#This Row],[Age]]&lt;= 29, "18-29", Table1[[#This Row],[Age]]&lt;= 44, "30-44",  Table1[[#This Row],[Age]]&lt;=59, "45-59", TRUE, "60+")</f>
        <v>60+</v>
      </c>
      <c r="G717" t="s">
        <v>86</v>
      </c>
      <c r="H717" t="s">
        <v>41</v>
      </c>
      <c r="I717" t="s">
        <v>30</v>
      </c>
      <c r="J717">
        <v>3</v>
      </c>
      <c r="K717" t="s">
        <v>50</v>
      </c>
      <c r="L717" t="str" cm="1">
        <f t="array" ref="L717">_xlfn.IFS(Table1[[#This Row],[Customer Tenure in months]]&lt;=6, "0-6 months", Table1[[#This Row],[Customer Tenure in months]] &lt;=12, "7-12 months", Table1[[#This Row],[Customer Tenure in months]] &lt;=24, "1-2 years", TRUE, "2+ years")</f>
        <v>0-6 months</v>
      </c>
      <c r="M717">
        <v>2</v>
      </c>
      <c r="N717" t="s">
        <v>38</v>
      </c>
      <c r="O717" s="1">
        <v>20000</v>
      </c>
      <c r="P717">
        <v>17</v>
      </c>
      <c r="Q717" s="1">
        <v>340000</v>
      </c>
      <c r="R717">
        <v>161.52000000000001</v>
      </c>
      <c r="S717" t="s">
        <v>32</v>
      </c>
      <c r="T717" t="s">
        <v>24</v>
      </c>
    </row>
    <row r="718" spans="1:20" x14ac:dyDescent="0.35">
      <c r="A718" s="22" t="s">
        <v>811</v>
      </c>
      <c r="B718" cm="1">
        <f t="array" ref="B718">IF(MATCH(Table1[[#This Row],[Customer ID]], Table1[Customer ID], 0) = ROW() - ROW(Table1[#Headers]), 1, 0)</f>
        <v>0</v>
      </c>
      <c r="C718" t="s">
        <v>812</v>
      </c>
      <c r="D718" s="2">
        <v>45682</v>
      </c>
      <c r="E718">
        <v>79</v>
      </c>
      <c r="F718" t="str" cm="1">
        <f t="array" ref="F718">_xlfn.IFS( Table1[[#This Row],[Age]]&lt;18, "&lt;18", Table1[[#This Row],[Age]]&lt;= 29, "18-29", Table1[[#This Row],[Age]]&lt;= 44, "30-44",  Table1[[#This Row],[Age]]&lt;=59, "45-59", TRUE, "60+")</f>
        <v>60+</v>
      </c>
      <c r="G718" t="s">
        <v>86</v>
      </c>
      <c r="H718" t="s">
        <v>20</v>
      </c>
      <c r="I718" t="s">
        <v>30</v>
      </c>
      <c r="J718">
        <v>3</v>
      </c>
      <c r="K718" t="s">
        <v>50</v>
      </c>
      <c r="L718" t="str" cm="1">
        <f t="array" ref="L718">_xlfn.IFS(Table1[[#This Row],[Customer Tenure in months]]&lt;=6, "0-6 months", Table1[[#This Row],[Customer Tenure in months]] &lt;=12, "7-12 months", Table1[[#This Row],[Customer Tenure in months]] &lt;=24, "1-2 years", TRUE, "2+ years")</f>
        <v>0-6 months</v>
      </c>
      <c r="M718">
        <v>2</v>
      </c>
      <c r="N718" t="s">
        <v>23</v>
      </c>
      <c r="O718" s="1">
        <v>35000</v>
      </c>
      <c r="P718">
        <v>18</v>
      </c>
      <c r="Q718" s="1">
        <v>630000</v>
      </c>
      <c r="R718">
        <v>188.05</v>
      </c>
      <c r="S718" t="s">
        <v>32</v>
      </c>
      <c r="T718" t="s">
        <v>24</v>
      </c>
    </row>
    <row r="719" spans="1:20" x14ac:dyDescent="0.35">
      <c r="A719" s="22" t="s">
        <v>811</v>
      </c>
      <c r="B719" cm="1">
        <f t="array" ref="B719">IF(MATCH(Table1[[#This Row],[Customer ID]], Table1[Customer ID], 0) = ROW() - ROW(Table1[#Headers]), 1, 0)</f>
        <v>0</v>
      </c>
      <c r="C719" t="s">
        <v>812</v>
      </c>
      <c r="D719" s="2">
        <v>45682</v>
      </c>
      <c r="E719">
        <v>79</v>
      </c>
      <c r="F719" t="str" cm="1">
        <f t="array" ref="F719">_xlfn.IFS( Table1[[#This Row],[Age]]&lt;18, "&lt;18", Table1[[#This Row],[Age]]&lt;= 29, "18-29", Table1[[#This Row],[Age]]&lt;= 44, "30-44",  Table1[[#This Row],[Age]]&lt;=59, "45-59", TRUE, "60+")</f>
        <v>60+</v>
      </c>
      <c r="G719" t="s">
        <v>86</v>
      </c>
      <c r="H719" t="s">
        <v>29</v>
      </c>
      <c r="I719" t="s">
        <v>30</v>
      </c>
      <c r="J719">
        <v>3</v>
      </c>
      <c r="K719" t="s">
        <v>50</v>
      </c>
      <c r="L719" t="str" cm="1">
        <f t="array" ref="L719">_xlfn.IFS(Table1[[#This Row],[Customer Tenure in months]]&lt;=6, "0-6 months", Table1[[#This Row],[Customer Tenure in months]] &lt;=12, "7-12 months", Table1[[#This Row],[Customer Tenure in months]] &lt;=24, "1-2 years", TRUE, "2+ years")</f>
        <v>0-6 months</v>
      </c>
      <c r="M719">
        <v>2</v>
      </c>
      <c r="N719" t="s">
        <v>164</v>
      </c>
      <c r="O719" s="1">
        <v>600</v>
      </c>
      <c r="P719">
        <v>8</v>
      </c>
      <c r="Q719" s="1">
        <v>4800</v>
      </c>
      <c r="R719">
        <v>148.34</v>
      </c>
      <c r="S719" t="s">
        <v>32</v>
      </c>
      <c r="T719" t="s">
        <v>24</v>
      </c>
    </row>
    <row r="720" spans="1:20" x14ac:dyDescent="0.35">
      <c r="A720" s="22" t="s">
        <v>813</v>
      </c>
      <c r="B720" cm="1">
        <f t="array" ref="B720">IF(MATCH(Table1[[#This Row],[Customer ID]], Table1[Customer ID], 0) = ROW() - ROW(Table1[#Headers]), 1, 0)</f>
        <v>1</v>
      </c>
      <c r="C720" t="s">
        <v>814</v>
      </c>
      <c r="D720" s="2">
        <v>45682</v>
      </c>
      <c r="E720">
        <v>20</v>
      </c>
      <c r="F720" t="str" cm="1">
        <f t="array" ref="F720">_xlfn.IFS( Table1[[#This Row],[Age]]&lt;18, "&lt;18", Table1[[#This Row],[Age]]&lt;= 29, "18-29", Table1[[#This Row],[Age]]&lt;= 44, "30-44",  Table1[[#This Row],[Age]]&lt;=59, "45-59", TRUE, "60+")</f>
        <v>18-29</v>
      </c>
      <c r="G720" t="s">
        <v>54</v>
      </c>
      <c r="H720" t="s">
        <v>41</v>
      </c>
      <c r="I720" t="s">
        <v>30</v>
      </c>
      <c r="J720">
        <v>4</v>
      </c>
      <c r="K720" t="s">
        <v>114</v>
      </c>
      <c r="L720" t="str" cm="1">
        <f t="array" ref="L720">_xlfn.IFS(Table1[[#This Row],[Customer Tenure in months]]&lt;=6, "0-6 months", Table1[[#This Row],[Customer Tenure in months]] &lt;=12, "7-12 months", Table1[[#This Row],[Customer Tenure in months]] &lt;=24, "1-2 years", TRUE, "2+ years")</f>
        <v>2+ years</v>
      </c>
      <c r="M720">
        <v>42</v>
      </c>
      <c r="N720" t="s">
        <v>42</v>
      </c>
      <c r="O720" s="1">
        <v>9000</v>
      </c>
      <c r="P720">
        <v>2</v>
      </c>
      <c r="Q720" s="1">
        <v>18000</v>
      </c>
      <c r="R720">
        <v>34.86</v>
      </c>
      <c r="S720" t="s">
        <v>1091</v>
      </c>
      <c r="T720" t="s">
        <v>39</v>
      </c>
    </row>
    <row r="721" spans="1:20" x14ac:dyDescent="0.35">
      <c r="A721" s="22" t="s">
        <v>813</v>
      </c>
      <c r="B721" cm="1">
        <f t="array" ref="B721">IF(MATCH(Table1[[#This Row],[Customer ID]], Table1[Customer ID], 0) = ROW() - ROW(Table1[#Headers]), 1, 0)</f>
        <v>0</v>
      </c>
      <c r="C721" t="s">
        <v>814</v>
      </c>
      <c r="D721" s="2">
        <v>45682</v>
      </c>
      <c r="E721">
        <v>20</v>
      </c>
      <c r="F721" t="str" cm="1">
        <f t="array" ref="F721">_xlfn.IFS( Table1[[#This Row],[Age]]&lt;18, "&lt;18", Table1[[#This Row],[Age]]&lt;= 29, "18-29", Table1[[#This Row],[Age]]&lt;= 44, "30-44",  Table1[[#This Row],[Age]]&lt;=59, "45-59", TRUE, "60+")</f>
        <v>18-29</v>
      </c>
      <c r="G721" t="s">
        <v>54</v>
      </c>
      <c r="H721" t="s">
        <v>29</v>
      </c>
      <c r="I721" t="s">
        <v>30</v>
      </c>
      <c r="J721">
        <v>4</v>
      </c>
      <c r="K721" t="s">
        <v>114</v>
      </c>
      <c r="L721" t="str" cm="1">
        <f t="array" ref="L721">_xlfn.IFS(Table1[[#This Row],[Customer Tenure in months]]&lt;=6, "0-6 months", Table1[[#This Row],[Customer Tenure in months]] &lt;=12, "7-12 months", Table1[[#This Row],[Customer Tenure in months]] &lt;=24, "1-2 years", TRUE, "2+ years")</f>
        <v>2+ years</v>
      </c>
      <c r="M721">
        <v>42</v>
      </c>
      <c r="N721" t="s">
        <v>40</v>
      </c>
      <c r="O721" s="1">
        <v>500</v>
      </c>
      <c r="P721">
        <v>4</v>
      </c>
      <c r="Q721" s="1">
        <v>2000</v>
      </c>
      <c r="R721">
        <v>164.24</v>
      </c>
      <c r="S721" t="s">
        <v>1091</v>
      </c>
      <c r="T721" t="s">
        <v>39</v>
      </c>
    </row>
    <row r="722" spans="1:20" x14ac:dyDescent="0.35">
      <c r="A722" s="22" t="s">
        <v>813</v>
      </c>
      <c r="B722" cm="1">
        <f t="array" ref="B722">IF(MATCH(Table1[[#This Row],[Customer ID]], Table1[Customer ID], 0) = ROW() - ROW(Table1[#Headers]), 1, 0)</f>
        <v>0</v>
      </c>
      <c r="C722" t="s">
        <v>814</v>
      </c>
      <c r="D722" s="2">
        <v>45682</v>
      </c>
      <c r="E722">
        <v>20</v>
      </c>
      <c r="F722" t="str" cm="1">
        <f t="array" ref="F722">_xlfn.IFS( Table1[[#This Row],[Age]]&lt;18, "&lt;18", Table1[[#This Row],[Age]]&lt;= 29, "18-29", Table1[[#This Row],[Age]]&lt;= 44, "30-44",  Table1[[#This Row],[Age]]&lt;=59, "45-59", TRUE, "60+")</f>
        <v>18-29</v>
      </c>
      <c r="G722" t="s">
        <v>54</v>
      </c>
      <c r="H722" t="s">
        <v>36</v>
      </c>
      <c r="I722" t="s">
        <v>30</v>
      </c>
      <c r="J722">
        <v>4</v>
      </c>
      <c r="K722" t="s">
        <v>114</v>
      </c>
      <c r="L722" t="str" cm="1">
        <f t="array" ref="L722">_xlfn.IFS(Table1[[#This Row],[Customer Tenure in months]]&lt;=6, "0-6 months", Table1[[#This Row],[Customer Tenure in months]] &lt;=12, "7-12 months", Table1[[#This Row],[Customer Tenure in months]] &lt;=24, "1-2 years", TRUE, "2+ years")</f>
        <v>2+ years</v>
      </c>
      <c r="M722">
        <v>42</v>
      </c>
      <c r="N722" t="s">
        <v>57</v>
      </c>
      <c r="O722" s="1">
        <v>150000</v>
      </c>
      <c r="P722">
        <v>19</v>
      </c>
      <c r="Q722" s="1">
        <v>2850000</v>
      </c>
      <c r="R722">
        <v>122.44</v>
      </c>
      <c r="S722" t="s">
        <v>1091</v>
      </c>
      <c r="T722" t="s">
        <v>39</v>
      </c>
    </row>
    <row r="723" spans="1:20" x14ac:dyDescent="0.35">
      <c r="A723" s="22" t="s">
        <v>815</v>
      </c>
      <c r="B723" cm="1">
        <f t="array" ref="B723">IF(MATCH(Table1[[#This Row],[Customer ID]], Table1[Customer ID], 0) = ROW() - ROW(Table1[#Headers]), 1, 0)</f>
        <v>1</v>
      </c>
      <c r="C723" t="s">
        <v>816</v>
      </c>
      <c r="D723" s="2">
        <v>45713</v>
      </c>
      <c r="E723">
        <v>29</v>
      </c>
      <c r="F723" t="str" cm="1">
        <f t="array" ref="F723">_xlfn.IFS( Table1[[#This Row],[Age]]&lt;18, "&lt;18", Table1[[#This Row],[Age]]&lt;= 29, "18-29", Table1[[#This Row],[Age]]&lt;= 44, "30-44",  Table1[[#This Row],[Age]]&lt;=59, "45-59", TRUE, "60+")</f>
        <v>18-29</v>
      </c>
      <c r="G723" t="s">
        <v>176</v>
      </c>
      <c r="H723" t="s">
        <v>36</v>
      </c>
      <c r="I723" t="s">
        <v>30</v>
      </c>
      <c r="J723">
        <v>1</v>
      </c>
      <c r="K723" t="s">
        <v>37</v>
      </c>
      <c r="L723" t="str" cm="1">
        <f t="array" ref="L723">_xlfn.IFS(Table1[[#This Row],[Customer Tenure in months]]&lt;=6, "0-6 months", Table1[[#This Row],[Customer Tenure in months]] &lt;=12, "7-12 months", Table1[[#This Row],[Customer Tenure in months]] &lt;=24, "1-2 years", TRUE, "2+ years")</f>
        <v>2+ years</v>
      </c>
      <c r="M723">
        <v>39</v>
      </c>
      <c r="N723" t="s">
        <v>105</v>
      </c>
      <c r="O723" s="1">
        <v>75000</v>
      </c>
      <c r="P723">
        <v>19</v>
      </c>
      <c r="Q723" s="1">
        <v>1425000</v>
      </c>
      <c r="R723">
        <v>65.180000000000007</v>
      </c>
      <c r="S723" t="s">
        <v>1091</v>
      </c>
      <c r="T723" t="s">
        <v>39</v>
      </c>
    </row>
    <row r="724" spans="1:20" x14ac:dyDescent="0.35">
      <c r="A724" s="22" t="s">
        <v>815</v>
      </c>
      <c r="B724" cm="1">
        <f t="array" ref="B724">IF(MATCH(Table1[[#This Row],[Customer ID]], Table1[Customer ID], 0) = ROW() - ROW(Table1[#Headers]), 1, 0)</f>
        <v>0</v>
      </c>
      <c r="C724" t="s">
        <v>816</v>
      </c>
      <c r="D724" s="2">
        <v>45713</v>
      </c>
      <c r="E724">
        <v>29</v>
      </c>
      <c r="F724" t="str" cm="1">
        <f t="array" ref="F724">_xlfn.IFS( Table1[[#This Row],[Age]]&lt;18, "&lt;18", Table1[[#This Row],[Age]]&lt;= 29, "18-29", Table1[[#This Row],[Age]]&lt;= 44, "30-44",  Table1[[#This Row],[Age]]&lt;=59, "45-59", TRUE, "60+")</f>
        <v>18-29</v>
      </c>
      <c r="G724" t="s">
        <v>176</v>
      </c>
      <c r="H724" t="s">
        <v>29</v>
      </c>
      <c r="I724" t="s">
        <v>30</v>
      </c>
      <c r="J724">
        <v>1</v>
      </c>
      <c r="K724" t="s">
        <v>37</v>
      </c>
      <c r="L724" t="str" cm="1">
        <f t="array" ref="L724">_xlfn.IFS(Table1[[#This Row],[Customer Tenure in months]]&lt;=6, "0-6 months", Table1[[#This Row],[Customer Tenure in months]] &lt;=12, "7-12 months", Table1[[#This Row],[Customer Tenure in months]] &lt;=24, "1-2 years", TRUE, "2+ years")</f>
        <v>2+ years</v>
      </c>
      <c r="M724">
        <v>39</v>
      </c>
      <c r="N724" t="s">
        <v>193</v>
      </c>
      <c r="O724" s="1">
        <v>6500</v>
      </c>
      <c r="P724">
        <v>7</v>
      </c>
      <c r="Q724" s="1">
        <v>45500</v>
      </c>
      <c r="R724">
        <v>27.9</v>
      </c>
      <c r="S724" t="s">
        <v>1091</v>
      </c>
      <c r="T724" t="s">
        <v>39</v>
      </c>
    </row>
    <row r="725" spans="1:20" x14ac:dyDescent="0.35">
      <c r="A725" s="22" t="s">
        <v>817</v>
      </c>
      <c r="B725" cm="1">
        <f t="array" ref="B725">IF(MATCH(Table1[[#This Row],[Customer ID]], Table1[Customer ID], 0) = ROW() - ROW(Table1[#Headers]), 1, 0)</f>
        <v>1</v>
      </c>
      <c r="C725" t="s">
        <v>818</v>
      </c>
      <c r="D725" s="2">
        <v>45741</v>
      </c>
      <c r="E725">
        <v>38</v>
      </c>
      <c r="F725" t="str" cm="1">
        <f t="array" ref="F725">_xlfn.IFS( Table1[[#This Row],[Age]]&lt;18, "&lt;18", Table1[[#This Row],[Age]]&lt;= 29, "18-29", Table1[[#This Row],[Age]]&lt;= 44, "30-44",  Table1[[#This Row],[Age]]&lt;=59, "45-59", TRUE, "60+")</f>
        <v>30-44</v>
      </c>
      <c r="G725" t="s">
        <v>157</v>
      </c>
      <c r="H725" t="s">
        <v>36</v>
      </c>
      <c r="I725" t="s">
        <v>21</v>
      </c>
      <c r="J725">
        <v>2</v>
      </c>
      <c r="K725" t="s">
        <v>22</v>
      </c>
      <c r="L725" t="str" cm="1">
        <f t="array" ref="L725">_xlfn.IFS(Table1[[#This Row],[Customer Tenure in months]]&lt;=6, "0-6 months", Table1[[#This Row],[Customer Tenure in months]] &lt;=12, "7-12 months", Table1[[#This Row],[Customer Tenure in months]] &lt;=24, "1-2 years", TRUE, "2+ years")</f>
        <v>7-12 months</v>
      </c>
      <c r="M725">
        <v>8</v>
      </c>
      <c r="N725" t="s">
        <v>65</v>
      </c>
      <c r="O725" s="1">
        <v>30000</v>
      </c>
      <c r="P725">
        <v>19</v>
      </c>
      <c r="Q725" s="1">
        <v>570000</v>
      </c>
      <c r="R725">
        <v>88.01</v>
      </c>
      <c r="S725" t="s">
        <v>1091</v>
      </c>
      <c r="T725" t="s">
        <v>39</v>
      </c>
    </row>
    <row r="726" spans="1:20" x14ac:dyDescent="0.35">
      <c r="A726" s="22" t="s">
        <v>819</v>
      </c>
      <c r="B726" cm="1">
        <f t="array" ref="B726">IF(MATCH(Table1[[#This Row],[Customer ID]], Table1[Customer ID], 0) = ROW() - ROW(Table1[#Headers]), 1, 0)</f>
        <v>1</v>
      </c>
      <c r="C726" t="s">
        <v>820</v>
      </c>
      <c r="D726" s="2">
        <v>45713</v>
      </c>
      <c r="E726">
        <v>33</v>
      </c>
      <c r="F726" t="str" cm="1">
        <f t="array" ref="F726">_xlfn.IFS( Table1[[#This Row],[Age]]&lt;18, "&lt;18", Table1[[#This Row],[Age]]&lt;= 29, "18-29", Table1[[#This Row],[Age]]&lt;= 44, "30-44",  Table1[[#This Row],[Age]]&lt;=59, "45-59", TRUE, "60+")</f>
        <v>30-44</v>
      </c>
      <c r="G726" t="s">
        <v>95</v>
      </c>
      <c r="H726" t="s">
        <v>41</v>
      </c>
      <c r="I726" t="s">
        <v>30</v>
      </c>
      <c r="J726">
        <v>1</v>
      </c>
      <c r="K726" t="s">
        <v>37</v>
      </c>
      <c r="L726" t="str" cm="1">
        <f t="array" ref="L726">_xlfn.IFS(Table1[[#This Row],[Customer Tenure in months]]&lt;=6, "0-6 months", Table1[[#This Row],[Customer Tenure in months]] &lt;=12, "7-12 months", Table1[[#This Row],[Customer Tenure in months]] &lt;=24, "1-2 years", TRUE, "2+ years")</f>
        <v>2+ years</v>
      </c>
      <c r="M726">
        <v>50</v>
      </c>
      <c r="N726" t="s">
        <v>42</v>
      </c>
      <c r="O726" s="1">
        <v>9000</v>
      </c>
      <c r="P726">
        <v>3</v>
      </c>
      <c r="Q726" s="1">
        <v>27000</v>
      </c>
      <c r="R726">
        <v>36.29</v>
      </c>
      <c r="S726" t="s">
        <v>1091</v>
      </c>
      <c r="T726" t="s">
        <v>39</v>
      </c>
    </row>
    <row r="727" spans="1:20" x14ac:dyDescent="0.35">
      <c r="A727" s="22" t="s">
        <v>821</v>
      </c>
      <c r="B727" cm="1">
        <f t="array" ref="B727">IF(MATCH(Table1[[#This Row],[Customer ID]], Table1[Customer ID], 0) = ROW() - ROW(Table1[#Headers]), 1, 0)</f>
        <v>1</v>
      </c>
      <c r="C727" t="s">
        <v>822</v>
      </c>
      <c r="D727" s="2">
        <v>45713</v>
      </c>
      <c r="E727">
        <v>69</v>
      </c>
      <c r="F727" t="str" cm="1">
        <f t="array" ref="F727">_xlfn.IFS( Table1[[#This Row],[Age]]&lt;18, "&lt;18", Table1[[#This Row],[Age]]&lt;= 29, "18-29", Table1[[#This Row],[Age]]&lt;= 44, "30-44",  Table1[[#This Row],[Age]]&lt;=59, "45-59", TRUE, "60+")</f>
        <v>60+</v>
      </c>
      <c r="G727" t="s">
        <v>213</v>
      </c>
      <c r="H727" t="s">
        <v>20</v>
      </c>
      <c r="I727" t="s">
        <v>21</v>
      </c>
      <c r="J727">
        <v>3</v>
      </c>
      <c r="K727" t="s">
        <v>50</v>
      </c>
      <c r="L727" t="str" cm="1">
        <f t="array" ref="L727">_xlfn.IFS(Table1[[#This Row],[Customer Tenure in months]]&lt;=6, "0-6 months", Table1[[#This Row],[Customer Tenure in months]] &lt;=12, "7-12 months", Table1[[#This Row],[Customer Tenure in months]] &lt;=24, "1-2 years", TRUE, "2+ years")</f>
        <v>1-2 years</v>
      </c>
      <c r="M727">
        <v>14</v>
      </c>
      <c r="N727" t="s">
        <v>58</v>
      </c>
      <c r="O727" s="1">
        <v>16000</v>
      </c>
      <c r="P727">
        <v>16</v>
      </c>
      <c r="Q727" s="1">
        <v>256000</v>
      </c>
      <c r="R727">
        <v>119.46</v>
      </c>
      <c r="S727" t="s">
        <v>1091</v>
      </c>
      <c r="T727" t="s">
        <v>39</v>
      </c>
    </row>
    <row r="728" spans="1:20" x14ac:dyDescent="0.35">
      <c r="A728" s="22" t="s">
        <v>821</v>
      </c>
      <c r="B728" cm="1">
        <f t="array" ref="B728">IF(MATCH(Table1[[#This Row],[Customer ID]], Table1[Customer ID], 0) = ROW() - ROW(Table1[#Headers]), 1, 0)</f>
        <v>0</v>
      </c>
      <c r="C728" t="s">
        <v>822</v>
      </c>
      <c r="D728" s="2">
        <v>45713</v>
      </c>
      <c r="E728">
        <v>69</v>
      </c>
      <c r="F728" t="str" cm="1">
        <f t="array" ref="F728">_xlfn.IFS( Table1[[#This Row],[Age]]&lt;18, "&lt;18", Table1[[#This Row],[Age]]&lt;= 29, "18-29", Table1[[#This Row],[Age]]&lt;= 44, "30-44",  Table1[[#This Row],[Age]]&lt;=59, "45-59", TRUE, "60+")</f>
        <v>60+</v>
      </c>
      <c r="G728" t="s">
        <v>213</v>
      </c>
      <c r="H728" t="s">
        <v>41</v>
      </c>
      <c r="I728" t="s">
        <v>21</v>
      </c>
      <c r="J728">
        <v>3</v>
      </c>
      <c r="K728" t="s">
        <v>50</v>
      </c>
      <c r="L728" t="str" cm="1">
        <f t="array" ref="L728">_xlfn.IFS(Table1[[#This Row],[Customer Tenure in months]]&lt;=6, "0-6 months", Table1[[#This Row],[Customer Tenure in months]] &lt;=12, "7-12 months", Table1[[#This Row],[Customer Tenure in months]] &lt;=24, "1-2 years", TRUE, "2+ years")</f>
        <v>1-2 years</v>
      </c>
      <c r="M728">
        <v>14</v>
      </c>
      <c r="N728" t="s">
        <v>62</v>
      </c>
      <c r="O728" s="1">
        <v>24000</v>
      </c>
      <c r="P728">
        <v>10</v>
      </c>
      <c r="Q728" s="1">
        <v>240000</v>
      </c>
      <c r="R728">
        <v>190.08</v>
      </c>
      <c r="S728" t="s">
        <v>1091</v>
      </c>
      <c r="T728" t="s">
        <v>39</v>
      </c>
    </row>
    <row r="729" spans="1:20" x14ac:dyDescent="0.35">
      <c r="A729" s="22" t="s">
        <v>823</v>
      </c>
      <c r="B729" cm="1">
        <f t="array" ref="B729">IF(MATCH(Table1[[#This Row],[Customer ID]], Table1[Customer ID], 0) = ROW() - ROW(Table1[#Headers]), 1, 0)</f>
        <v>1</v>
      </c>
      <c r="C729" t="s">
        <v>824</v>
      </c>
      <c r="D729" s="2">
        <v>45682</v>
      </c>
      <c r="E729">
        <v>69</v>
      </c>
      <c r="F729" t="str" cm="1">
        <f t="array" ref="F729">_xlfn.IFS( Table1[[#This Row],[Age]]&lt;18, "&lt;18", Table1[[#This Row],[Age]]&lt;= 29, "18-29", Table1[[#This Row],[Age]]&lt;= 44, "30-44",  Table1[[#This Row],[Age]]&lt;=59, "45-59", TRUE, "60+")</f>
        <v>60+</v>
      </c>
      <c r="G729" t="s">
        <v>452</v>
      </c>
      <c r="H729" t="s">
        <v>36</v>
      </c>
      <c r="I729" t="s">
        <v>21</v>
      </c>
      <c r="J729">
        <v>5</v>
      </c>
      <c r="K729" t="s">
        <v>55</v>
      </c>
      <c r="L729" t="str" cm="1">
        <f t="array" ref="L729">_xlfn.IFS(Table1[[#This Row],[Customer Tenure in months]]&lt;=6, "0-6 months", Table1[[#This Row],[Customer Tenure in months]] &lt;=12, "7-12 months", Table1[[#This Row],[Customer Tenure in months]] &lt;=24, "1-2 years", TRUE, "2+ years")</f>
        <v>1-2 years</v>
      </c>
      <c r="M729">
        <v>13</v>
      </c>
      <c r="N729" t="s">
        <v>57</v>
      </c>
      <c r="O729" s="1">
        <v>150000</v>
      </c>
      <c r="P729">
        <v>7</v>
      </c>
      <c r="Q729" s="1">
        <v>1050000</v>
      </c>
      <c r="R729">
        <v>154.18</v>
      </c>
      <c r="S729" t="s">
        <v>1091</v>
      </c>
      <c r="T729" t="s">
        <v>39</v>
      </c>
    </row>
    <row r="730" spans="1:20" x14ac:dyDescent="0.35">
      <c r="A730" s="22" t="s">
        <v>823</v>
      </c>
      <c r="B730" cm="1">
        <f t="array" ref="B730">IF(MATCH(Table1[[#This Row],[Customer ID]], Table1[Customer ID], 0) = ROW() - ROW(Table1[#Headers]), 1, 0)</f>
        <v>0</v>
      </c>
      <c r="C730" t="s">
        <v>824</v>
      </c>
      <c r="D730" s="2">
        <v>45682</v>
      </c>
      <c r="E730">
        <v>69</v>
      </c>
      <c r="F730" t="str" cm="1">
        <f t="array" ref="F730">_xlfn.IFS( Table1[[#This Row],[Age]]&lt;18, "&lt;18", Table1[[#This Row],[Age]]&lt;= 29, "18-29", Table1[[#This Row],[Age]]&lt;= 44, "30-44",  Table1[[#This Row],[Age]]&lt;=59, "45-59", TRUE, "60+")</f>
        <v>60+</v>
      </c>
      <c r="G730" t="s">
        <v>452</v>
      </c>
      <c r="H730" t="s">
        <v>29</v>
      </c>
      <c r="I730" t="s">
        <v>21</v>
      </c>
      <c r="J730">
        <v>5</v>
      </c>
      <c r="K730" t="s">
        <v>55</v>
      </c>
      <c r="L730" t="str" cm="1">
        <f t="array" ref="L730">_xlfn.IFS(Table1[[#This Row],[Customer Tenure in months]]&lt;=6, "0-6 months", Table1[[#This Row],[Customer Tenure in months]] &lt;=12, "7-12 months", Table1[[#This Row],[Customer Tenure in months]] &lt;=24, "1-2 years", TRUE, "2+ years")</f>
        <v>1-2 years</v>
      </c>
      <c r="M730">
        <v>13</v>
      </c>
      <c r="N730" t="s">
        <v>40</v>
      </c>
      <c r="O730" s="1">
        <v>500</v>
      </c>
      <c r="P730">
        <v>4</v>
      </c>
      <c r="Q730" s="1">
        <v>2000</v>
      </c>
      <c r="R730">
        <v>11.09</v>
      </c>
      <c r="S730" t="s">
        <v>1091</v>
      </c>
      <c r="T730" t="s">
        <v>39</v>
      </c>
    </row>
    <row r="731" spans="1:20" x14ac:dyDescent="0.35">
      <c r="A731" s="22" t="s">
        <v>823</v>
      </c>
      <c r="B731" cm="1">
        <f t="array" ref="B731">IF(MATCH(Table1[[#This Row],[Customer ID]], Table1[Customer ID], 0) = ROW() - ROW(Table1[#Headers]), 1, 0)</f>
        <v>0</v>
      </c>
      <c r="C731" t="s">
        <v>824</v>
      </c>
      <c r="D731" s="2">
        <v>45682</v>
      </c>
      <c r="E731">
        <v>69</v>
      </c>
      <c r="F731" t="str" cm="1">
        <f t="array" ref="F731">_xlfn.IFS( Table1[[#This Row],[Age]]&lt;18, "&lt;18", Table1[[#This Row],[Age]]&lt;= 29, "18-29", Table1[[#This Row],[Age]]&lt;= 44, "30-44",  Table1[[#This Row],[Age]]&lt;=59, "45-59", TRUE, "60+")</f>
        <v>60+</v>
      </c>
      <c r="G731" t="s">
        <v>452</v>
      </c>
      <c r="H731" t="s">
        <v>41</v>
      </c>
      <c r="I731" t="s">
        <v>21</v>
      </c>
      <c r="J731">
        <v>5</v>
      </c>
      <c r="K731" t="s">
        <v>55</v>
      </c>
      <c r="L731" t="str" cm="1">
        <f t="array" ref="L731">_xlfn.IFS(Table1[[#This Row],[Customer Tenure in months]]&lt;=6, "0-6 months", Table1[[#This Row],[Customer Tenure in months]] &lt;=12, "7-12 months", Table1[[#This Row],[Customer Tenure in months]] &lt;=24, "1-2 years", TRUE, "2+ years")</f>
        <v>1-2 years</v>
      </c>
      <c r="M731">
        <v>13</v>
      </c>
      <c r="N731" t="s">
        <v>38</v>
      </c>
      <c r="O731" s="1">
        <v>20000</v>
      </c>
      <c r="P731">
        <v>16</v>
      </c>
      <c r="Q731" s="1">
        <v>320000</v>
      </c>
      <c r="R731">
        <v>137.21</v>
      </c>
      <c r="S731" t="s">
        <v>1091</v>
      </c>
      <c r="T731" t="s">
        <v>39</v>
      </c>
    </row>
    <row r="732" spans="1:20" x14ac:dyDescent="0.35">
      <c r="A732" s="22" t="s">
        <v>825</v>
      </c>
      <c r="B732" cm="1">
        <f t="array" ref="B732">IF(MATCH(Table1[[#This Row],[Customer ID]], Table1[Customer ID], 0) = ROW() - ROW(Table1[#Headers]), 1, 0)</f>
        <v>1</v>
      </c>
      <c r="C732" t="s">
        <v>826</v>
      </c>
      <c r="D732" s="2">
        <v>45741</v>
      </c>
      <c r="E732">
        <v>38</v>
      </c>
      <c r="F732" t="str" cm="1">
        <f t="array" ref="F732">_xlfn.IFS( Table1[[#This Row],[Age]]&lt;18, "&lt;18", Table1[[#This Row],[Age]]&lt;= 29, "18-29", Table1[[#This Row],[Age]]&lt;= 44, "30-44",  Table1[[#This Row],[Age]]&lt;=59, "45-59", TRUE, "60+")</f>
        <v>30-44</v>
      </c>
      <c r="G732" t="s">
        <v>28</v>
      </c>
      <c r="H732" t="s">
        <v>29</v>
      </c>
      <c r="I732" t="s">
        <v>21</v>
      </c>
      <c r="J732">
        <v>3</v>
      </c>
      <c r="K732" t="s">
        <v>50</v>
      </c>
      <c r="L732" t="str" cm="1">
        <f t="array" ref="L732">_xlfn.IFS(Table1[[#This Row],[Customer Tenure in months]]&lt;=6, "0-6 months", Table1[[#This Row],[Customer Tenure in months]] &lt;=12, "7-12 months", Table1[[#This Row],[Customer Tenure in months]] &lt;=24, "1-2 years", TRUE, "2+ years")</f>
        <v>0-6 months</v>
      </c>
      <c r="M732">
        <v>4</v>
      </c>
      <c r="N732" t="s">
        <v>83</v>
      </c>
      <c r="O732" s="1">
        <v>1000</v>
      </c>
      <c r="P732">
        <v>18</v>
      </c>
      <c r="Q732" s="1">
        <v>18000</v>
      </c>
      <c r="R732">
        <v>148.21</v>
      </c>
      <c r="S732" t="s">
        <v>96</v>
      </c>
      <c r="T732" t="s">
        <v>24</v>
      </c>
    </row>
    <row r="733" spans="1:20" x14ac:dyDescent="0.35">
      <c r="A733" s="22" t="s">
        <v>825</v>
      </c>
      <c r="B733" cm="1">
        <f t="array" ref="B733">IF(MATCH(Table1[[#This Row],[Customer ID]], Table1[Customer ID], 0) = ROW() - ROW(Table1[#Headers]), 1, 0)</f>
        <v>0</v>
      </c>
      <c r="C733" t="s">
        <v>826</v>
      </c>
      <c r="D733" s="2">
        <v>45741</v>
      </c>
      <c r="E733">
        <v>38</v>
      </c>
      <c r="F733" t="str" cm="1">
        <f t="array" ref="F733">_xlfn.IFS( Table1[[#This Row],[Age]]&lt;18, "&lt;18", Table1[[#This Row],[Age]]&lt;= 29, "18-29", Table1[[#This Row],[Age]]&lt;= 44, "30-44",  Table1[[#This Row],[Age]]&lt;=59, "45-59", TRUE, "60+")</f>
        <v>30-44</v>
      </c>
      <c r="G733" t="s">
        <v>28</v>
      </c>
      <c r="H733" t="s">
        <v>41</v>
      </c>
      <c r="I733" t="s">
        <v>21</v>
      </c>
      <c r="J733">
        <v>3</v>
      </c>
      <c r="K733" t="s">
        <v>50</v>
      </c>
      <c r="L733" t="str" cm="1">
        <f t="array" ref="L733">_xlfn.IFS(Table1[[#This Row],[Customer Tenure in months]]&lt;=6, "0-6 months", Table1[[#This Row],[Customer Tenure in months]] &lt;=12, "7-12 months", Table1[[#This Row],[Customer Tenure in months]] &lt;=24, "1-2 years", TRUE, "2+ years")</f>
        <v>0-6 months</v>
      </c>
      <c r="M733">
        <v>4</v>
      </c>
      <c r="N733" t="s">
        <v>38</v>
      </c>
      <c r="O733" s="1">
        <v>20000</v>
      </c>
      <c r="P733">
        <v>1</v>
      </c>
      <c r="Q733" s="1">
        <v>20000</v>
      </c>
      <c r="R733">
        <v>32.03</v>
      </c>
      <c r="S733" t="s">
        <v>96</v>
      </c>
      <c r="T733" t="s">
        <v>24</v>
      </c>
    </row>
    <row r="734" spans="1:20" x14ac:dyDescent="0.35">
      <c r="A734" s="22" t="s">
        <v>827</v>
      </c>
      <c r="B734" cm="1">
        <f t="array" ref="B734">IF(MATCH(Table1[[#This Row],[Customer ID]], Table1[Customer ID], 0) = ROW() - ROW(Table1[#Headers]), 1, 0)</f>
        <v>1</v>
      </c>
      <c r="C734" t="s">
        <v>828</v>
      </c>
      <c r="D734" s="2">
        <v>45713</v>
      </c>
      <c r="E734">
        <v>30</v>
      </c>
      <c r="F734" t="str" cm="1">
        <f t="array" ref="F734">_xlfn.IFS( Table1[[#This Row],[Age]]&lt;18, "&lt;18", Table1[[#This Row],[Age]]&lt;= 29, "18-29", Table1[[#This Row],[Age]]&lt;= 44, "30-44",  Table1[[#This Row],[Age]]&lt;=59, "45-59", TRUE, "60+")</f>
        <v>30-44</v>
      </c>
      <c r="G734" t="s">
        <v>146</v>
      </c>
      <c r="H734" t="s">
        <v>20</v>
      </c>
      <c r="I734" t="s">
        <v>21</v>
      </c>
      <c r="J734">
        <v>5</v>
      </c>
      <c r="K734" t="s">
        <v>55</v>
      </c>
      <c r="L734" t="str" cm="1">
        <f t="array" ref="L734">_xlfn.IFS(Table1[[#This Row],[Customer Tenure in months]]&lt;=6, "0-6 months", Table1[[#This Row],[Customer Tenure in months]] &lt;=12, "7-12 months", Table1[[#This Row],[Customer Tenure in months]] &lt;=24, "1-2 years", TRUE, "2+ years")</f>
        <v>2+ years</v>
      </c>
      <c r="M734">
        <v>47</v>
      </c>
      <c r="N734" t="s">
        <v>51</v>
      </c>
      <c r="O734" s="1">
        <v>9000</v>
      </c>
      <c r="P734">
        <v>4</v>
      </c>
      <c r="Q734" s="1">
        <v>36000</v>
      </c>
      <c r="R734">
        <v>46.4</v>
      </c>
      <c r="S734" t="s">
        <v>1091</v>
      </c>
      <c r="T734" t="s">
        <v>39</v>
      </c>
    </row>
    <row r="735" spans="1:20" x14ac:dyDescent="0.35">
      <c r="A735" s="22" t="s">
        <v>827</v>
      </c>
      <c r="B735" cm="1">
        <f t="array" ref="B735">IF(MATCH(Table1[[#This Row],[Customer ID]], Table1[Customer ID], 0) = ROW() - ROW(Table1[#Headers]), 1, 0)</f>
        <v>0</v>
      </c>
      <c r="C735" t="s">
        <v>828</v>
      </c>
      <c r="D735" s="2">
        <v>45713</v>
      </c>
      <c r="E735">
        <v>30</v>
      </c>
      <c r="F735" t="str" cm="1">
        <f t="array" ref="F735">_xlfn.IFS( Table1[[#This Row],[Age]]&lt;18, "&lt;18", Table1[[#This Row],[Age]]&lt;= 29, "18-29", Table1[[#This Row],[Age]]&lt;= 44, "30-44",  Table1[[#This Row],[Age]]&lt;=59, "45-59", TRUE, "60+")</f>
        <v>30-44</v>
      </c>
      <c r="G735" t="s">
        <v>146</v>
      </c>
      <c r="H735" t="s">
        <v>36</v>
      </c>
      <c r="I735" t="s">
        <v>21</v>
      </c>
      <c r="J735">
        <v>5</v>
      </c>
      <c r="K735" t="s">
        <v>55</v>
      </c>
      <c r="L735" t="str" cm="1">
        <f t="array" ref="L735">_xlfn.IFS(Table1[[#This Row],[Customer Tenure in months]]&lt;=6, "0-6 months", Table1[[#This Row],[Customer Tenure in months]] &lt;=12, "7-12 months", Table1[[#This Row],[Customer Tenure in months]] &lt;=24, "1-2 years", TRUE, "2+ years")</f>
        <v>2+ years</v>
      </c>
      <c r="M735">
        <v>47</v>
      </c>
      <c r="N735" t="s">
        <v>115</v>
      </c>
      <c r="O735" s="1">
        <v>25000</v>
      </c>
      <c r="P735">
        <v>8</v>
      </c>
      <c r="Q735" s="1">
        <v>200000</v>
      </c>
      <c r="R735">
        <v>45.94</v>
      </c>
      <c r="S735" t="s">
        <v>1091</v>
      </c>
      <c r="T735" t="s">
        <v>39</v>
      </c>
    </row>
    <row r="736" spans="1:20" x14ac:dyDescent="0.35">
      <c r="A736" s="22" t="s">
        <v>829</v>
      </c>
      <c r="B736" cm="1">
        <f t="array" ref="B736">IF(MATCH(Table1[[#This Row],[Customer ID]], Table1[Customer ID], 0) = ROW() - ROW(Table1[#Headers]), 1, 0)</f>
        <v>1</v>
      </c>
      <c r="C736" t="s">
        <v>830</v>
      </c>
      <c r="D736" s="2">
        <v>45713</v>
      </c>
      <c r="E736">
        <v>41</v>
      </c>
      <c r="F736" t="str" cm="1">
        <f t="array" ref="F736">_xlfn.IFS( Table1[[#This Row],[Age]]&lt;18, "&lt;18", Table1[[#This Row],[Age]]&lt;= 29, "18-29", Table1[[#This Row],[Age]]&lt;= 44, "30-44",  Table1[[#This Row],[Age]]&lt;=59, "45-59", TRUE, "60+")</f>
        <v>30-44</v>
      </c>
      <c r="G736" t="s">
        <v>61</v>
      </c>
      <c r="H736" t="s">
        <v>20</v>
      </c>
      <c r="I736" t="s">
        <v>21</v>
      </c>
      <c r="J736">
        <v>5</v>
      </c>
      <c r="K736" t="s">
        <v>55</v>
      </c>
      <c r="L736" t="str" cm="1">
        <f t="array" ref="L736">_xlfn.IFS(Table1[[#This Row],[Customer Tenure in months]]&lt;=6, "0-6 months", Table1[[#This Row],[Customer Tenure in months]] &lt;=12, "7-12 months", Table1[[#This Row],[Customer Tenure in months]] &lt;=24, "1-2 years", TRUE, "2+ years")</f>
        <v>0-6 months</v>
      </c>
      <c r="M736">
        <v>5</v>
      </c>
      <c r="N736" t="s">
        <v>23</v>
      </c>
      <c r="O736" s="1">
        <v>35000</v>
      </c>
      <c r="P736">
        <v>12</v>
      </c>
      <c r="Q736" s="1">
        <v>420000</v>
      </c>
      <c r="R736">
        <v>36.020000000000003</v>
      </c>
      <c r="S736" t="s">
        <v>1091</v>
      </c>
      <c r="T736" t="s">
        <v>39</v>
      </c>
    </row>
    <row r="737" spans="1:20" x14ac:dyDescent="0.35">
      <c r="A737" s="22" t="s">
        <v>829</v>
      </c>
      <c r="B737" cm="1">
        <f t="array" ref="B737">IF(MATCH(Table1[[#This Row],[Customer ID]], Table1[Customer ID], 0) = ROW() - ROW(Table1[#Headers]), 1, 0)</f>
        <v>0</v>
      </c>
      <c r="C737" t="s">
        <v>830</v>
      </c>
      <c r="D737" s="2">
        <v>45713</v>
      </c>
      <c r="E737">
        <v>41</v>
      </c>
      <c r="F737" t="str" cm="1">
        <f t="array" ref="F737">_xlfn.IFS( Table1[[#This Row],[Age]]&lt;18, "&lt;18", Table1[[#This Row],[Age]]&lt;= 29, "18-29", Table1[[#This Row],[Age]]&lt;= 44, "30-44",  Table1[[#This Row],[Age]]&lt;=59, "45-59", TRUE, "60+")</f>
        <v>30-44</v>
      </c>
      <c r="G737" t="s">
        <v>61</v>
      </c>
      <c r="H737" t="s">
        <v>41</v>
      </c>
      <c r="I737" t="s">
        <v>21</v>
      </c>
      <c r="J737">
        <v>5</v>
      </c>
      <c r="K737" t="s">
        <v>55</v>
      </c>
      <c r="L737" t="str" cm="1">
        <f t="array" ref="L737">_xlfn.IFS(Table1[[#This Row],[Customer Tenure in months]]&lt;=6, "0-6 months", Table1[[#This Row],[Customer Tenure in months]] &lt;=12, "7-12 months", Table1[[#This Row],[Customer Tenure in months]] &lt;=24, "1-2 years", TRUE, "2+ years")</f>
        <v>0-6 months</v>
      </c>
      <c r="M737">
        <v>5</v>
      </c>
      <c r="N737" t="s">
        <v>38</v>
      </c>
      <c r="O737" s="1">
        <v>20000</v>
      </c>
      <c r="P737">
        <v>7</v>
      </c>
      <c r="Q737" s="1">
        <v>140000</v>
      </c>
      <c r="R737">
        <v>91.82</v>
      </c>
      <c r="S737" t="s">
        <v>1091</v>
      </c>
      <c r="T737" t="s">
        <v>39</v>
      </c>
    </row>
    <row r="738" spans="1:20" x14ac:dyDescent="0.35">
      <c r="A738" s="22" t="s">
        <v>831</v>
      </c>
      <c r="B738" cm="1">
        <f t="array" ref="B738">IF(MATCH(Table1[[#This Row],[Customer ID]], Table1[Customer ID], 0) = ROW() - ROW(Table1[#Headers]), 1, 0)</f>
        <v>1</v>
      </c>
      <c r="C738" t="s">
        <v>832</v>
      </c>
      <c r="D738" s="2">
        <v>45682</v>
      </c>
      <c r="E738">
        <v>50</v>
      </c>
      <c r="F738" t="str" cm="1">
        <f t="array" ref="F738">_xlfn.IFS( Table1[[#This Row],[Age]]&lt;18, "&lt;18", Table1[[#This Row],[Age]]&lt;= 29, "18-29", Table1[[#This Row],[Age]]&lt;= 44, "30-44",  Table1[[#This Row],[Age]]&lt;=59, "45-59", TRUE, "60+")</f>
        <v>45-59</v>
      </c>
      <c r="G738" t="s">
        <v>121</v>
      </c>
      <c r="H738" t="s">
        <v>29</v>
      </c>
      <c r="I738" t="s">
        <v>30</v>
      </c>
      <c r="J738">
        <v>5</v>
      </c>
      <c r="K738" t="s">
        <v>55</v>
      </c>
      <c r="L738" t="str" cm="1">
        <f t="array" ref="L738">_xlfn.IFS(Table1[[#This Row],[Customer Tenure in months]]&lt;=6, "0-6 months", Table1[[#This Row],[Customer Tenure in months]] &lt;=12, "7-12 months", Table1[[#This Row],[Customer Tenure in months]] &lt;=24, "1-2 years", TRUE, "2+ years")</f>
        <v>7-12 months</v>
      </c>
      <c r="M738">
        <v>9</v>
      </c>
      <c r="N738" t="s">
        <v>31</v>
      </c>
      <c r="O738" s="1">
        <v>5500</v>
      </c>
      <c r="P738">
        <v>11</v>
      </c>
      <c r="Q738" s="1">
        <v>60500</v>
      </c>
      <c r="R738">
        <v>83.94</v>
      </c>
      <c r="S738" t="s">
        <v>265</v>
      </c>
      <c r="T738" t="s">
        <v>24</v>
      </c>
    </row>
    <row r="739" spans="1:20" x14ac:dyDescent="0.35">
      <c r="A739" s="22" t="s">
        <v>833</v>
      </c>
      <c r="B739" cm="1">
        <f t="array" ref="B739">IF(MATCH(Table1[[#This Row],[Customer ID]], Table1[Customer ID], 0) = ROW() - ROW(Table1[#Headers]), 1, 0)</f>
        <v>1</v>
      </c>
      <c r="C739" t="s">
        <v>834</v>
      </c>
      <c r="D739" s="2">
        <v>45713</v>
      </c>
      <c r="E739">
        <v>53</v>
      </c>
      <c r="F739" t="str" cm="1">
        <f t="array" ref="F739">_xlfn.IFS( Table1[[#This Row],[Age]]&lt;18, "&lt;18", Table1[[#This Row],[Age]]&lt;= 29, "18-29", Table1[[#This Row],[Age]]&lt;= 44, "30-44",  Table1[[#This Row],[Age]]&lt;=59, "45-59", TRUE, "60+")</f>
        <v>45-59</v>
      </c>
      <c r="G739" t="s">
        <v>28</v>
      </c>
      <c r="H739" t="s">
        <v>29</v>
      </c>
      <c r="I739" t="s">
        <v>21</v>
      </c>
      <c r="J739">
        <v>1</v>
      </c>
      <c r="K739" t="s">
        <v>37</v>
      </c>
      <c r="L739" t="str" cm="1">
        <f t="array" ref="L739">_xlfn.IFS(Table1[[#This Row],[Customer Tenure in months]]&lt;=6, "0-6 months", Table1[[#This Row],[Customer Tenure in months]] &lt;=12, "7-12 months", Table1[[#This Row],[Customer Tenure in months]] &lt;=24, "1-2 years", TRUE, "2+ years")</f>
        <v>2+ years</v>
      </c>
      <c r="M739">
        <v>37</v>
      </c>
      <c r="N739" t="s">
        <v>31</v>
      </c>
      <c r="O739" s="1">
        <v>5500</v>
      </c>
      <c r="P739">
        <v>14</v>
      </c>
      <c r="Q739" s="1">
        <v>77000</v>
      </c>
      <c r="R739">
        <v>56.19</v>
      </c>
      <c r="S739" t="s">
        <v>1091</v>
      </c>
      <c r="T739" t="s">
        <v>39</v>
      </c>
    </row>
    <row r="740" spans="1:20" x14ac:dyDescent="0.35">
      <c r="A740" s="22" t="s">
        <v>833</v>
      </c>
      <c r="B740" cm="1">
        <f t="array" ref="B740">IF(MATCH(Table1[[#This Row],[Customer ID]], Table1[Customer ID], 0) = ROW() - ROW(Table1[#Headers]), 1, 0)</f>
        <v>0</v>
      </c>
      <c r="C740" t="s">
        <v>834</v>
      </c>
      <c r="D740" s="2">
        <v>45713</v>
      </c>
      <c r="E740">
        <v>53</v>
      </c>
      <c r="F740" t="str" cm="1">
        <f t="array" ref="F740">_xlfn.IFS( Table1[[#This Row],[Age]]&lt;18, "&lt;18", Table1[[#This Row],[Age]]&lt;= 29, "18-29", Table1[[#This Row],[Age]]&lt;= 44, "30-44",  Table1[[#This Row],[Age]]&lt;=59, "45-59", TRUE, "60+")</f>
        <v>45-59</v>
      </c>
      <c r="G740" t="s">
        <v>28</v>
      </c>
      <c r="H740" t="s">
        <v>41</v>
      </c>
      <c r="I740" t="s">
        <v>21</v>
      </c>
      <c r="J740">
        <v>1</v>
      </c>
      <c r="K740" t="s">
        <v>37</v>
      </c>
      <c r="L740" t="str" cm="1">
        <f t="array" ref="L740">_xlfn.IFS(Table1[[#This Row],[Customer Tenure in months]]&lt;=6, "0-6 months", Table1[[#This Row],[Customer Tenure in months]] &lt;=12, "7-12 months", Table1[[#This Row],[Customer Tenure in months]] &lt;=24, "1-2 years", TRUE, "2+ years")</f>
        <v>2+ years</v>
      </c>
      <c r="M740">
        <v>37</v>
      </c>
      <c r="N740" t="s">
        <v>38</v>
      </c>
      <c r="O740" s="1">
        <v>20000</v>
      </c>
      <c r="P740">
        <v>14</v>
      </c>
      <c r="Q740" s="1">
        <v>280000</v>
      </c>
      <c r="R740">
        <v>49.94</v>
      </c>
      <c r="S740" t="s">
        <v>1091</v>
      </c>
      <c r="T740" t="s">
        <v>39</v>
      </c>
    </row>
    <row r="741" spans="1:20" x14ac:dyDescent="0.35">
      <c r="A741" s="22" t="s">
        <v>833</v>
      </c>
      <c r="B741" cm="1">
        <f t="array" ref="B741">IF(MATCH(Table1[[#This Row],[Customer ID]], Table1[Customer ID], 0) = ROW() - ROW(Table1[#Headers]), 1, 0)</f>
        <v>0</v>
      </c>
      <c r="C741" t="s">
        <v>834</v>
      </c>
      <c r="D741" s="2">
        <v>45713</v>
      </c>
      <c r="E741">
        <v>53</v>
      </c>
      <c r="F741" t="str" cm="1">
        <f t="array" ref="F741">_xlfn.IFS( Table1[[#This Row],[Age]]&lt;18, "&lt;18", Table1[[#This Row],[Age]]&lt;= 29, "18-29", Table1[[#This Row],[Age]]&lt;= 44, "30-44",  Table1[[#This Row],[Age]]&lt;=59, "45-59", TRUE, "60+")</f>
        <v>45-59</v>
      </c>
      <c r="G741" t="s">
        <v>28</v>
      </c>
      <c r="H741" t="s">
        <v>20</v>
      </c>
      <c r="I741" t="s">
        <v>21</v>
      </c>
      <c r="J741">
        <v>1</v>
      </c>
      <c r="K741" t="s">
        <v>37</v>
      </c>
      <c r="L741" t="str" cm="1">
        <f t="array" ref="L741">_xlfn.IFS(Table1[[#This Row],[Customer Tenure in months]]&lt;=6, "0-6 months", Table1[[#This Row],[Customer Tenure in months]] &lt;=12, "7-12 months", Table1[[#This Row],[Customer Tenure in months]] &lt;=24, "1-2 years", TRUE, "2+ years")</f>
        <v>2+ years</v>
      </c>
      <c r="M741">
        <v>37</v>
      </c>
      <c r="N741" t="s">
        <v>46</v>
      </c>
      <c r="O741" s="1">
        <v>4500</v>
      </c>
      <c r="P741">
        <v>19</v>
      </c>
      <c r="Q741" s="1">
        <v>85500</v>
      </c>
      <c r="R741">
        <v>178.42</v>
      </c>
      <c r="S741" t="s">
        <v>1091</v>
      </c>
      <c r="T741" t="s">
        <v>39</v>
      </c>
    </row>
    <row r="742" spans="1:20" x14ac:dyDescent="0.35">
      <c r="A742" s="22" t="s">
        <v>835</v>
      </c>
      <c r="B742" cm="1">
        <f t="array" ref="B742">IF(MATCH(Table1[[#This Row],[Customer ID]], Table1[Customer ID], 0) = ROW() - ROW(Table1[#Headers]), 1, 0)</f>
        <v>1</v>
      </c>
      <c r="C742" t="s">
        <v>433</v>
      </c>
      <c r="D742" s="2">
        <v>45713</v>
      </c>
      <c r="E742">
        <v>16</v>
      </c>
      <c r="F742" t="str" cm="1">
        <f t="array" ref="F742">_xlfn.IFS( Table1[[#This Row],[Age]]&lt;18, "&lt;18", Table1[[#This Row],[Age]]&lt;= 29, "18-29", Table1[[#This Row],[Age]]&lt;= 44, "30-44",  Table1[[#This Row],[Age]]&lt;=59, "45-59", TRUE, "60+")</f>
        <v>&lt;18</v>
      </c>
      <c r="G742" t="s">
        <v>110</v>
      </c>
      <c r="H742" t="s">
        <v>29</v>
      </c>
      <c r="I742" t="s">
        <v>21</v>
      </c>
      <c r="J742">
        <v>5</v>
      </c>
      <c r="K742" t="s">
        <v>55</v>
      </c>
      <c r="L742" t="str" cm="1">
        <f t="array" ref="L742">_xlfn.IFS(Table1[[#This Row],[Customer Tenure in months]]&lt;=6, "0-6 months", Table1[[#This Row],[Customer Tenure in months]] &lt;=12, "7-12 months", Table1[[#This Row],[Customer Tenure in months]] &lt;=24, "1-2 years", TRUE, "2+ years")</f>
        <v>0-6 months</v>
      </c>
      <c r="M742">
        <v>3</v>
      </c>
      <c r="N742" t="s">
        <v>83</v>
      </c>
      <c r="O742" s="1">
        <v>1000</v>
      </c>
      <c r="P742">
        <v>8</v>
      </c>
      <c r="Q742" s="1">
        <v>8000</v>
      </c>
      <c r="R742">
        <v>90.76</v>
      </c>
      <c r="S742" t="s">
        <v>25</v>
      </c>
      <c r="T742" t="s">
        <v>24</v>
      </c>
    </row>
    <row r="743" spans="1:20" x14ac:dyDescent="0.35">
      <c r="A743" s="22" t="s">
        <v>836</v>
      </c>
      <c r="B743" cm="1">
        <f t="array" ref="B743">IF(MATCH(Table1[[#This Row],[Customer ID]], Table1[Customer ID], 0) = ROW() - ROW(Table1[#Headers]), 1, 0)</f>
        <v>1</v>
      </c>
      <c r="C743" t="s">
        <v>837</v>
      </c>
      <c r="D743" s="2">
        <v>45741</v>
      </c>
      <c r="E743">
        <v>17</v>
      </c>
      <c r="F743" t="str" cm="1">
        <f t="array" ref="F743">_xlfn.IFS( Table1[[#This Row],[Age]]&lt;18, "&lt;18", Table1[[#This Row],[Age]]&lt;= 29, "18-29", Table1[[#This Row],[Age]]&lt;= 44, "30-44",  Table1[[#This Row],[Age]]&lt;=59, "45-59", TRUE, "60+")</f>
        <v>&lt;18</v>
      </c>
      <c r="G743" t="s">
        <v>110</v>
      </c>
      <c r="H743" t="s">
        <v>29</v>
      </c>
      <c r="I743" t="s">
        <v>21</v>
      </c>
      <c r="J743">
        <v>3</v>
      </c>
      <c r="K743" t="s">
        <v>50</v>
      </c>
      <c r="L743" t="str" cm="1">
        <f t="array" ref="L743">_xlfn.IFS(Table1[[#This Row],[Customer Tenure in months]]&lt;=6, "0-6 months", Table1[[#This Row],[Customer Tenure in months]] &lt;=12, "7-12 months", Table1[[#This Row],[Customer Tenure in months]] &lt;=24, "1-2 years", TRUE, "2+ years")</f>
        <v>7-12 months</v>
      </c>
      <c r="M743">
        <v>9</v>
      </c>
      <c r="N743" t="s">
        <v>40</v>
      </c>
      <c r="O743" s="1">
        <v>500</v>
      </c>
      <c r="P743">
        <v>15</v>
      </c>
      <c r="Q743" s="1">
        <v>7500</v>
      </c>
      <c r="R743">
        <v>32.78</v>
      </c>
      <c r="S743" t="s">
        <v>76</v>
      </c>
      <c r="T743" t="s">
        <v>24</v>
      </c>
    </row>
    <row r="744" spans="1:20" x14ac:dyDescent="0.35">
      <c r="A744" s="22" t="s">
        <v>838</v>
      </c>
      <c r="B744" cm="1">
        <f t="array" ref="B744">IF(MATCH(Table1[[#This Row],[Customer ID]], Table1[Customer ID], 0) = ROW() - ROW(Table1[#Headers]), 1, 0)</f>
        <v>1</v>
      </c>
      <c r="C744" t="s">
        <v>839</v>
      </c>
      <c r="D744" s="2">
        <v>45713</v>
      </c>
      <c r="E744">
        <v>74</v>
      </c>
      <c r="F744" t="str" cm="1">
        <f t="array" ref="F744">_xlfn.IFS( Table1[[#This Row],[Age]]&lt;18, "&lt;18", Table1[[#This Row],[Age]]&lt;= 29, "18-29", Table1[[#This Row],[Age]]&lt;= 44, "30-44",  Table1[[#This Row],[Age]]&lt;=59, "45-59", TRUE, "60+")</f>
        <v>60+</v>
      </c>
      <c r="G744" t="s">
        <v>35</v>
      </c>
      <c r="H744" t="s">
        <v>29</v>
      </c>
      <c r="I744" t="s">
        <v>21</v>
      </c>
      <c r="J744">
        <v>2</v>
      </c>
      <c r="K744" t="s">
        <v>22</v>
      </c>
      <c r="L744" t="str" cm="1">
        <f t="array" ref="L744">_xlfn.IFS(Table1[[#This Row],[Customer Tenure in months]]&lt;=6, "0-6 months", Table1[[#This Row],[Customer Tenure in months]] &lt;=12, "7-12 months", Table1[[#This Row],[Customer Tenure in months]] &lt;=24, "1-2 years", TRUE, "2+ years")</f>
        <v>2+ years</v>
      </c>
      <c r="M744">
        <v>56</v>
      </c>
      <c r="N744" t="s">
        <v>102</v>
      </c>
      <c r="O744" s="1">
        <v>900</v>
      </c>
      <c r="P744">
        <v>3</v>
      </c>
      <c r="Q744" s="1">
        <v>2700</v>
      </c>
      <c r="R744">
        <v>172.15</v>
      </c>
      <c r="S744" t="s">
        <v>1091</v>
      </c>
      <c r="T744" t="s">
        <v>39</v>
      </c>
    </row>
    <row r="745" spans="1:20" x14ac:dyDescent="0.35">
      <c r="A745" s="22" t="s">
        <v>838</v>
      </c>
      <c r="B745" cm="1">
        <f t="array" ref="B745">IF(MATCH(Table1[[#This Row],[Customer ID]], Table1[Customer ID], 0) = ROW() - ROW(Table1[#Headers]), 1, 0)</f>
        <v>0</v>
      </c>
      <c r="C745" t="s">
        <v>839</v>
      </c>
      <c r="D745" s="2">
        <v>45713</v>
      </c>
      <c r="E745">
        <v>74</v>
      </c>
      <c r="F745" t="str" cm="1">
        <f t="array" ref="F745">_xlfn.IFS( Table1[[#This Row],[Age]]&lt;18, "&lt;18", Table1[[#This Row],[Age]]&lt;= 29, "18-29", Table1[[#This Row],[Age]]&lt;= 44, "30-44",  Table1[[#This Row],[Age]]&lt;=59, "45-59", TRUE, "60+")</f>
        <v>60+</v>
      </c>
      <c r="G745" t="s">
        <v>35</v>
      </c>
      <c r="H745" t="s">
        <v>36</v>
      </c>
      <c r="I745" t="s">
        <v>21</v>
      </c>
      <c r="J745">
        <v>2</v>
      </c>
      <c r="K745" t="s">
        <v>22</v>
      </c>
      <c r="L745" t="str" cm="1">
        <f t="array" ref="L745">_xlfn.IFS(Table1[[#This Row],[Customer Tenure in months]]&lt;=6, "0-6 months", Table1[[#This Row],[Customer Tenure in months]] &lt;=12, "7-12 months", Table1[[#This Row],[Customer Tenure in months]] &lt;=24, "1-2 years", TRUE, "2+ years")</f>
        <v>2+ years</v>
      </c>
      <c r="M745">
        <v>56</v>
      </c>
      <c r="N745" t="s">
        <v>105</v>
      </c>
      <c r="O745" s="1">
        <v>75000</v>
      </c>
      <c r="P745">
        <v>11</v>
      </c>
      <c r="Q745" s="1">
        <v>825000</v>
      </c>
      <c r="R745">
        <v>178.74</v>
      </c>
      <c r="S745" t="s">
        <v>1091</v>
      </c>
      <c r="T745" t="s">
        <v>39</v>
      </c>
    </row>
    <row r="746" spans="1:20" x14ac:dyDescent="0.35">
      <c r="A746" s="22" t="s">
        <v>840</v>
      </c>
      <c r="B746" cm="1">
        <f t="array" ref="B746">IF(MATCH(Table1[[#This Row],[Customer ID]], Table1[Customer ID], 0) = ROW() - ROW(Table1[#Headers]), 1, 0)</f>
        <v>1</v>
      </c>
      <c r="C746" t="s">
        <v>841</v>
      </c>
      <c r="D746" s="2">
        <v>45741</v>
      </c>
      <c r="E746">
        <v>20</v>
      </c>
      <c r="F746" t="str" cm="1">
        <f t="array" ref="F746">_xlfn.IFS( Table1[[#This Row],[Age]]&lt;18, "&lt;18", Table1[[#This Row],[Age]]&lt;= 29, "18-29", Table1[[#This Row],[Age]]&lt;= 44, "30-44",  Table1[[#This Row],[Age]]&lt;=59, "45-59", TRUE, "60+")</f>
        <v>18-29</v>
      </c>
      <c r="G746" t="s">
        <v>101</v>
      </c>
      <c r="H746" t="s">
        <v>41</v>
      </c>
      <c r="I746" t="s">
        <v>30</v>
      </c>
      <c r="J746">
        <v>5</v>
      </c>
      <c r="K746" t="s">
        <v>55</v>
      </c>
      <c r="L746" t="str" cm="1">
        <f t="array" ref="L746">_xlfn.IFS(Table1[[#This Row],[Customer Tenure in months]]&lt;=6, "0-6 months", Table1[[#This Row],[Customer Tenure in months]] &lt;=12, "7-12 months", Table1[[#This Row],[Customer Tenure in months]] &lt;=24, "1-2 years", TRUE, "2+ years")</f>
        <v>2+ years</v>
      </c>
      <c r="M746">
        <v>49</v>
      </c>
      <c r="N746" t="s">
        <v>62</v>
      </c>
      <c r="O746" s="1">
        <v>24000</v>
      </c>
      <c r="P746">
        <v>2</v>
      </c>
      <c r="Q746" s="1">
        <v>48000</v>
      </c>
      <c r="R746">
        <v>176.23</v>
      </c>
      <c r="S746" t="s">
        <v>1091</v>
      </c>
      <c r="T746" t="s">
        <v>39</v>
      </c>
    </row>
    <row r="747" spans="1:20" x14ac:dyDescent="0.35">
      <c r="A747" s="22" t="s">
        <v>842</v>
      </c>
      <c r="B747" cm="1">
        <f t="array" ref="B747">IF(MATCH(Table1[[#This Row],[Customer ID]], Table1[Customer ID], 0) = ROW() - ROW(Table1[#Headers]), 1, 0)</f>
        <v>1</v>
      </c>
      <c r="C747" t="s">
        <v>843</v>
      </c>
      <c r="D747" s="2">
        <v>45741</v>
      </c>
      <c r="E747">
        <v>62</v>
      </c>
      <c r="F747" t="str" cm="1">
        <f t="array" ref="F747">_xlfn.IFS( Table1[[#This Row],[Age]]&lt;18, "&lt;18", Table1[[#This Row],[Age]]&lt;= 29, "18-29", Table1[[#This Row],[Age]]&lt;= 44, "30-44",  Table1[[#This Row],[Age]]&lt;=59, "45-59", TRUE, "60+")</f>
        <v>60+</v>
      </c>
      <c r="G747" t="s">
        <v>49</v>
      </c>
      <c r="H747" t="s">
        <v>36</v>
      </c>
      <c r="I747" t="s">
        <v>21</v>
      </c>
      <c r="J747">
        <v>4</v>
      </c>
      <c r="K747" t="s">
        <v>114</v>
      </c>
      <c r="L747" t="str" cm="1">
        <f t="array" ref="L747">_xlfn.IFS(Table1[[#This Row],[Customer Tenure in months]]&lt;=6, "0-6 months", Table1[[#This Row],[Customer Tenure in months]] &lt;=12, "7-12 months", Table1[[#This Row],[Customer Tenure in months]] &lt;=24, "1-2 years", TRUE, "2+ years")</f>
        <v>2+ years</v>
      </c>
      <c r="M747">
        <v>25</v>
      </c>
      <c r="N747" t="s">
        <v>38</v>
      </c>
      <c r="O747" s="1">
        <v>20000</v>
      </c>
      <c r="P747">
        <v>7</v>
      </c>
      <c r="Q747" s="1">
        <v>140000</v>
      </c>
      <c r="R747">
        <v>112.37</v>
      </c>
      <c r="S747" t="s">
        <v>1091</v>
      </c>
      <c r="T747" t="s">
        <v>39</v>
      </c>
    </row>
    <row r="748" spans="1:20" x14ac:dyDescent="0.35">
      <c r="A748" s="22" t="s">
        <v>842</v>
      </c>
      <c r="B748" cm="1">
        <f t="array" ref="B748">IF(MATCH(Table1[[#This Row],[Customer ID]], Table1[Customer ID], 0) = ROW() - ROW(Table1[#Headers]), 1, 0)</f>
        <v>0</v>
      </c>
      <c r="C748" t="s">
        <v>843</v>
      </c>
      <c r="D748" s="2">
        <v>45741</v>
      </c>
      <c r="E748">
        <v>62</v>
      </c>
      <c r="F748" t="str" cm="1">
        <f t="array" ref="F748">_xlfn.IFS( Table1[[#This Row],[Age]]&lt;18, "&lt;18", Table1[[#This Row],[Age]]&lt;= 29, "18-29", Table1[[#This Row],[Age]]&lt;= 44, "30-44",  Table1[[#This Row],[Age]]&lt;=59, "45-59", TRUE, "60+")</f>
        <v>60+</v>
      </c>
      <c r="G748" t="s">
        <v>49</v>
      </c>
      <c r="H748" t="s">
        <v>41</v>
      </c>
      <c r="I748" t="s">
        <v>21</v>
      </c>
      <c r="J748">
        <v>4</v>
      </c>
      <c r="K748" t="s">
        <v>114</v>
      </c>
      <c r="L748" t="str" cm="1">
        <f t="array" ref="L748">_xlfn.IFS(Table1[[#This Row],[Customer Tenure in months]]&lt;=6, "0-6 months", Table1[[#This Row],[Customer Tenure in months]] &lt;=12, "7-12 months", Table1[[#This Row],[Customer Tenure in months]] &lt;=24, "1-2 years", TRUE, "2+ years")</f>
        <v>2+ years</v>
      </c>
      <c r="M748">
        <v>25</v>
      </c>
      <c r="N748" t="s">
        <v>38</v>
      </c>
      <c r="O748" s="1">
        <v>20000</v>
      </c>
      <c r="P748">
        <v>8</v>
      </c>
      <c r="Q748" s="1">
        <v>160000</v>
      </c>
      <c r="R748">
        <v>196.26</v>
      </c>
      <c r="S748" t="s">
        <v>1091</v>
      </c>
      <c r="T748" t="s">
        <v>39</v>
      </c>
    </row>
    <row r="749" spans="1:20" x14ac:dyDescent="0.35">
      <c r="A749" s="22" t="s">
        <v>844</v>
      </c>
      <c r="B749" cm="1">
        <f t="array" ref="B749">IF(MATCH(Table1[[#This Row],[Customer ID]], Table1[Customer ID], 0) = ROW() - ROW(Table1[#Headers]), 1, 0)</f>
        <v>1</v>
      </c>
      <c r="C749" t="s">
        <v>845</v>
      </c>
      <c r="D749" s="2">
        <v>45713</v>
      </c>
      <c r="E749">
        <v>30</v>
      </c>
      <c r="F749" t="str" cm="1">
        <f t="array" ref="F749">_xlfn.IFS( Table1[[#This Row],[Age]]&lt;18, "&lt;18", Table1[[#This Row],[Age]]&lt;= 29, "18-29", Table1[[#This Row],[Age]]&lt;= 44, "30-44",  Table1[[#This Row],[Age]]&lt;=59, "45-59", TRUE, "60+")</f>
        <v>30-44</v>
      </c>
      <c r="G749" t="s">
        <v>213</v>
      </c>
      <c r="H749" t="s">
        <v>29</v>
      </c>
      <c r="I749" t="s">
        <v>21</v>
      </c>
      <c r="J749">
        <v>3</v>
      </c>
      <c r="K749" t="s">
        <v>50</v>
      </c>
      <c r="L749" t="str" cm="1">
        <f t="array" ref="L749">_xlfn.IFS(Table1[[#This Row],[Customer Tenure in months]]&lt;=6, "0-6 months", Table1[[#This Row],[Customer Tenure in months]] &lt;=12, "7-12 months", Table1[[#This Row],[Customer Tenure in months]] &lt;=24, "1-2 years", TRUE, "2+ years")</f>
        <v>2+ years</v>
      </c>
      <c r="M749">
        <v>49</v>
      </c>
      <c r="N749" t="s">
        <v>102</v>
      </c>
      <c r="O749" s="1">
        <v>900</v>
      </c>
      <c r="P749">
        <v>12</v>
      </c>
      <c r="Q749" s="1">
        <v>10800</v>
      </c>
      <c r="R749">
        <v>13.14</v>
      </c>
      <c r="S749" t="s">
        <v>1091</v>
      </c>
      <c r="T749" t="s">
        <v>39</v>
      </c>
    </row>
    <row r="750" spans="1:20" x14ac:dyDescent="0.35">
      <c r="A750" s="22" t="s">
        <v>844</v>
      </c>
      <c r="B750" cm="1">
        <f t="array" ref="B750">IF(MATCH(Table1[[#This Row],[Customer ID]], Table1[Customer ID], 0) = ROW() - ROW(Table1[#Headers]), 1, 0)</f>
        <v>0</v>
      </c>
      <c r="C750" t="s">
        <v>845</v>
      </c>
      <c r="D750" s="2">
        <v>45713</v>
      </c>
      <c r="E750">
        <v>30</v>
      </c>
      <c r="F750" t="str" cm="1">
        <f t="array" ref="F750">_xlfn.IFS( Table1[[#This Row],[Age]]&lt;18, "&lt;18", Table1[[#This Row],[Age]]&lt;= 29, "18-29", Table1[[#This Row],[Age]]&lt;= 44, "30-44",  Table1[[#This Row],[Age]]&lt;=59, "45-59", TRUE, "60+")</f>
        <v>30-44</v>
      </c>
      <c r="G750" t="s">
        <v>213</v>
      </c>
      <c r="H750" t="s">
        <v>20</v>
      </c>
      <c r="I750" t="s">
        <v>21</v>
      </c>
      <c r="J750">
        <v>3</v>
      </c>
      <c r="K750" t="s">
        <v>50</v>
      </c>
      <c r="L750" t="str" cm="1">
        <f t="array" ref="L750">_xlfn.IFS(Table1[[#This Row],[Customer Tenure in months]]&lt;=6, "0-6 months", Table1[[#This Row],[Customer Tenure in months]] &lt;=12, "7-12 months", Table1[[#This Row],[Customer Tenure in months]] &lt;=24, "1-2 years", TRUE, "2+ years")</f>
        <v>2+ years</v>
      </c>
      <c r="M750">
        <v>49</v>
      </c>
      <c r="N750" t="s">
        <v>23</v>
      </c>
      <c r="O750" s="1">
        <v>35000</v>
      </c>
      <c r="P750">
        <v>17</v>
      </c>
      <c r="Q750" s="1">
        <v>595000</v>
      </c>
      <c r="R750">
        <v>97.5</v>
      </c>
      <c r="S750" t="s">
        <v>1091</v>
      </c>
      <c r="T750" t="s">
        <v>39</v>
      </c>
    </row>
    <row r="751" spans="1:20" x14ac:dyDescent="0.35">
      <c r="A751" s="22" t="s">
        <v>846</v>
      </c>
      <c r="B751" cm="1">
        <f t="array" ref="B751">IF(MATCH(Table1[[#This Row],[Customer ID]], Table1[Customer ID], 0) = ROW() - ROW(Table1[#Headers]), 1, 0)</f>
        <v>1</v>
      </c>
      <c r="C751" t="s">
        <v>847</v>
      </c>
      <c r="D751" s="2">
        <v>45741</v>
      </c>
      <c r="E751">
        <v>76</v>
      </c>
      <c r="F751" t="str" cm="1">
        <f t="array" ref="F751">_xlfn.IFS( Table1[[#This Row],[Age]]&lt;18, "&lt;18", Table1[[#This Row],[Age]]&lt;= 29, "18-29", Table1[[#This Row],[Age]]&lt;= 44, "30-44",  Table1[[#This Row],[Age]]&lt;=59, "45-59", TRUE, "60+")</f>
        <v>60+</v>
      </c>
      <c r="G751" t="s">
        <v>86</v>
      </c>
      <c r="H751" t="s">
        <v>41</v>
      </c>
      <c r="I751" t="s">
        <v>30</v>
      </c>
      <c r="J751">
        <v>1</v>
      </c>
      <c r="K751" t="s">
        <v>37</v>
      </c>
      <c r="L751" t="str" cm="1">
        <f t="array" ref="L751">_xlfn.IFS(Table1[[#This Row],[Customer Tenure in months]]&lt;=6, "0-6 months", Table1[[#This Row],[Customer Tenure in months]] &lt;=12, "7-12 months", Table1[[#This Row],[Customer Tenure in months]] &lt;=24, "1-2 years", TRUE, "2+ years")</f>
        <v>2+ years</v>
      </c>
      <c r="M751">
        <v>29</v>
      </c>
      <c r="N751" t="s">
        <v>71</v>
      </c>
      <c r="O751" s="1">
        <v>14500</v>
      </c>
      <c r="P751">
        <v>10</v>
      </c>
      <c r="Q751" s="1">
        <v>145000</v>
      </c>
      <c r="R751">
        <v>179.64</v>
      </c>
      <c r="S751" t="s">
        <v>167</v>
      </c>
      <c r="T751" t="s">
        <v>24</v>
      </c>
    </row>
    <row r="752" spans="1:20" x14ac:dyDescent="0.35">
      <c r="A752" s="22" t="s">
        <v>848</v>
      </c>
      <c r="B752" cm="1">
        <f t="array" ref="B752">IF(MATCH(Table1[[#This Row],[Customer ID]], Table1[Customer ID], 0) = ROW() - ROW(Table1[#Headers]), 1, 0)</f>
        <v>1</v>
      </c>
      <c r="C752" t="s">
        <v>849</v>
      </c>
      <c r="D752" s="2">
        <v>45713</v>
      </c>
      <c r="E752">
        <v>29</v>
      </c>
      <c r="F752" t="str" cm="1">
        <f t="array" ref="F752">_xlfn.IFS( Table1[[#This Row],[Age]]&lt;18, "&lt;18", Table1[[#This Row],[Age]]&lt;= 29, "18-29", Table1[[#This Row],[Age]]&lt;= 44, "30-44",  Table1[[#This Row],[Age]]&lt;=59, "45-59", TRUE, "60+")</f>
        <v>18-29</v>
      </c>
      <c r="G752" t="s">
        <v>28</v>
      </c>
      <c r="H752" t="s">
        <v>41</v>
      </c>
      <c r="I752" t="s">
        <v>30</v>
      </c>
      <c r="J752">
        <v>4</v>
      </c>
      <c r="K752" t="s">
        <v>114</v>
      </c>
      <c r="L752" t="str" cm="1">
        <f t="array" ref="L752">_xlfn.IFS(Table1[[#This Row],[Customer Tenure in months]]&lt;=6, "0-6 months", Table1[[#This Row],[Customer Tenure in months]] &lt;=12, "7-12 months", Table1[[#This Row],[Customer Tenure in months]] &lt;=24, "1-2 years", TRUE, "2+ years")</f>
        <v>7-12 months</v>
      </c>
      <c r="M752">
        <v>8</v>
      </c>
      <c r="N752" t="s">
        <v>62</v>
      </c>
      <c r="O752" s="1">
        <v>24000</v>
      </c>
      <c r="P752">
        <v>16</v>
      </c>
      <c r="Q752" s="1">
        <v>384000</v>
      </c>
      <c r="R752">
        <v>186.38</v>
      </c>
      <c r="S752" t="s">
        <v>265</v>
      </c>
      <c r="T752" t="s">
        <v>24</v>
      </c>
    </row>
    <row r="753" spans="1:20" x14ac:dyDescent="0.35">
      <c r="A753" s="22" t="s">
        <v>848</v>
      </c>
      <c r="B753" cm="1">
        <f t="array" ref="B753">IF(MATCH(Table1[[#This Row],[Customer ID]], Table1[Customer ID], 0) = ROW() - ROW(Table1[#Headers]), 1, 0)</f>
        <v>0</v>
      </c>
      <c r="C753" t="s">
        <v>849</v>
      </c>
      <c r="D753" s="2">
        <v>45713</v>
      </c>
      <c r="E753">
        <v>29</v>
      </c>
      <c r="F753" t="str" cm="1">
        <f t="array" ref="F753">_xlfn.IFS( Table1[[#This Row],[Age]]&lt;18, "&lt;18", Table1[[#This Row],[Age]]&lt;= 29, "18-29", Table1[[#This Row],[Age]]&lt;= 44, "30-44",  Table1[[#This Row],[Age]]&lt;=59, "45-59", TRUE, "60+")</f>
        <v>18-29</v>
      </c>
      <c r="G753" t="s">
        <v>28</v>
      </c>
      <c r="H753" t="s">
        <v>20</v>
      </c>
      <c r="I753" t="s">
        <v>30</v>
      </c>
      <c r="J753">
        <v>4</v>
      </c>
      <c r="K753" t="s">
        <v>114</v>
      </c>
      <c r="L753" t="str" cm="1">
        <f t="array" ref="L753">_xlfn.IFS(Table1[[#This Row],[Customer Tenure in months]]&lt;=6, "0-6 months", Table1[[#This Row],[Customer Tenure in months]] &lt;=12, "7-12 months", Table1[[#This Row],[Customer Tenure in months]] &lt;=24, "1-2 years", TRUE, "2+ years")</f>
        <v>7-12 months</v>
      </c>
      <c r="M753">
        <v>8</v>
      </c>
      <c r="N753" t="s">
        <v>51</v>
      </c>
      <c r="O753" s="1">
        <v>9000</v>
      </c>
      <c r="P753">
        <v>1</v>
      </c>
      <c r="Q753" s="1">
        <v>9000</v>
      </c>
      <c r="R753">
        <v>84.32</v>
      </c>
      <c r="S753" t="s">
        <v>265</v>
      </c>
      <c r="T753" t="s">
        <v>24</v>
      </c>
    </row>
    <row r="754" spans="1:20" x14ac:dyDescent="0.35">
      <c r="A754" s="22" t="s">
        <v>848</v>
      </c>
      <c r="B754" cm="1">
        <f t="array" ref="B754">IF(MATCH(Table1[[#This Row],[Customer ID]], Table1[Customer ID], 0) = ROW() - ROW(Table1[#Headers]), 1, 0)</f>
        <v>0</v>
      </c>
      <c r="C754" t="s">
        <v>849</v>
      </c>
      <c r="D754" s="2">
        <v>45713</v>
      </c>
      <c r="E754">
        <v>29</v>
      </c>
      <c r="F754" t="str" cm="1">
        <f t="array" ref="F754">_xlfn.IFS( Table1[[#This Row],[Age]]&lt;18, "&lt;18", Table1[[#This Row],[Age]]&lt;= 29, "18-29", Table1[[#This Row],[Age]]&lt;= 44, "30-44",  Table1[[#This Row],[Age]]&lt;=59, "45-59", TRUE, "60+")</f>
        <v>18-29</v>
      </c>
      <c r="G754" t="s">
        <v>28</v>
      </c>
      <c r="H754" t="s">
        <v>36</v>
      </c>
      <c r="I754" t="s">
        <v>30</v>
      </c>
      <c r="J754">
        <v>4</v>
      </c>
      <c r="K754" t="s">
        <v>114</v>
      </c>
      <c r="L754" t="str" cm="1">
        <f t="array" ref="L754">_xlfn.IFS(Table1[[#This Row],[Customer Tenure in months]]&lt;=6, "0-6 months", Table1[[#This Row],[Customer Tenure in months]] &lt;=12, "7-12 months", Table1[[#This Row],[Customer Tenure in months]] &lt;=24, "1-2 years", TRUE, "2+ years")</f>
        <v>7-12 months</v>
      </c>
      <c r="M754">
        <v>8</v>
      </c>
      <c r="N754" t="s">
        <v>62</v>
      </c>
      <c r="O754" s="1">
        <v>24000</v>
      </c>
      <c r="P754">
        <v>1</v>
      </c>
      <c r="Q754" s="1">
        <v>24000</v>
      </c>
      <c r="R754">
        <v>38.22</v>
      </c>
      <c r="S754" t="s">
        <v>265</v>
      </c>
      <c r="T754" t="s">
        <v>24</v>
      </c>
    </row>
    <row r="755" spans="1:20" x14ac:dyDescent="0.35">
      <c r="A755" s="22" t="s">
        <v>850</v>
      </c>
      <c r="B755" cm="1">
        <f t="array" ref="B755">IF(MATCH(Table1[[#This Row],[Customer ID]], Table1[Customer ID], 0) = ROW() - ROW(Table1[#Headers]), 1, 0)</f>
        <v>1</v>
      </c>
      <c r="C755" t="s">
        <v>851</v>
      </c>
      <c r="D755" s="2">
        <v>45741</v>
      </c>
      <c r="E755">
        <v>58</v>
      </c>
      <c r="F755" t="str" cm="1">
        <f t="array" ref="F755">_xlfn.IFS( Table1[[#This Row],[Age]]&lt;18, "&lt;18", Table1[[#This Row],[Age]]&lt;= 29, "18-29", Table1[[#This Row],[Age]]&lt;= 44, "30-44",  Table1[[#This Row],[Age]]&lt;=59, "45-59", TRUE, "60+")</f>
        <v>45-59</v>
      </c>
      <c r="G755" t="s">
        <v>110</v>
      </c>
      <c r="H755" t="s">
        <v>29</v>
      </c>
      <c r="I755" t="s">
        <v>30</v>
      </c>
      <c r="J755">
        <v>4</v>
      </c>
      <c r="K755" t="s">
        <v>114</v>
      </c>
      <c r="L755" t="str" cm="1">
        <f t="array" ref="L755">_xlfn.IFS(Table1[[#This Row],[Customer Tenure in months]]&lt;=6, "0-6 months", Table1[[#This Row],[Customer Tenure in months]] &lt;=12, "7-12 months", Table1[[#This Row],[Customer Tenure in months]] &lt;=24, "1-2 years", TRUE, "2+ years")</f>
        <v>2+ years</v>
      </c>
      <c r="M755">
        <v>42</v>
      </c>
      <c r="N755" t="s">
        <v>164</v>
      </c>
      <c r="O755" s="1">
        <v>600</v>
      </c>
      <c r="P755">
        <v>10</v>
      </c>
      <c r="Q755" s="1">
        <v>6000</v>
      </c>
      <c r="R755">
        <v>179.71</v>
      </c>
      <c r="S755" t="s">
        <v>1091</v>
      </c>
      <c r="T755" t="s">
        <v>39</v>
      </c>
    </row>
    <row r="756" spans="1:20" x14ac:dyDescent="0.35">
      <c r="A756" s="22" t="s">
        <v>850</v>
      </c>
      <c r="B756" cm="1">
        <f t="array" ref="B756">IF(MATCH(Table1[[#This Row],[Customer ID]], Table1[Customer ID], 0) = ROW() - ROW(Table1[#Headers]), 1, 0)</f>
        <v>0</v>
      </c>
      <c r="C756" t="s">
        <v>851</v>
      </c>
      <c r="D756" s="2">
        <v>45741</v>
      </c>
      <c r="E756">
        <v>58</v>
      </c>
      <c r="F756" t="str" cm="1">
        <f t="array" ref="F756">_xlfn.IFS( Table1[[#This Row],[Age]]&lt;18, "&lt;18", Table1[[#This Row],[Age]]&lt;= 29, "18-29", Table1[[#This Row],[Age]]&lt;= 44, "30-44",  Table1[[#This Row],[Age]]&lt;=59, "45-59", TRUE, "60+")</f>
        <v>45-59</v>
      </c>
      <c r="G756" t="s">
        <v>110</v>
      </c>
      <c r="H756" t="s">
        <v>20</v>
      </c>
      <c r="I756" t="s">
        <v>30</v>
      </c>
      <c r="J756">
        <v>4</v>
      </c>
      <c r="K756" t="s">
        <v>114</v>
      </c>
      <c r="L756" t="str" cm="1">
        <f t="array" ref="L756">_xlfn.IFS(Table1[[#This Row],[Customer Tenure in months]]&lt;=6, "0-6 months", Table1[[#This Row],[Customer Tenure in months]] &lt;=12, "7-12 months", Table1[[#This Row],[Customer Tenure in months]] &lt;=24, "1-2 years", TRUE, "2+ years")</f>
        <v>2+ years</v>
      </c>
      <c r="M756">
        <v>42</v>
      </c>
      <c r="N756" t="s">
        <v>46</v>
      </c>
      <c r="O756" s="1">
        <v>4500</v>
      </c>
      <c r="P756">
        <v>8</v>
      </c>
      <c r="Q756" s="1">
        <v>36000</v>
      </c>
      <c r="R756">
        <v>157.96</v>
      </c>
      <c r="S756" t="s">
        <v>1091</v>
      </c>
      <c r="T756" t="s">
        <v>39</v>
      </c>
    </row>
    <row r="757" spans="1:20" x14ac:dyDescent="0.35">
      <c r="A757" s="22" t="s">
        <v>850</v>
      </c>
      <c r="B757" cm="1">
        <f t="array" ref="B757">IF(MATCH(Table1[[#This Row],[Customer ID]], Table1[Customer ID], 0) = ROW() - ROW(Table1[#Headers]), 1, 0)</f>
        <v>0</v>
      </c>
      <c r="C757" t="s">
        <v>851</v>
      </c>
      <c r="D757" s="2">
        <v>45741</v>
      </c>
      <c r="E757">
        <v>58</v>
      </c>
      <c r="F757" t="str" cm="1">
        <f t="array" ref="F757">_xlfn.IFS( Table1[[#This Row],[Age]]&lt;18, "&lt;18", Table1[[#This Row],[Age]]&lt;= 29, "18-29", Table1[[#This Row],[Age]]&lt;= 44, "30-44",  Table1[[#This Row],[Age]]&lt;=59, "45-59", TRUE, "60+")</f>
        <v>45-59</v>
      </c>
      <c r="G757" t="s">
        <v>110</v>
      </c>
      <c r="H757" t="s">
        <v>36</v>
      </c>
      <c r="I757" t="s">
        <v>30</v>
      </c>
      <c r="J757">
        <v>4</v>
      </c>
      <c r="K757" t="s">
        <v>114</v>
      </c>
      <c r="L757" t="str" cm="1">
        <f t="array" ref="L757">_xlfn.IFS(Table1[[#This Row],[Customer Tenure in months]]&lt;=6, "0-6 months", Table1[[#This Row],[Customer Tenure in months]] &lt;=12, "7-12 months", Table1[[#This Row],[Customer Tenure in months]] &lt;=24, "1-2 years", TRUE, "2+ years")</f>
        <v>2+ years</v>
      </c>
      <c r="M757">
        <v>42</v>
      </c>
      <c r="N757" t="s">
        <v>57</v>
      </c>
      <c r="O757" s="1">
        <v>150000</v>
      </c>
      <c r="P757">
        <v>10</v>
      </c>
      <c r="Q757" s="1">
        <v>1500000</v>
      </c>
      <c r="R757">
        <v>74.69</v>
      </c>
      <c r="S757" t="s">
        <v>1091</v>
      </c>
      <c r="T757" t="s">
        <v>39</v>
      </c>
    </row>
    <row r="758" spans="1:20" x14ac:dyDescent="0.35">
      <c r="A758" s="22" t="s">
        <v>852</v>
      </c>
      <c r="B758" cm="1">
        <f t="array" ref="B758">IF(MATCH(Table1[[#This Row],[Customer ID]], Table1[Customer ID], 0) = ROW() - ROW(Table1[#Headers]), 1, 0)</f>
        <v>1</v>
      </c>
      <c r="C758" t="s">
        <v>853</v>
      </c>
      <c r="D758" s="2">
        <v>45713</v>
      </c>
      <c r="E758">
        <v>34</v>
      </c>
      <c r="F758" t="str" cm="1">
        <f t="array" ref="F758">_xlfn.IFS( Table1[[#This Row],[Age]]&lt;18, "&lt;18", Table1[[#This Row],[Age]]&lt;= 29, "18-29", Table1[[#This Row],[Age]]&lt;= 44, "30-44",  Table1[[#This Row],[Age]]&lt;=59, "45-59", TRUE, "60+")</f>
        <v>30-44</v>
      </c>
      <c r="G758" t="s">
        <v>152</v>
      </c>
      <c r="H758" t="s">
        <v>36</v>
      </c>
      <c r="I758" t="s">
        <v>30</v>
      </c>
      <c r="J758">
        <v>5</v>
      </c>
      <c r="K758" t="s">
        <v>55</v>
      </c>
      <c r="L758" t="str" cm="1">
        <f t="array" ref="L758">_xlfn.IFS(Table1[[#This Row],[Customer Tenure in months]]&lt;=6, "0-6 months", Table1[[#This Row],[Customer Tenure in months]] &lt;=12, "7-12 months", Table1[[#This Row],[Customer Tenure in months]] &lt;=24, "1-2 years", TRUE, "2+ years")</f>
        <v>2+ years</v>
      </c>
      <c r="M758">
        <v>30</v>
      </c>
      <c r="N758" t="s">
        <v>65</v>
      </c>
      <c r="O758" s="1">
        <v>30000</v>
      </c>
      <c r="P758">
        <v>4</v>
      </c>
      <c r="Q758" s="1">
        <v>120000</v>
      </c>
      <c r="R758">
        <v>32.67</v>
      </c>
      <c r="S758" t="s">
        <v>1091</v>
      </c>
      <c r="T758" t="s">
        <v>39</v>
      </c>
    </row>
    <row r="759" spans="1:20" x14ac:dyDescent="0.35">
      <c r="A759" s="22" t="s">
        <v>852</v>
      </c>
      <c r="B759" cm="1">
        <f t="array" ref="B759">IF(MATCH(Table1[[#This Row],[Customer ID]], Table1[Customer ID], 0) = ROW() - ROW(Table1[#Headers]), 1, 0)</f>
        <v>0</v>
      </c>
      <c r="C759" t="s">
        <v>853</v>
      </c>
      <c r="D759" s="2">
        <v>45713</v>
      </c>
      <c r="E759">
        <v>34</v>
      </c>
      <c r="F759" t="str" cm="1">
        <f t="array" ref="F759">_xlfn.IFS( Table1[[#This Row],[Age]]&lt;18, "&lt;18", Table1[[#This Row],[Age]]&lt;= 29, "18-29", Table1[[#This Row],[Age]]&lt;= 44, "30-44",  Table1[[#This Row],[Age]]&lt;=59, "45-59", TRUE, "60+")</f>
        <v>30-44</v>
      </c>
      <c r="G759" t="s">
        <v>152</v>
      </c>
      <c r="H759" t="s">
        <v>41</v>
      </c>
      <c r="I759" t="s">
        <v>30</v>
      </c>
      <c r="J759">
        <v>5</v>
      </c>
      <c r="K759" t="s">
        <v>55</v>
      </c>
      <c r="L759" t="str" cm="1">
        <f t="array" ref="L759">_xlfn.IFS(Table1[[#This Row],[Customer Tenure in months]]&lt;=6, "0-6 months", Table1[[#This Row],[Customer Tenure in months]] &lt;=12, "7-12 months", Table1[[#This Row],[Customer Tenure in months]] &lt;=24, "1-2 years", TRUE, "2+ years")</f>
        <v>2+ years</v>
      </c>
      <c r="M759">
        <v>30</v>
      </c>
      <c r="N759" t="s">
        <v>42</v>
      </c>
      <c r="O759" s="1">
        <v>9000</v>
      </c>
      <c r="P759">
        <v>19</v>
      </c>
      <c r="Q759" s="1">
        <v>171000</v>
      </c>
      <c r="R759">
        <v>198.76</v>
      </c>
      <c r="S759" t="s">
        <v>1091</v>
      </c>
      <c r="T759" t="s">
        <v>39</v>
      </c>
    </row>
    <row r="760" spans="1:20" x14ac:dyDescent="0.35">
      <c r="A760" s="22" t="s">
        <v>852</v>
      </c>
      <c r="B760" cm="1">
        <f t="array" ref="B760">IF(MATCH(Table1[[#This Row],[Customer ID]], Table1[Customer ID], 0) = ROW() - ROW(Table1[#Headers]), 1, 0)</f>
        <v>0</v>
      </c>
      <c r="C760" t="s">
        <v>853</v>
      </c>
      <c r="D760" s="2">
        <v>45713</v>
      </c>
      <c r="E760">
        <v>34</v>
      </c>
      <c r="F760" t="str" cm="1">
        <f t="array" ref="F760">_xlfn.IFS( Table1[[#This Row],[Age]]&lt;18, "&lt;18", Table1[[#This Row],[Age]]&lt;= 29, "18-29", Table1[[#This Row],[Age]]&lt;= 44, "30-44",  Table1[[#This Row],[Age]]&lt;=59, "45-59", TRUE, "60+")</f>
        <v>30-44</v>
      </c>
      <c r="G760" t="s">
        <v>152</v>
      </c>
      <c r="H760" t="s">
        <v>29</v>
      </c>
      <c r="I760" t="s">
        <v>30</v>
      </c>
      <c r="J760">
        <v>5</v>
      </c>
      <c r="K760" t="s">
        <v>55</v>
      </c>
      <c r="L760" t="str" cm="1">
        <f t="array" ref="L760">_xlfn.IFS(Table1[[#This Row],[Customer Tenure in months]]&lt;=6, "0-6 months", Table1[[#This Row],[Customer Tenure in months]] &lt;=12, "7-12 months", Table1[[#This Row],[Customer Tenure in months]] &lt;=24, "1-2 years", TRUE, "2+ years")</f>
        <v>2+ years</v>
      </c>
      <c r="M760">
        <v>30</v>
      </c>
      <c r="N760" t="s">
        <v>164</v>
      </c>
      <c r="O760" s="1">
        <v>600</v>
      </c>
      <c r="P760">
        <v>12</v>
      </c>
      <c r="Q760" s="1">
        <v>7200</v>
      </c>
      <c r="R760">
        <v>88.46</v>
      </c>
      <c r="S760" t="s">
        <v>1091</v>
      </c>
      <c r="T760" t="s">
        <v>39</v>
      </c>
    </row>
    <row r="761" spans="1:20" x14ac:dyDescent="0.35">
      <c r="A761" s="22" t="s">
        <v>854</v>
      </c>
      <c r="B761" cm="1">
        <f t="array" ref="B761">IF(MATCH(Table1[[#This Row],[Customer ID]], Table1[Customer ID], 0) = ROW() - ROW(Table1[#Headers]), 1, 0)</f>
        <v>1</v>
      </c>
      <c r="C761" t="s">
        <v>855</v>
      </c>
      <c r="D761" s="2">
        <v>45713</v>
      </c>
      <c r="E761">
        <v>42</v>
      </c>
      <c r="F761" t="str" cm="1">
        <f t="array" ref="F761">_xlfn.IFS( Table1[[#This Row],[Age]]&lt;18, "&lt;18", Table1[[#This Row],[Age]]&lt;= 29, "18-29", Table1[[#This Row],[Age]]&lt;= 44, "30-44",  Table1[[#This Row],[Age]]&lt;=59, "45-59", TRUE, "60+")</f>
        <v>30-44</v>
      </c>
      <c r="G761" t="s">
        <v>128</v>
      </c>
      <c r="H761" t="s">
        <v>36</v>
      </c>
      <c r="I761" t="s">
        <v>30</v>
      </c>
      <c r="J761">
        <v>3</v>
      </c>
      <c r="K761" t="s">
        <v>50</v>
      </c>
      <c r="L761" t="str" cm="1">
        <f t="array" ref="L761">_xlfn.IFS(Table1[[#This Row],[Customer Tenure in months]]&lt;=6, "0-6 months", Table1[[#This Row],[Customer Tenure in months]] &lt;=12, "7-12 months", Table1[[#This Row],[Customer Tenure in months]] &lt;=24, "1-2 years", TRUE, "2+ years")</f>
        <v>1-2 years</v>
      </c>
      <c r="M761">
        <v>23</v>
      </c>
      <c r="N761" t="s">
        <v>38</v>
      </c>
      <c r="O761" s="1">
        <v>20000</v>
      </c>
      <c r="P761">
        <v>13</v>
      </c>
      <c r="Q761" s="1">
        <v>260000</v>
      </c>
      <c r="R761">
        <v>184.13</v>
      </c>
      <c r="S761" t="s">
        <v>1091</v>
      </c>
      <c r="T761" t="s">
        <v>39</v>
      </c>
    </row>
    <row r="762" spans="1:20" x14ac:dyDescent="0.35">
      <c r="A762" s="22" t="s">
        <v>856</v>
      </c>
      <c r="B762" cm="1">
        <f t="array" ref="B762">IF(MATCH(Table1[[#This Row],[Customer ID]], Table1[Customer ID], 0) = ROW() - ROW(Table1[#Headers]), 1, 0)</f>
        <v>1</v>
      </c>
      <c r="C762" t="s">
        <v>857</v>
      </c>
      <c r="D762" s="2">
        <v>45682</v>
      </c>
      <c r="E762">
        <v>34</v>
      </c>
      <c r="F762" t="str" cm="1">
        <f t="array" ref="F762">_xlfn.IFS( Table1[[#This Row],[Age]]&lt;18, "&lt;18", Table1[[#This Row],[Age]]&lt;= 29, "18-29", Table1[[#This Row],[Age]]&lt;= 44, "30-44",  Table1[[#This Row],[Age]]&lt;=59, "45-59", TRUE, "60+")</f>
        <v>30-44</v>
      </c>
      <c r="G762" t="s">
        <v>35</v>
      </c>
      <c r="H762" t="s">
        <v>36</v>
      </c>
      <c r="I762" t="s">
        <v>30</v>
      </c>
      <c r="J762">
        <v>5</v>
      </c>
      <c r="K762" t="s">
        <v>55</v>
      </c>
      <c r="L762" t="str" cm="1">
        <f t="array" ref="L762">_xlfn.IFS(Table1[[#This Row],[Customer Tenure in months]]&lt;=6, "0-6 months", Table1[[#This Row],[Customer Tenure in months]] &lt;=12, "7-12 months", Table1[[#This Row],[Customer Tenure in months]] &lt;=24, "1-2 years", TRUE, "2+ years")</f>
        <v>7-12 months</v>
      </c>
      <c r="M762">
        <v>10</v>
      </c>
      <c r="N762" t="s">
        <v>62</v>
      </c>
      <c r="O762" s="1">
        <v>24000</v>
      </c>
      <c r="P762">
        <v>19</v>
      </c>
      <c r="Q762" s="1">
        <v>456000</v>
      </c>
      <c r="R762">
        <v>193.94</v>
      </c>
      <c r="S762" t="s">
        <v>1091</v>
      </c>
      <c r="T762" t="s">
        <v>39</v>
      </c>
    </row>
    <row r="763" spans="1:20" x14ac:dyDescent="0.35">
      <c r="A763" s="22" t="s">
        <v>856</v>
      </c>
      <c r="B763" cm="1">
        <f t="array" ref="B763">IF(MATCH(Table1[[#This Row],[Customer ID]], Table1[Customer ID], 0) = ROW() - ROW(Table1[#Headers]), 1, 0)</f>
        <v>0</v>
      </c>
      <c r="C763" t="s">
        <v>857</v>
      </c>
      <c r="D763" s="2">
        <v>45682</v>
      </c>
      <c r="E763">
        <v>34</v>
      </c>
      <c r="F763" t="str" cm="1">
        <f t="array" ref="F763">_xlfn.IFS( Table1[[#This Row],[Age]]&lt;18, "&lt;18", Table1[[#This Row],[Age]]&lt;= 29, "18-29", Table1[[#This Row],[Age]]&lt;= 44, "30-44",  Table1[[#This Row],[Age]]&lt;=59, "45-59", TRUE, "60+")</f>
        <v>30-44</v>
      </c>
      <c r="G763" t="s">
        <v>35</v>
      </c>
      <c r="H763" t="s">
        <v>20</v>
      </c>
      <c r="I763" t="s">
        <v>30</v>
      </c>
      <c r="J763">
        <v>5</v>
      </c>
      <c r="K763" t="s">
        <v>55</v>
      </c>
      <c r="L763" t="str" cm="1">
        <f t="array" ref="L763">_xlfn.IFS(Table1[[#This Row],[Customer Tenure in months]]&lt;=6, "0-6 months", Table1[[#This Row],[Customer Tenure in months]] &lt;=12, "7-12 months", Table1[[#This Row],[Customer Tenure in months]] &lt;=24, "1-2 years", TRUE, "2+ years")</f>
        <v>7-12 months</v>
      </c>
      <c r="M763">
        <v>10</v>
      </c>
      <c r="N763" t="s">
        <v>46</v>
      </c>
      <c r="O763" s="1">
        <v>4500</v>
      </c>
      <c r="P763">
        <v>15</v>
      </c>
      <c r="Q763" s="1">
        <v>67500</v>
      </c>
      <c r="R763">
        <v>160.02000000000001</v>
      </c>
      <c r="S763" t="s">
        <v>1091</v>
      </c>
      <c r="T763" t="s">
        <v>39</v>
      </c>
    </row>
    <row r="764" spans="1:20" x14ac:dyDescent="0.35">
      <c r="A764" s="22" t="s">
        <v>858</v>
      </c>
      <c r="B764" cm="1">
        <f t="array" ref="B764">IF(MATCH(Table1[[#This Row],[Customer ID]], Table1[Customer ID], 0) = ROW() - ROW(Table1[#Headers]), 1, 0)</f>
        <v>1</v>
      </c>
      <c r="C764" t="s">
        <v>859</v>
      </c>
      <c r="D764" s="2">
        <v>45682</v>
      </c>
      <c r="E764">
        <v>30</v>
      </c>
      <c r="F764" t="str" cm="1">
        <f t="array" ref="F764">_xlfn.IFS( Table1[[#This Row],[Age]]&lt;18, "&lt;18", Table1[[#This Row],[Age]]&lt;= 29, "18-29", Table1[[#This Row],[Age]]&lt;= 44, "30-44",  Table1[[#This Row],[Age]]&lt;=59, "45-59", TRUE, "60+")</f>
        <v>30-44</v>
      </c>
      <c r="G764" t="s">
        <v>213</v>
      </c>
      <c r="H764" t="s">
        <v>29</v>
      </c>
      <c r="I764" t="s">
        <v>21</v>
      </c>
      <c r="J764">
        <v>3</v>
      </c>
      <c r="K764" t="s">
        <v>50</v>
      </c>
      <c r="L764" t="str" cm="1">
        <f t="array" ref="L764">_xlfn.IFS(Table1[[#This Row],[Customer Tenure in months]]&lt;=6, "0-6 months", Table1[[#This Row],[Customer Tenure in months]] &lt;=12, "7-12 months", Table1[[#This Row],[Customer Tenure in months]] &lt;=24, "1-2 years", TRUE, "2+ years")</f>
        <v>7-12 months</v>
      </c>
      <c r="M764">
        <v>9</v>
      </c>
      <c r="N764" t="s">
        <v>56</v>
      </c>
      <c r="O764" s="1">
        <v>3500</v>
      </c>
      <c r="P764">
        <v>2</v>
      </c>
      <c r="Q764" s="1">
        <v>7000</v>
      </c>
      <c r="R764">
        <v>18.95</v>
      </c>
      <c r="S764" t="s">
        <v>25</v>
      </c>
      <c r="T764" t="s">
        <v>24</v>
      </c>
    </row>
    <row r="765" spans="1:20" x14ac:dyDescent="0.35">
      <c r="A765" s="22" t="s">
        <v>860</v>
      </c>
      <c r="B765" cm="1">
        <f t="array" ref="B765">IF(MATCH(Table1[[#This Row],[Customer ID]], Table1[Customer ID], 0) = ROW() - ROW(Table1[#Headers]), 1, 0)</f>
        <v>1</v>
      </c>
      <c r="C765" t="s">
        <v>861</v>
      </c>
      <c r="D765" s="2">
        <v>45682</v>
      </c>
      <c r="E765">
        <v>44</v>
      </c>
      <c r="F765" t="str" cm="1">
        <f t="array" ref="F765">_xlfn.IFS( Table1[[#This Row],[Age]]&lt;18, "&lt;18", Table1[[#This Row],[Age]]&lt;= 29, "18-29", Table1[[#This Row],[Age]]&lt;= 44, "30-44",  Table1[[#This Row],[Age]]&lt;=59, "45-59", TRUE, "60+")</f>
        <v>30-44</v>
      </c>
      <c r="G765" t="s">
        <v>192</v>
      </c>
      <c r="H765" t="s">
        <v>41</v>
      </c>
      <c r="I765" t="s">
        <v>21</v>
      </c>
      <c r="J765">
        <v>5</v>
      </c>
      <c r="K765" t="s">
        <v>55</v>
      </c>
      <c r="L765" t="str" cm="1">
        <f t="array" ref="L765">_xlfn.IFS(Table1[[#This Row],[Customer Tenure in months]]&lt;=6, "0-6 months", Table1[[#This Row],[Customer Tenure in months]] &lt;=12, "7-12 months", Table1[[#This Row],[Customer Tenure in months]] &lt;=24, "1-2 years", TRUE, "2+ years")</f>
        <v>0-6 months</v>
      </c>
      <c r="M765">
        <v>2</v>
      </c>
      <c r="N765" t="s">
        <v>38</v>
      </c>
      <c r="O765" s="1">
        <v>20000</v>
      </c>
      <c r="P765">
        <v>20</v>
      </c>
      <c r="Q765" s="1">
        <v>400000</v>
      </c>
      <c r="R765">
        <v>98.35</v>
      </c>
      <c r="S765" t="s">
        <v>1091</v>
      </c>
      <c r="T765" t="s">
        <v>39</v>
      </c>
    </row>
    <row r="766" spans="1:20" x14ac:dyDescent="0.35">
      <c r="A766" s="22" t="s">
        <v>860</v>
      </c>
      <c r="B766" cm="1">
        <f t="array" ref="B766">IF(MATCH(Table1[[#This Row],[Customer ID]], Table1[Customer ID], 0) = ROW() - ROW(Table1[#Headers]), 1, 0)</f>
        <v>0</v>
      </c>
      <c r="C766" t="s">
        <v>861</v>
      </c>
      <c r="D766" s="2">
        <v>45682</v>
      </c>
      <c r="E766">
        <v>44</v>
      </c>
      <c r="F766" t="str" cm="1">
        <f t="array" ref="F766">_xlfn.IFS( Table1[[#This Row],[Age]]&lt;18, "&lt;18", Table1[[#This Row],[Age]]&lt;= 29, "18-29", Table1[[#This Row],[Age]]&lt;= 44, "30-44",  Table1[[#This Row],[Age]]&lt;=59, "45-59", TRUE, "60+")</f>
        <v>30-44</v>
      </c>
      <c r="G766" t="s">
        <v>192</v>
      </c>
      <c r="H766" t="s">
        <v>36</v>
      </c>
      <c r="I766" t="s">
        <v>21</v>
      </c>
      <c r="J766">
        <v>5</v>
      </c>
      <c r="K766" t="s">
        <v>55</v>
      </c>
      <c r="L766" t="str" cm="1">
        <f t="array" ref="L766">_xlfn.IFS(Table1[[#This Row],[Customer Tenure in months]]&lt;=6, "0-6 months", Table1[[#This Row],[Customer Tenure in months]] &lt;=12, "7-12 months", Table1[[#This Row],[Customer Tenure in months]] &lt;=24, "1-2 years", TRUE, "2+ years")</f>
        <v>0-6 months</v>
      </c>
      <c r="M766">
        <v>2</v>
      </c>
      <c r="N766" t="s">
        <v>42</v>
      </c>
      <c r="O766" s="1">
        <v>9000</v>
      </c>
      <c r="P766">
        <v>12</v>
      </c>
      <c r="Q766" s="1">
        <v>108000</v>
      </c>
      <c r="R766">
        <v>181.74</v>
      </c>
      <c r="S766" t="s">
        <v>1091</v>
      </c>
      <c r="T766" t="s">
        <v>39</v>
      </c>
    </row>
    <row r="767" spans="1:20" x14ac:dyDescent="0.35">
      <c r="A767" s="22" t="s">
        <v>860</v>
      </c>
      <c r="B767" cm="1">
        <f t="array" ref="B767">IF(MATCH(Table1[[#This Row],[Customer ID]], Table1[Customer ID], 0) = ROW() - ROW(Table1[#Headers]), 1, 0)</f>
        <v>0</v>
      </c>
      <c r="C767" t="s">
        <v>861</v>
      </c>
      <c r="D767" s="2">
        <v>45682</v>
      </c>
      <c r="E767">
        <v>44</v>
      </c>
      <c r="F767" t="str" cm="1">
        <f t="array" ref="F767">_xlfn.IFS( Table1[[#This Row],[Age]]&lt;18, "&lt;18", Table1[[#This Row],[Age]]&lt;= 29, "18-29", Table1[[#This Row],[Age]]&lt;= 44, "30-44",  Table1[[#This Row],[Age]]&lt;=59, "45-59", TRUE, "60+")</f>
        <v>30-44</v>
      </c>
      <c r="G767" t="s">
        <v>192</v>
      </c>
      <c r="H767" t="s">
        <v>20</v>
      </c>
      <c r="I767" t="s">
        <v>21</v>
      </c>
      <c r="J767">
        <v>5</v>
      </c>
      <c r="K767" t="s">
        <v>55</v>
      </c>
      <c r="L767" t="str" cm="1">
        <f t="array" ref="L767">_xlfn.IFS(Table1[[#This Row],[Customer Tenure in months]]&lt;=6, "0-6 months", Table1[[#This Row],[Customer Tenure in months]] &lt;=12, "7-12 months", Table1[[#This Row],[Customer Tenure in months]] &lt;=24, "1-2 years", TRUE, "2+ years")</f>
        <v>0-6 months</v>
      </c>
      <c r="M767">
        <v>2</v>
      </c>
      <c r="N767" t="s">
        <v>23</v>
      </c>
      <c r="O767" s="1">
        <v>35000</v>
      </c>
      <c r="P767">
        <v>14</v>
      </c>
      <c r="Q767" s="1">
        <v>490000</v>
      </c>
      <c r="R767">
        <v>30.02</v>
      </c>
      <c r="S767" t="s">
        <v>1091</v>
      </c>
      <c r="T767" t="s">
        <v>39</v>
      </c>
    </row>
    <row r="768" spans="1:20" x14ac:dyDescent="0.35">
      <c r="A768" s="22" t="s">
        <v>862</v>
      </c>
      <c r="B768" cm="1">
        <f t="array" ref="B768">IF(MATCH(Table1[[#This Row],[Customer ID]], Table1[Customer ID], 0) = ROW() - ROW(Table1[#Headers]), 1, 0)</f>
        <v>1</v>
      </c>
      <c r="C768" t="s">
        <v>863</v>
      </c>
      <c r="D768" s="2">
        <v>45741</v>
      </c>
      <c r="E768">
        <v>65</v>
      </c>
      <c r="F768" t="str" cm="1">
        <f t="array" ref="F768">_xlfn.IFS( Table1[[#This Row],[Age]]&lt;18, "&lt;18", Table1[[#This Row],[Age]]&lt;= 29, "18-29", Table1[[#This Row],[Age]]&lt;= 44, "30-44",  Table1[[#This Row],[Age]]&lt;=59, "45-59", TRUE, "60+")</f>
        <v>60+</v>
      </c>
      <c r="G768" t="s">
        <v>45</v>
      </c>
      <c r="H768" t="s">
        <v>41</v>
      </c>
      <c r="I768" t="s">
        <v>21</v>
      </c>
      <c r="J768">
        <v>3</v>
      </c>
      <c r="K768" t="s">
        <v>50</v>
      </c>
      <c r="L768" t="str" cm="1">
        <f t="array" ref="L768">_xlfn.IFS(Table1[[#This Row],[Customer Tenure in months]]&lt;=6, "0-6 months", Table1[[#This Row],[Customer Tenure in months]] &lt;=12, "7-12 months", Table1[[#This Row],[Customer Tenure in months]] &lt;=24, "1-2 years", TRUE, "2+ years")</f>
        <v>1-2 years</v>
      </c>
      <c r="M768">
        <v>19</v>
      </c>
      <c r="N768" t="s">
        <v>71</v>
      </c>
      <c r="O768" s="1">
        <v>14500</v>
      </c>
      <c r="P768">
        <v>14</v>
      </c>
      <c r="Q768" s="1">
        <v>203000</v>
      </c>
      <c r="R768">
        <v>148.43</v>
      </c>
      <c r="S768" t="s">
        <v>1091</v>
      </c>
      <c r="T768" t="s">
        <v>39</v>
      </c>
    </row>
    <row r="769" spans="1:20" x14ac:dyDescent="0.35">
      <c r="A769" s="22" t="s">
        <v>862</v>
      </c>
      <c r="B769" cm="1">
        <f t="array" ref="B769">IF(MATCH(Table1[[#This Row],[Customer ID]], Table1[Customer ID], 0) = ROW() - ROW(Table1[#Headers]), 1, 0)</f>
        <v>0</v>
      </c>
      <c r="C769" t="s">
        <v>863</v>
      </c>
      <c r="D769" s="2">
        <v>45741</v>
      </c>
      <c r="E769">
        <v>65</v>
      </c>
      <c r="F769" t="str" cm="1">
        <f t="array" ref="F769">_xlfn.IFS( Table1[[#This Row],[Age]]&lt;18, "&lt;18", Table1[[#This Row],[Age]]&lt;= 29, "18-29", Table1[[#This Row],[Age]]&lt;= 44, "30-44",  Table1[[#This Row],[Age]]&lt;=59, "45-59", TRUE, "60+")</f>
        <v>60+</v>
      </c>
      <c r="G769" t="s">
        <v>45</v>
      </c>
      <c r="H769" t="s">
        <v>29</v>
      </c>
      <c r="I769" t="s">
        <v>21</v>
      </c>
      <c r="J769">
        <v>3</v>
      </c>
      <c r="K769" t="s">
        <v>50</v>
      </c>
      <c r="L769" t="str" cm="1">
        <f t="array" ref="L769">_xlfn.IFS(Table1[[#This Row],[Customer Tenure in months]]&lt;=6, "0-6 months", Table1[[#This Row],[Customer Tenure in months]] &lt;=12, "7-12 months", Table1[[#This Row],[Customer Tenure in months]] &lt;=24, "1-2 years", TRUE, "2+ years")</f>
        <v>1-2 years</v>
      </c>
      <c r="M769">
        <v>19</v>
      </c>
      <c r="N769" t="s">
        <v>31</v>
      </c>
      <c r="O769" s="1">
        <v>5500</v>
      </c>
      <c r="P769">
        <v>14</v>
      </c>
      <c r="Q769" s="1">
        <v>77000</v>
      </c>
      <c r="R769">
        <v>58.08</v>
      </c>
      <c r="S769" t="s">
        <v>1091</v>
      </c>
      <c r="T769" t="s">
        <v>39</v>
      </c>
    </row>
    <row r="770" spans="1:20" x14ac:dyDescent="0.35">
      <c r="A770" s="22" t="s">
        <v>864</v>
      </c>
      <c r="B770" cm="1">
        <f t="array" ref="B770">IF(MATCH(Table1[[#This Row],[Customer ID]], Table1[Customer ID], 0) = ROW() - ROW(Table1[#Headers]), 1, 0)</f>
        <v>1</v>
      </c>
      <c r="C770" t="s">
        <v>865</v>
      </c>
      <c r="D770" s="2">
        <v>45741</v>
      </c>
      <c r="E770">
        <v>33</v>
      </c>
      <c r="F770" t="str" cm="1">
        <f t="array" ref="F770">_xlfn.IFS( Table1[[#This Row],[Age]]&lt;18, "&lt;18", Table1[[#This Row],[Age]]&lt;= 29, "18-29", Table1[[#This Row],[Age]]&lt;= 44, "30-44",  Table1[[#This Row],[Age]]&lt;=59, "45-59", TRUE, "60+")</f>
        <v>30-44</v>
      </c>
      <c r="G770" t="s">
        <v>299</v>
      </c>
      <c r="H770" t="s">
        <v>36</v>
      </c>
      <c r="I770" t="s">
        <v>21</v>
      </c>
      <c r="J770">
        <v>4</v>
      </c>
      <c r="K770" t="s">
        <v>114</v>
      </c>
      <c r="L770" t="str" cm="1">
        <f t="array" ref="L770">_xlfn.IFS(Table1[[#This Row],[Customer Tenure in months]]&lt;=6, "0-6 months", Table1[[#This Row],[Customer Tenure in months]] &lt;=12, "7-12 months", Table1[[#This Row],[Customer Tenure in months]] &lt;=24, "1-2 years", TRUE, "2+ years")</f>
        <v>1-2 years</v>
      </c>
      <c r="M770">
        <v>14</v>
      </c>
      <c r="N770" t="s">
        <v>38</v>
      </c>
      <c r="O770" s="1">
        <v>20000</v>
      </c>
      <c r="P770">
        <v>9</v>
      </c>
      <c r="Q770" s="1">
        <v>180000</v>
      </c>
      <c r="R770">
        <v>1.82</v>
      </c>
      <c r="S770" t="s">
        <v>1091</v>
      </c>
      <c r="T770" t="s">
        <v>39</v>
      </c>
    </row>
    <row r="771" spans="1:20" x14ac:dyDescent="0.35">
      <c r="A771" s="22" t="s">
        <v>864</v>
      </c>
      <c r="B771" cm="1">
        <f t="array" ref="B771">IF(MATCH(Table1[[#This Row],[Customer ID]], Table1[Customer ID], 0) = ROW() - ROW(Table1[#Headers]), 1, 0)</f>
        <v>0</v>
      </c>
      <c r="C771" t="s">
        <v>865</v>
      </c>
      <c r="D771" s="2">
        <v>45741</v>
      </c>
      <c r="E771">
        <v>33</v>
      </c>
      <c r="F771" t="str" cm="1">
        <f t="array" ref="F771">_xlfn.IFS( Table1[[#This Row],[Age]]&lt;18, "&lt;18", Table1[[#This Row],[Age]]&lt;= 29, "18-29", Table1[[#This Row],[Age]]&lt;= 44, "30-44",  Table1[[#This Row],[Age]]&lt;=59, "45-59", TRUE, "60+")</f>
        <v>30-44</v>
      </c>
      <c r="G771" t="s">
        <v>299</v>
      </c>
      <c r="H771" t="s">
        <v>41</v>
      </c>
      <c r="I771" t="s">
        <v>21</v>
      </c>
      <c r="J771">
        <v>4</v>
      </c>
      <c r="K771" t="s">
        <v>114</v>
      </c>
      <c r="L771" t="str" cm="1">
        <f t="array" ref="L771">_xlfn.IFS(Table1[[#This Row],[Customer Tenure in months]]&lt;=6, "0-6 months", Table1[[#This Row],[Customer Tenure in months]] &lt;=12, "7-12 months", Table1[[#This Row],[Customer Tenure in months]] &lt;=24, "1-2 years", TRUE, "2+ years")</f>
        <v>1-2 years</v>
      </c>
      <c r="M771">
        <v>14</v>
      </c>
      <c r="N771" t="s">
        <v>71</v>
      </c>
      <c r="O771" s="1">
        <v>14500</v>
      </c>
      <c r="P771">
        <v>15</v>
      </c>
      <c r="Q771" s="1">
        <v>217500</v>
      </c>
      <c r="R771">
        <v>35.39</v>
      </c>
      <c r="S771" t="s">
        <v>1091</v>
      </c>
      <c r="T771" t="s">
        <v>39</v>
      </c>
    </row>
    <row r="772" spans="1:20" x14ac:dyDescent="0.35">
      <c r="A772" s="22" t="s">
        <v>864</v>
      </c>
      <c r="B772" cm="1">
        <f t="array" ref="B772">IF(MATCH(Table1[[#This Row],[Customer ID]], Table1[Customer ID], 0) = ROW() - ROW(Table1[#Headers]), 1, 0)</f>
        <v>0</v>
      </c>
      <c r="C772" t="s">
        <v>865</v>
      </c>
      <c r="D772" s="2">
        <v>45741</v>
      </c>
      <c r="E772">
        <v>33</v>
      </c>
      <c r="F772" t="str" cm="1">
        <f t="array" ref="F772">_xlfn.IFS( Table1[[#This Row],[Age]]&lt;18, "&lt;18", Table1[[#This Row],[Age]]&lt;= 29, "18-29", Table1[[#This Row],[Age]]&lt;= 44, "30-44",  Table1[[#This Row],[Age]]&lt;=59, "45-59", TRUE, "60+")</f>
        <v>30-44</v>
      </c>
      <c r="G772" t="s">
        <v>299</v>
      </c>
      <c r="H772" t="s">
        <v>20</v>
      </c>
      <c r="I772" t="s">
        <v>21</v>
      </c>
      <c r="J772">
        <v>4</v>
      </c>
      <c r="K772" t="s">
        <v>114</v>
      </c>
      <c r="L772" t="str" cm="1">
        <f t="array" ref="L772">_xlfn.IFS(Table1[[#This Row],[Customer Tenure in months]]&lt;=6, "0-6 months", Table1[[#This Row],[Customer Tenure in months]] &lt;=12, "7-12 months", Table1[[#This Row],[Customer Tenure in months]] &lt;=24, "1-2 years", TRUE, "2+ years")</f>
        <v>1-2 years</v>
      </c>
      <c r="M772">
        <v>14</v>
      </c>
      <c r="N772" t="s">
        <v>46</v>
      </c>
      <c r="O772" s="1">
        <v>4500</v>
      </c>
      <c r="P772">
        <v>13</v>
      </c>
      <c r="Q772" s="1">
        <v>58500</v>
      </c>
      <c r="R772">
        <v>40.25</v>
      </c>
      <c r="S772" t="s">
        <v>1091</v>
      </c>
      <c r="T772" t="s">
        <v>39</v>
      </c>
    </row>
    <row r="773" spans="1:20" x14ac:dyDescent="0.35">
      <c r="A773" s="22" t="s">
        <v>866</v>
      </c>
      <c r="B773" cm="1">
        <f t="array" ref="B773">IF(MATCH(Table1[[#This Row],[Customer ID]], Table1[Customer ID], 0) = ROW() - ROW(Table1[#Headers]), 1, 0)</f>
        <v>1</v>
      </c>
      <c r="C773" t="s">
        <v>867</v>
      </c>
      <c r="D773" s="2">
        <v>45741</v>
      </c>
      <c r="E773">
        <v>78</v>
      </c>
      <c r="F773" t="str" cm="1">
        <f t="array" ref="F773">_xlfn.IFS( Table1[[#This Row],[Age]]&lt;18, "&lt;18", Table1[[#This Row],[Age]]&lt;= 29, "18-29", Table1[[#This Row],[Age]]&lt;= 44, "30-44",  Table1[[#This Row],[Age]]&lt;=59, "45-59", TRUE, "60+")</f>
        <v>60+</v>
      </c>
      <c r="G773" t="s">
        <v>128</v>
      </c>
      <c r="H773" t="s">
        <v>20</v>
      </c>
      <c r="I773" t="s">
        <v>30</v>
      </c>
      <c r="J773">
        <v>4</v>
      </c>
      <c r="K773" t="s">
        <v>114</v>
      </c>
      <c r="L773" t="str" cm="1">
        <f t="array" ref="L773">_xlfn.IFS(Table1[[#This Row],[Customer Tenure in months]]&lt;=6, "0-6 months", Table1[[#This Row],[Customer Tenure in months]] &lt;=12, "7-12 months", Table1[[#This Row],[Customer Tenure in months]] &lt;=24, "1-2 years", TRUE, "2+ years")</f>
        <v>2+ years</v>
      </c>
      <c r="M773">
        <v>54</v>
      </c>
      <c r="N773" t="s">
        <v>58</v>
      </c>
      <c r="O773" s="1">
        <v>16000</v>
      </c>
      <c r="P773">
        <v>10</v>
      </c>
      <c r="Q773" s="1">
        <v>160000</v>
      </c>
      <c r="R773">
        <v>31.23</v>
      </c>
      <c r="S773" t="s">
        <v>1091</v>
      </c>
      <c r="T773" t="s">
        <v>39</v>
      </c>
    </row>
    <row r="774" spans="1:20" x14ac:dyDescent="0.35">
      <c r="A774" s="22" t="s">
        <v>866</v>
      </c>
      <c r="B774" cm="1">
        <f t="array" ref="B774">IF(MATCH(Table1[[#This Row],[Customer ID]], Table1[Customer ID], 0) = ROW() - ROW(Table1[#Headers]), 1, 0)</f>
        <v>0</v>
      </c>
      <c r="C774" t="s">
        <v>867</v>
      </c>
      <c r="D774" s="2">
        <v>45741</v>
      </c>
      <c r="E774">
        <v>78</v>
      </c>
      <c r="F774" t="str" cm="1">
        <f t="array" ref="F774">_xlfn.IFS( Table1[[#This Row],[Age]]&lt;18, "&lt;18", Table1[[#This Row],[Age]]&lt;= 29, "18-29", Table1[[#This Row],[Age]]&lt;= 44, "30-44",  Table1[[#This Row],[Age]]&lt;=59, "45-59", TRUE, "60+")</f>
        <v>60+</v>
      </c>
      <c r="G774" t="s">
        <v>128</v>
      </c>
      <c r="H774" t="s">
        <v>41</v>
      </c>
      <c r="I774" t="s">
        <v>30</v>
      </c>
      <c r="J774">
        <v>4</v>
      </c>
      <c r="K774" t="s">
        <v>114</v>
      </c>
      <c r="L774" t="str" cm="1">
        <f t="array" ref="L774">_xlfn.IFS(Table1[[#This Row],[Customer Tenure in months]]&lt;=6, "0-6 months", Table1[[#This Row],[Customer Tenure in months]] &lt;=12, "7-12 months", Table1[[#This Row],[Customer Tenure in months]] &lt;=24, "1-2 years", TRUE, "2+ years")</f>
        <v>2+ years</v>
      </c>
      <c r="M774">
        <v>54</v>
      </c>
      <c r="N774" t="s">
        <v>71</v>
      </c>
      <c r="O774" s="1">
        <v>14500</v>
      </c>
      <c r="P774">
        <v>10</v>
      </c>
      <c r="Q774" s="1">
        <v>145000</v>
      </c>
      <c r="R774">
        <v>25.27</v>
      </c>
      <c r="S774" t="s">
        <v>1091</v>
      </c>
      <c r="T774" t="s">
        <v>39</v>
      </c>
    </row>
    <row r="775" spans="1:20" x14ac:dyDescent="0.35">
      <c r="A775" s="22" t="s">
        <v>868</v>
      </c>
      <c r="B775" cm="1">
        <f t="array" ref="B775">IF(MATCH(Table1[[#This Row],[Customer ID]], Table1[Customer ID], 0) = ROW() - ROW(Table1[#Headers]), 1, 0)</f>
        <v>1</v>
      </c>
      <c r="C775" t="s">
        <v>869</v>
      </c>
      <c r="D775" s="2">
        <v>45682</v>
      </c>
      <c r="E775">
        <v>38</v>
      </c>
      <c r="F775" t="str" cm="1">
        <f t="array" ref="F775">_xlfn.IFS( Table1[[#This Row],[Age]]&lt;18, "&lt;18", Table1[[#This Row],[Age]]&lt;= 29, "18-29", Table1[[#This Row],[Age]]&lt;= 44, "30-44",  Table1[[#This Row],[Age]]&lt;=59, "45-59", TRUE, "60+")</f>
        <v>30-44</v>
      </c>
      <c r="G775" t="s">
        <v>90</v>
      </c>
      <c r="H775" t="s">
        <v>36</v>
      </c>
      <c r="I775" t="s">
        <v>21</v>
      </c>
      <c r="J775">
        <v>3</v>
      </c>
      <c r="K775" t="s">
        <v>50</v>
      </c>
      <c r="L775" t="str" cm="1">
        <f t="array" ref="L775">_xlfn.IFS(Table1[[#This Row],[Customer Tenure in months]]&lt;=6, "0-6 months", Table1[[#This Row],[Customer Tenure in months]] &lt;=12, "7-12 months", Table1[[#This Row],[Customer Tenure in months]] &lt;=24, "1-2 years", TRUE, "2+ years")</f>
        <v>0-6 months</v>
      </c>
      <c r="M775">
        <v>2</v>
      </c>
      <c r="N775" t="s">
        <v>57</v>
      </c>
      <c r="O775" s="1">
        <v>150000</v>
      </c>
      <c r="P775">
        <v>9</v>
      </c>
      <c r="Q775" s="1">
        <v>1350000</v>
      </c>
      <c r="R775">
        <v>113.33</v>
      </c>
      <c r="S775" t="s">
        <v>1091</v>
      </c>
      <c r="T775" t="s">
        <v>39</v>
      </c>
    </row>
    <row r="776" spans="1:20" x14ac:dyDescent="0.35">
      <c r="A776" s="22" t="s">
        <v>870</v>
      </c>
      <c r="B776" cm="1">
        <f t="array" ref="B776">IF(MATCH(Table1[[#This Row],[Customer ID]], Table1[Customer ID], 0) = ROW() - ROW(Table1[#Headers]), 1, 0)</f>
        <v>1</v>
      </c>
      <c r="C776" t="s">
        <v>871</v>
      </c>
      <c r="D776" s="2">
        <v>45741</v>
      </c>
      <c r="E776">
        <v>31</v>
      </c>
      <c r="F776" t="str" cm="1">
        <f t="array" ref="F776">_xlfn.IFS( Table1[[#This Row],[Age]]&lt;18, "&lt;18", Table1[[#This Row],[Age]]&lt;= 29, "18-29", Table1[[#This Row],[Age]]&lt;= 44, "30-44",  Table1[[#This Row],[Age]]&lt;=59, "45-59", TRUE, "60+")</f>
        <v>30-44</v>
      </c>
      <c r="G776" t="s">
        <v>45</v>
      </c>
      <c r="H776" t="s">
        <v>36</v>
      </c>
      <c r="I776" t="s">
        <v>21</v>
      </c>
      <c r="J776">
        <v>2</v>
      </c>
      <c r="K776" t="s">
        <v>22</v>
      </c>
      <c r="L776" t="str" cm="1">
        <f t="array" ref="L776">_xlfn.IFS(Table1[[#This Row],[Customer Tenure in months]]&lt;=6, "0-6 months", Table1[[#This Row],[Customer Tenure in months]] &lt;=12, "7-12 months", Table1[[#This Row],[Customer Tenure in months]] &lt;=24, "1-2 years", TRUE, "2+ years")</f>
        <v>2+ years</v>
      </c>
      <c r="M776">
        <v>55</v>
      </c>
      <c r="N776" t="s">
        <v>57</v>
      </c>
      <c r="O776" s="1">
        <v>150000</v>
      </c>
      <c r="P776">
        <v>5</v>
      </c>
      <c r="Q776" s="1">
        <v>750000</v>
      </c>
      <c r="R776">
        <v>175.72</v>
      </c>
      <c r="S776" t="s">
        <v>1091</v>
      </c>
      <c r="T776" t="s">
        <v>39</v>
      </c>
    </row>
    <row r="777" spans="1:20" x14ac:dyDescent="0.35">
      <c r="A777" s="22" t="s">
        <v>872</v>
      </c>
      <c r="B777" cm="1">
        <f t="array" ref="B777">IF(MATCH(Table1[[#This Row],[Customer ID]], Table1[Customer ID], 0) = ROW() - ROW(Table1[#Headers]), 1, 0)</f>
        <v>1</v>
      </c>
      <c r="C777" t="s">
        <v>873</v>
      </c>
      <c r="D777" s="2">
        <v>45713</v>
      </c>
      <c r="E777">
        <v>36</v>
      </c>
      <c r="F777" t="str" cm="1">
        <f t="array" ref="F777">_xlfn.IFS( Table1[[#This Row],[Age]]&lt;18, "&lt;18", Table1[[#This Row],[Age]]&lt;= 29, "18-29", Table1[[#This Row],[Age]]&lt;= 44, "30-44",  Table1[[#This Row],[Age]]&lt;=59, "45-59", TRUE, "60+")</f>
        <v>30-44</v>
      </c>
      <c r="G777" t="s">
        <v>49</v>
      </c>
      <c r="H777" t="s">
        <v>41</v>
      </c>
      <c r="I777" t="s">
        <v>30</v>
      </c>
      <c r="J777">
        <v>3</v>
      </c>
      <c r="K777" t="s">
        <v>50</v>
      </c>
      <c r="L777" t="str" cm="1">
        <f t="array" ref="L777">_xlfn.IFS(Table1[[#This Row],[Customer Tenure in months]]&lt;=6, "0-6 months", Table1[[#This Row],[Customer Tenure in months]] &lt;=12, "7-12 months", Table1[[#This Row],[Customer Tenure in months]] &lt;=24, "1-2 years", TRUE, "2+ years")</f>
        <v>1-2 years</v>
      </c>
      <c r="M777">
        <v>24</v>
      </c>
      <c r="N777" t="s">
        <v>38</v>
      </c>
      <c r="O777" s="1">
        <v>20000</v>
      </c>
      <c r="P777">
        <v>20</v>
      </c>
      <c r="Q777" s="1">
        <v>400000</v>
      </c>
      <c r="R777">
        <v>153.06</v>
      </c>
      <c r="S777" t="s">
        <v>96</v>
      </c>
      <c r="T777" t="s">
        <v>24</v>
      </c>
    </row>
    <row r="778" spans="1:20" x14ac:dyDescent="0.35">
      <c r="A778" s="22" t="s">
        <v>872</v>
      </c>
      <c r="B778" cm="1">
        <f t="array" ref="B778">IF(MATCH(Table1[[#This Row],[Customer ID]], Table1[Customer ID], 0) = ROW() - ROW(Table1[#Headers]), 1, 0)</f>
        <v>0</v>
      </c>
      <c r="C778" t="s">
        <v>873</v>
      </c>
      <c r="D778" s="2">
        <v>45713</v>
      </c>
      <c r="E778">
        <v>36</v>
      </c>
      <c r="F778" t="str" cm="1">
        <f t="array" ref="F778">_xlfn.IFS( Table1[[#This Row],[Age]]&lt;18, "&lt;18", Table1[[#This Row],[Age]]&lt;= 29, "18-29", Table1[[#This Row],[Age]]&lt;= 44, "30-44",  Table1[[#This Row],[Age]]&lt;=59, "45-59", TRUE, "60+")</f>
        <v>30-44</v>
      </c>
      <c r="G778" t="s">
        <v>49</v>
      </c>
      <c r="H778" t="s">
        <v>36</v>
      </c>
      <c r="I778" t="s">
        <v>30</v>
      </c>
      <c r="J778">
        <v>3</v>
      </c>
      <c r="K778" t="s">
        <v>50</v>
      </c>
      <c r="L778" t="str" cm="1">
        <f t="array" ref="L778">_xlfn.IFS(Table1[[#This Row],[Customer Tenure in months]]&lt;=6, "0-6 months", Table1[[#This Row],[Customer Tenure in months]] &lt;=12, "7-12 months", Table1[[#This Row],[Customer Tenure in months]] &lt;=24, "1-2 years", TRUE, "2+ years")</f>
        <v>1-2 years</v>
      </c>
      <c r="M778">
        <v>24</v>
      </c>
      <c r="N778" t="s">
        <v>65</v>
      </c>
      <c r="O778" s="1">
        <v>30000</v>
      </c>
      <c r="P778">
        <v>11</v>
      </c>
      <c r="Q778" s="1">
        <v>330000</v>
      </c>
      <c r="R778">
        <v>108.97</v>
      </c>
      <c r="S778" t="s">
        <v>96</v>
      </c>
      <c r="T778" t="s">
        <v>24</v>
      </c>
    </row>
    <row r="779" spans="1:20" x14ac:dyDescent="0.35">
      <c r="A779" s="22" t="s">
        <v>872</v>
      </c>
      <c r="B779" cm="1">
        <f t="array" ref="B779">IF(MATCH(Table1[[#This Row],[Customer ID]], Table1[Customer ID], 0) = ROW() - ROW(Table1[#Headers]), 1, 0)</f>
        <v>0</v>
      </c>
      <c r="C779" t="s">
        <v>873</v>
      </c>
      <c r="D779" s="2">
        <v>45713</v>
      </c>
      <c r="E779">
        <v>36</v>
      </c>
      <c r="F779" t="str" cm="1">
        <f t="array" ref="F779">_xlfn.IFS( Table1[[#This Row],[Age]]&lt;18, "&lt;18", Table1[[#This Row],[Age]]&lt;= 29, "18-29", Table1[[#This Row],[Age]]&lt;= 44, "30-44",  Table1[[#This Row],[Age]]&lt;=59, "45-59", TRUE, "60+")</f>
        <v>30-44</v>
      </c>
      <c r="G779" t="s">
        <v>49</v>
      </c>
      <c r="H779" t="s">
        <v>29</v>
      </c>
      <c r="I779" t="s">
        <v>30</v>
      </c>
      <c r="J779">
        <v>3</v>
      </c>
      <c r="K779" t="s">
        <v>50</v>
      </c>
      <c r="L779" t="str" cm="1">
        <f t="array" ref="L779">_xlfn.IFS(Table1[[#This Row],[Customer Tenure in months]]&lt;=6, "0-6 months", Table1[[#This Row],[Customer Tenure in months]] &lt;=12, "7-12 months", Table1[[#This Row],[Customer Tenure in months]] &lt;=24, "1-2 years", TRUE, "2+ years")</f>
        <v>1-2 years</v>
      </c>
      <c r="M779">
        <v>24</v>
      </c>
      <c r="N779" t="s">
        <v>40</v>
      </c>
      <c r="O779" s="1">
        <v>500</v>
      </c>
      <c r="P779">
        <v>12</v>
      </c>
      <c r="Q779" s="1">
        <v>6000</v>
      </c>
      <c r="R779">
        <v>54.66</v>
      </c>
      <c r="S779" t="s">
        <v>96</v>
      </c>
      <c r="T779" t="s">
        <v>24</v>
      </c>
    </row>
    <row r="780" spans="1:20" x14ac:dyDescent="0.35">
      <c r="A780" s="22" t="s">
        <v>874</v>
      </c>
      <c r="B780" cm="1">
        <f t="array" ref="B780">IF(MATCH(Table1[[#This Row],[Customer ID]], Table1[Customer ID], 0) = ROW() - ROW(Table1[#Headers]), 1, 0)</f>
        <v>1</v>
      </c>
      <c r="C780" t="s">
        <v>875</v>
      </c>
      <c r="D780" s="2">
        <v>45741</v>
      </c>
      <c r="E780">
        <v>61</v>
      </c>
      <c r="F780" t="str" cm="1">
        <f t="array" ref="F780">_xlfn.IFS( Table1[[#This Row],[Age]]&lt;18, "&lt;18", Table1[[#This Row],[Age]]&lt;= 29, "18-29", Table1[[#This Row],[Age]]&lt;= 44, "30-44",  Table1[[#This Row],[Age]]&lt;=59, "45-59", TRUE, "60+")</f>
        <v>60+</v>
      </c>
      <c r="G780" t="s">
        <v>54</v>
      </c>
      <c r="H780" t="s">
        <v>36</v>
      </c>
      <c r="I780" t="s">
        <v>21</v>
      </c>
      <c r="J780">
        <v>3</v>
      </c>
      <c r="K780" t="s">
        <v>50</v>
      </c>
      <c r="L780" t="str" cm="1">
        <f t="array" ref="L780">_xlfn.IFS(Table1[[#This Row],[Customer Tenure in months]]&lt;=6, "0-6 months", Table1[[#This Row],[Customer Tenure in months]] &lt;=12, "7-12 months", Table1[[#This Row],[Customer Tenure in months]] &lt;=24, "1-2 years", TRUE, "2+ years")</f>
        <v>7-12 months</v>
      </c>
      <c r="M780">
        <v>9</v>
      </c>
      <c r="N780" t="s">
        <v>38</v>
      </c>
      <c r="O780" s="1">
        <v>20000</v>
      </c>
      <c r="P780">
        <v>17</v>
      </c>
      <c r="Q780" s="1">
        <v>340000</v>
      </c>
      <c r="R780">
        <v>43.97</v>
      </c>
      <c r="S780" t="s">
        <v>1091</v>
      </c>
      <c r="T780" t="s">
        <v>39</v>
      </c>
    </row>
    <row r="781" spans="1:20" x14ac:dyDescent="0.35">
      <c r="A781" s="22" t="s">
        <v>874</v>
      </c>
      <c r="B781" cm="1">
        <f t="array" ref="B781">IF(MATCH(Table1[[#This Row],[Customer ID]], Table1[Customer ID], 0) = ROW() - ROW(Table1[#Headers]), 1, 0)</f>
        <v>0</v>
      </c>
      <c r="C781" t="s">
        <v>875</v>
      </c>
      <c r="D781" s="2">
        <v>45741</v>
      </c>
      <c r="E781">
        <v>61</v>
      </c>
      <c r="F781" t="str" cm="1">
        <f t="array" ref="F781">_xlfn.IFS( Table1[[#This Row],[Age]]&lt;18, "&lt;18", Table1[[#This Row],[Age]]&lt;= 29, "18-29", Table1[[#This Row],[Age]]&lt;= 44, "30-44",  Table1[[#This Row],[Age]]&lt;=59, "45-59", TRUE, "60+")</f>
        <v>60+</v>
      </c>
      <c r="G781" t="s">
        <v>54</v>
      </c>
      <c r="H781" t="s">
        <v>41</v>
      </c>
      <c r="I781" t="s">
        <v>21</v>
      </c>
      <c r="J781">
        <v>3</v>
      </c>
      <c r="K781" t="s">
        <v>50</v>
      </c>
      <c r="L781" t="str" cm="1">
        <f t="array" ref="L781">_xlfn.IFS(Table1[[#This Row],[Customer Tenure in months]]&lt;=6, "0-6 months", Table1[[#This Row],[Customer Tenure in months]] &lt;=12, "7-12 months", Table1[[#This Row],[Customer Tenure in months]] &lt;=24, "1-2 years", TRUE, "2+ years")</f>
        <v>7-12 months</v>
      </c>
      <c r="M781">
        <v>9</v>
      </c>
      <c r="N781" t="s">
        <v>38</v>
      </c>
      <c r="O781" s="1">
        <v>20000</v>
      </c>
      <c r="P781">
        <v>18</v>
      </c>
      <c r="Q781" s="1">
        <v>360000</v>
      </c>
      <c r="R781">
        <v>166.4</v>
      </c>
      <c r="S781" t="s">
        <v>1091</v>
      </c>
      <c r="T781" t="s">
        <v>39</v>
      </c>
    </row>
    <row r="782" spans="1:20" x14ac:dyDescent="0.35">
      <c r="A782" s="22" t="s">
        <v>876</v>
      </c>
      <c r="B782" cm="1">
        <f t="array" ref="B782">IF(MATCH(Table1[[#This Row],[Customer ID]], Table1[Customer ID], 0) = ROW() - ROW(Table1[#Headers]), 1, 0)</f>
        <v>1</v>
      </c>
      <c r="C782" t="s">
        <v>877</v>
      </c>
      <c r="D782" s="2">
        <v>45682</v>
      </c>
      <c r="E782">
        <v>30</v>
      </c>
      <c r="F782" t="str" cm="1">
        <f t="array" ref="F782">_xlfn.IFS( Table1[[#This Row],[Age]]&lt;18, "&lt;18", Table1[[#This Row],[Age]]&lt;= 29, "18-29", Table1[[#This Row],[Age]]&lt;= 44, "30-44",  Table1[[#This Row],[Age]]&lt;=59, "45-59", TRUE, "60+")</f>
        <v>30-44</v>
      </c>
      <c r="G782" t="s">
        <v>110</v>
      </c>
      <c r="H782" t="s">
        <v>29</v>
      </c>
      <c r="I782" t="s">
        <v>30</v>
      </c>
      <c r="J782">
        <v>1</v>
      </c>
      <c r="K782" t="s">
        <v>37</v>
      </c>
      <c r="L782" t="str" cm="1">
        <f t="array" ref="L782">_xlfn.IFS(Table1[[#This Row],[Customer Tenure in months]]&lt;=6, "0-6 months", Table1[[#This Row],[Customer Tenure in months]] &lt;=12, "7-12 months", Table1[[#This Row],[Customer Tenure in months]] &lt;=24, "1-2 years", TRUE, "2+ years")</f>
        <v>2+ years</v>
      </c>
      <c r="M782">
        <v>59</v>
      </c>
      <c r="N782" t="s">
        <v>56</v>
      </c>
      <c r="O782" s="1">
        <v>3500</v>
      </c>
      <c r="P782">
        <v>12</v>
      </c>
      <c r="Q782" s="1">
        <v>42000</v>
      </c>
      <c r="R782">
        <v>62.66</v>
      </c>
      <c r="S782" t="s">
        <v>1091</v>
      </c>
      <c r="T782" t="s">
        <v>39</v>
      </c>
    </row>
    <row r="783" spans="1:20" x14ac:dyDescent="0.35">
      <c r="A783" s="22" t="s">
        <v>878</v>
      </c>
      <c r="B783" cm="1">
        <f t="array" ref="B783">IF(MATCH(Table1[[#This Row],[Customer ID]], Table1[Customer ID], 0) = ROW() - ROW(Table1[#Headers]), 1, 0)</f>
        <v>1</v>
      </c>
      <c r="C783" t="s">
        <v>879</v>
      </c>
      <c r="D783" s="2">
        <v>45741</v>
      </c>
      <c r="E783">
        <v>72</v>
      </c>
      <c r="F783" t="str" cm="1">
        <f t="array" ref="F783">_xlfn.IFS( Table1[[#This Row],[Age]]&lt;18, "&lt;18", Table1[[#This Row],[Age]]&lt;= 29, "18-29", Table1[[#This Row],[Age]]&lt;= 44, "30-44",  Table1[[#This Row],[Age]]&lt;=59, "45-59", TRUE, "60+")</f>
        <v>60+</v>
      </c>
      <c r="G783" t="s">
        <v>75</v>
      </c>
      <c r="H783" t="s">
        <v>20</v>
      </c>
      <c r="I783" t="s">
        <v>30</v>
      </c>
      <c r="J783">
        <v>1</v>
      </c>
      <c r="K783" t="s">
        <v>37</v>
      </c>
      <c r="L783" t="str" cm="1">
        <f t="array" ref="L783">_xlfn.IFS(Table1[[#This Row],[Customer Tenure in months]]&lt;=6, "0-6 months", Table1[[#This Row],[Customer Tenure in months]] &lt;=12, "7-12 months", Table1[[#This Row],[Customer Tenure in months]] &lt;=24, "1-2 years", TRUE, "2+ years")</f>
        <v>7-12 months</v>
      </c>
      <c r="M783">
        <v>12</v>
      </c>
      <c r="N783" t="s">
        <v>46</v>
      </c>
      <c r="O783" s="1">
        <v>4500</v>
      </c>
      <c r="P783">
        <v>5</v>
      </c>
      <c r="Q783" s="1">
        <v>22500</v>
      </c>
      <c r="R783">
        <v>171.43</v>
      </c>
      <c r="S783" t="s">
        <v>1091</v>
      </c>
      <c r="T783" t="s">
        <v>39</v>
      </c>
    </row>
    <row r="784" spans="1:20" x14ac:dyDescent="0.35">
      <c r="A784" s="22" t="s">
        <v>880</v>
      </c>
      <c r="B784" cm="1">
        <f t="array" ref="B784">IF(MATCH(Table1[[#This Row],[Customer ID]], Table1[Customer ID], 0) = ROW() - ROW(Table1[#Headers]), 1, 0)</f>
        <v>1</v>
      </c>
      <c r="C784" t="s">
        <v>881</v>
      </c>
      <c r="D784" s="2">
        <v>45682</v>
      </c>
      <c r="E784">
        <v>55</v>
      </c>
      <c r="F784" t="str" cm="1">
        <f t="array" ref="F784">_xlfn.IFS( Table1[[#This Row],[Age]]&lt;18, "&lt;18", Table1[[#This Row],[Age]]&lt;= 29, "18-29", Table1[[#This Row],[Age]]&lt;= 44, "30-44",  Table1[[#This Row],[Age]]&lt;=59, "45-59", TRUE, "60+")</f>
        <v>45-59</v>
      </c>
      <c r="G784" t="s">
        <v>140</v>
      </c>
      <c r="H784" t="s">
        <v>41</v>
      </c>
      <c r="I784" t="s">
        <v>21</v>
      </c>
      <c r="J784">
        <v>4</v>
      </c>
      <c r="K784" t="s">
        <v>114</v>
      </c>
      <c r="L784" t="str" cm="1">
        <f t="array" ref="L784">_xlfn.IFS(Table1[[#This Row],[Customer Tenure in months]]&lt;=6, "0-6 months", Table1[[#This Row],[Customer Tenure in months]] &lt;=12, "7-12 months", Table1[[#This Row],[Customer Tenure in months]] &lt;=24, "1-2 years", TRUE, "2+ years")</f>
        <v>7-12 months</v>
      </c>
      <c r="M784">
        <v>9</v>
      </c>
      <c r="N784" t="s">
        <v>42</v>
      </c>
      <c r="O784" s="1">
        <v>9000</v>
      </c>
      <c r="P784">
        <v>14</v>
      </c>
      <c r="Q784" s="1">
        <v>126000</v>
      </c>
      <c r="R784">
        <v>155.05000000000001</v>
      </c>
      <c r="S784" t="s">
        <v>1091</v>
      </c>
      <c r="T784" t="s">
        <v>39</v>
      </c>
    </row>
    <row r="785" spans="1:20" x14ac:dyDescent="0.35">
      <c r="A785" s="22" t="s">
        <v>882</v>
      </c>
      <c r="B785" cm="1">
        <f t="array" ref="B785">IF(MATCH(Table1[[#This Row],[Customer ID]], Table1[Customer ID], 0) = ROW() - ROW(Table1[#Headers]), 1, 0)</f>
        <v>1</v>
      </c>
      <c r="C785" t="s">
        <v>883</v>
      </c>
      <c r="D785" s="2">
        <v>45682</v>
      </c>
      <c r="E785">
        <v>41</v>
      </c>
      <c r="F785" t="str" cm="1">
        <f t="array" ref="F785">_xlfn.IFS( Table1[[#This Row],[Age]]&lt;18, "&lt;18", Table1[[#This Row],[Age]]&lt;= 29, "18-29", Table1[[#This Row],[Age]]&lt;= 44, "30-44",  Table1[[#This Row],[Age]]&lt;=59, "45-59", TRUE, "60+")</f>
        <v>30-44</v>
      </c>
      <c r="G785" t="s">
        <v>95</v>
      </c>
      <c r="H785" t="s">
        <v>41</v>
      </c>
      <c r="I785" t="s">
        <v>21</v>
      </c>
      <c r="J785">
        <v>4</v>
      </c>
      <c r="K785" t="s">
        <v>114</v>
      </c>
      <c r="L785" t="str" cm="1">
        <f t="array" ref="L785">_xlfn.IFS(Table1[[#This Row],[Customer Tenure in months]]&lt;=6, "0-6 months", Table1[[#This Row],[Customer Tenure in months]] &lt;=12, "7-12 months", Table1[[#This Row],[Customer Tenure in months]] &lt;=24, "1-2 years", TRUE, "2+ years")</f>
        <v>2+ years</v>
      </c>
      <c r="M785">
        <v>51</v>
      </c>
      <c r="N785" t="s">
        <v>65</v>
      </c>
      <c r="O785" s="1">
        <v>30000</v>
      </c>
      <c r="P785">
        <v>4</v>
      </c>
      <c r="Q785" s="1">
        <v>120000</v>
      </c>
      <c r="R785">
        <v>133.68</v>
      </c>
      <c r="S785" t="s">
        <v>96</v>
      </c>
      <c r="T785" t="s">
        <v>24</v>
      </c>
    </row>
    <row r="786" spans="1:20" x14ac:dyDescent="0.35">
      <c r="A786" s="22" t="s">
        <v>884</v>
      </c>
      <c r="B786" cm="1">
        <f t="array" ref="B786">IF(MATCH(Table1[[#This Row],[Customer ID]], Table1[Customer ID], 0) = ROW() - ROW(Table1[#Headers]), 1, 0)</f>
        <v>1</v>
      </c>
      <c r="C786" t="s">
        <v>885</v>
      </c>
      <c r="D786" s="2">
        <v>45741</v>
      </c>
      <c r="E786">
        <v>42</v>
      </c>
      <c r="F786" t="str" cm="1">
        <f t="array" ref="F786">_xlfn.IFS( Table1[[#This Row],[Age]]&lt;18, "&lt;18", Table1[[#This Row],[Age]]&lt;= 29, "18-29", Table1[[#This Row],[Age]]&lt;= 44, "30-44",  Table1[[#This Row],[Age]]&lt;=59, "45-59", TRUE, "60+")</f>
        <v>30-44</v>
      </c>
      <c r="G786" t="s">
        <v>121</v>
      </c>
      <c r="H786" t="s">
        <v>36</v>
      </c>
      <c r="I786" t="s">
        <v>21</v>
      </c>
      <c r="J786">
        <v>1</v>
      </c>
      <c r="K786" t="s">
        <v>37</v>
      </c>
      <c r="L786" t="str" cm="1">
        <f t="array" ref="L786">_xlfn.IFS(Table1[[#This Row],[Customer Tenure in months]]&lt;=6, "0-6 months", Table1[[#This Row],[Customer Tenure in months]] &lt;=12, "7-12 months", Table1[[#This Row],[Customer Tenure in months]] &lt;=24, "1-2 years", TRUE, "2+ years")</f>
        <v>2+ years</v>
      </c>
      <c r="M786">
        <v>43</v>
      </c>
      <c r="N786" t="s">
        <v>115</v>
      </c>
      <c r="O786" s="1">
        <v>25000</v>
      </c>
      <c r="P786">
        <v>17</v>
      </c>
      <c r="Q786" s="1">
        <v>425000</v>
      </c>
      <c r="R786">
        <v>32.53</v>
      </c>
      <c r="S786" t="s">
        <v>32</v>
      </c>
      <c r="T786" t="s">
        <v>24</v>
      </c>
    </row>
    <row r="787" spans="1:20" x14ac:dyDescent="0.35">
      <c r="A787" s="22" t="s">
        <v>884</v>
      </c>
      <c r="B787" cm="1">
        <f t="array" ref="B787">IF(MATCH(Table1[[#This Row],[Customer ID]], Table1[Customer ID], 0) = ROW() - ROW(Table1[#Headers]), 1, 0)</f>
        <v>0</v>
      </c>
      <c r="C787" t="s">
        <v>885</v>
      </c>
      <c r="D787" s="2">
        <v>45741</v>
      </c>
      <c r="E787">
        <v>42</v>
      </c>
      <c r="F787" t="str" cm="1">
        <f t="array" ref="F787">_xlfn.IFS( Table1[[#This Row],[Age]]&lt;18, "&lt;18", Table1[[#This Row],[Age]]&lt;= 29, "18-29", Table1[[#This Row],[Age]]&lt;= 44, "30-44",  Table1[[#This Row],[Age]]&lt;=59, "45-59", TRUE, "60+")</f>
        <v>30-44</v>
      </c>
      <c r="G787" t="s">
        <v>121</v>
      </c>
      <c r="H787" t="s">
        <v>29</v>
      </c>
      <c r="I787" t="s">
        <v>21</v>
      </c>
      <c r="J787">
        <v>1</v>
      </c>
      <c r="K787" t="s">
        <v>37</v>
      </c>
      <c r="L787" t="str" cm="1">
        <f t="array" ref="L787">_xlfn.IFS(Table1[[#This Row],[Customer Tenure in months]]&lt;=6, "0-6 months", Table1[[#This Row],[Customer Tenure in months]] &lt;=12, "7-12 months", Table1[[#This Row],[Customer Tenure in months]] &lt;=24, "1-2 years", TRUE, "2+ years")</f>
        <v>2+ years</v>
      </c>
      <c r="M787">
        <v>43</v>
      </c>
      <c r="N787" t="s">
        <v>72</v>
      </c>
      <c r="O787" s="1">
        <v>350</v>
      </c>
      <c r="P787">
        <v>3</v>
      </c>
      <c r="Q787" s="1">
        <v>1050</v>
      </c>
      <c r="R787">
        <v>101.23</v>
      </c>
      <c r="S787" t="s">
        <v>32</v>
      </c>
      <c r="T787" t="s">
        <v>24</v>
      </c>
    </row>
    <row r="788" spans="1:20" x14ac:dyDescent="0.35">
      <c r="A788" s="22" t="s">
        <v>884</v>
      </c>
      <c r="B788" cm="1">
        <f t="array" ref="B788">IF(MATCH(Table1[[#This Row],[Customer ID]], Table1[Customer ID], 0) = ROW() - ROW(Table1[#Headers]), 1, 0)</f>
        <v>0</v>
      </c>
      <c r="C788" t="s">
        <v>885</v>
      </c>
      <c r="D788" s="2">
        <v>45741</v>
      </c>
      <c r="E788">
        <v>42</v>
      </c>
      <c r="F788" t="str" cm="1">
        <f t="array" ref="F788">_xlfn.IFS( Table1[[#This Row],[Age]]&lt;18, "&lt;18", Table1[[#This Row],[Age]]&lt;= 29, "18-29", Table1[[#This Row],[Age]]&lt;= 44, "30-44",  Table1[[#This Row],[Age]]&lt;=59, "45-59", TRUE, "60+")</f>
        <v>30-44</v>
      </c>
      <c r="G788" t="s">
        <v>121</v>
      </c>
      <c r="H788" t="s">
        <v>20</v>
      </c>
      <c r="I788" t="s">
        <v>21</v>
      </c>
      <c r="J788">
        <v>1</v>
      </c>
      <c r="K788" t="s">
        <v>37</v>
      </c>
      <c r="L788" t="str" cm="1">
        <f t="array" ref="L788">_xlfn.IFS(Table1[[#This Row],[Customer Tenure in months]]&lt;=6, "0-6 months", Table1[[#This Row],[Customer Tenure in months]] &lt;=12, "7-12 months", Table1[[#This Row],[Customer Tenure in months]] &lt;=24, "1-2 years", TRUE, "2+ years")</f>
        <v>2+ years</v>
      </c>
      <c r="M788">
        <v>43</v>
      </c>
      <c r="N788" t="s">
        <v>58</v>
      </c>
      <c r="O788" s="1">
        <v>16000</v>
      </c>
      <c r="P788">
        <v>1</v>
      </c>
      <c r="Q788" s="1">
        <v>16000</v>
      </c>
      <c r="R788">
        <v>164.01</v>
      </c>
      <c r="S788" t="s">
        <v>32</v>
      </c>
      <c r="T788" t="s">
        <v>24</v>
      </c>
    </row>
    <row r="789" spans="1:20" x14ac:dyDescent="0.35">
      <c r="A789" s="22" t="s">
        <v>886</v>
      </c>
      <c r="B789" cm="1">
        <f t="array" ref="B789">IF(MATCH(Table1[[#This Row],[Customer ID]], Table1[Customer ID], 0) = ROW() - ROW(Table1[#Headers]), 1, 0)</f>
        <v>1</v>
      </c>
      <c r="C789" t="s">
        <v>887</v>
      </c>
      <c r="D789" s="2">
        <v>45682</v>
      </c>
      <c r="E789">
        <v>43</v>
      </c>
      <c r="F789" t="str" cm="1">
        <f t="array" ref="F789">_xlfn.IFS( Table1[[#This Row],[Age]]&lt;18, "&lt;18", Table1[[#This Row],[Age]]&lt;= 29, "18-29", Table1[[#This Row],[Age]]&lt;= 44, "30-44",  Table1[[#This Row],[Age]]&lt;=59, "45-59", TRUE, "60+")</f>
        <v>30-44</v>
      </c>
      <c r="G789" t="s">
        <v>121</v>
      </c>
      <c r="H789" t="s">
        <v>29</v>
      </c>
      <c r="I789" t="s">
        <v>30</v>
      </c>
      <c r="J789">
        <v>1</v>
      </c>
      <c r="K789" t="s">
        <v>37</v>
      </c>
      <c r="L789" t="str" cm="1">
        <f t="array" ref="L789">_xlfn.IFS(Table1[[#This Row],[Customer Tenure in months]]&lt;=6, "0-6 months", Table1[[#This Row],[Customer Tenure in months]] &lt;=12, "7-12 months", Table1[[#This Row],[Customer Tenure in months]] &lt;=24, "1-2 years", TRUE, "2+ years")</f>
        <v>7-12 months</v>
      </c>
      <c r="M789">
        <v>11</v>
      </c>
      <c r="N789" t="s">
        <v>31</v>
      </c>
      <c r="O789" s="1">
        <v>5500</v>
      </c>
      <c r="P789">
        <v>4</v>
      </c>
      <c r="Q789" s="1">
        <v>22000</v>
      </c>
      <c r="R789">
        <v>134.87</v>
      </c>
      <c r="S789" t="s">
        <v>1091</v>
      </c>
      <c r="T789" t="s">
        <v>39</v>
      </c>
    </row>
    <row r="790" spans="1:20" x14ac:dyDescent="0.35">
      <c r="A790" s="22" t="s">
        <v>886</v>
      </c>
      <c r="B790" cm="1">
        <f t="array" ref="B790">IF(MATCH(Table1[[#This Row],[Customer ID]], Table1[Customer ID], 0) = ROW() - ROW(Table1[#Headers]), 1, 0)</f>
        <v>0</v>
      </c>
      <c r="C790" t="s">
        <v>887</v>
      </c>
      <c r="D790" s="2">
        <v>45682</v>
      </c>
      <c r="E790">
        <v>43</v>
      </c>
      <c r="F790" t="str" cm="1">
        <f t="array" ref="F790">_xlfn.IFS( Table1[[#This Row],[Age]]&lt;18, "&lt;18", Table1[[#This Row],[Age]]&lt;= 29, "18-29", Table1[[#This Row],[Age]]&lt;= 44, "30-44",  Table1[[#This Row],[Age]]&lt;=59, "45-59", TRUE, "60+")</f>
        <v>30-44</v>
      </c>
      <c r="G790" t="s">
        <v>121</v>
      </c>
      <c r="H790" t="s">
        <v>20</v>
      </c>
      <c r="I790" t="s">
        <v>30</v>
      </c>
      <c r="J790">
        <v>1</v>
      </c>
      <c r="K790" t="s">
        <v>37</v>
      </c>
      <c r="L790" t="str" cm="1">
        <f t="array" ref="L790">_xlfn.IFS(Table1[[#This Row],[Customer Tenure in months]]&lt;=6, "0-6 months", Table1[[#This Row],[Customer Tenure in months]] &lt;=12, "7-12 months", Table1[[#This Row],[Customer Tenure in months]] &lt;=24, "1-2 years", TRUE, "2+ years")</f>
        <v>7-12 months</v>
      </c>
      <c r="M790">
        <v>11</v>
      </c>
      <c r="N790" t="s">
        <v>46</v>
      </c>
      <c r="O790" s="1">
        <v>4500</v>
      </c>
      <c r="P790">
        <v>13</v>
      </c>
      <c r="Q790" s="1">
        <v>58500</v>
      </c>
      <c r="R790">
        <v>167.03</v>
      </c>
      <c r="S790" t="s">
        <v>1091</v>
      </c>
      <c r="T790" t="s">
        <v>39</v>
      </c>
    </row>
    <row r="791" spans="1:20" x14ac:dyDescent="0.35">
      <c r="A791" s="22" t="s">
        <v>886</v>
      </c>
      <c r="B791" cm="1">
        <f t="array" ref="B791">IF(MATCH(Table1[[#This Row],[Customer ID]], Table1[Customer ID], 0) = ROW() - ROW(Table1[#Headers]), 1, 0)</f>
        <v>0</v>
      </c>
      <c r="C791" t="s">
        <v>887</v>
      </c>
      <c r="D791" s="2">
        <v>45682</v>
      </c>
      <c r="E791">
        <v>43</v>
      </c>
      <c r="F791" t="str" cm="1">
        <f t="array" ref="F791">_xlfn.IFS( Table1[[#This Row],[Age]]&lt;18, "&lt;18", Table1[[#This Row],[Age]]&lt;= 29, "18-29", Table1[[#This Row],[Age]]&lt;= 44, "30-44",  Table1[[#This Row],[Age]]&lt;=59, "45-59", TRUE, "60+")</f>
        <v>30-44</v>
      </c>
      <c r="G791" t="s">
        <v>121</v>
      </c>
      <c r="H791" t="s">
        <v>41</v>
      </c>
      <c r="I791" t="s">
        <v>30</v>
      </c>
      <c r="J791">
        <v>1</v>
      </c>
      <c r="K791" t="s">
        <v>37</v>
      </c>
      <c r="L791" t="str" cm="1">
        <f t="array" ref="L791">_xlfn.IFS(Table1[[#This Row],[Customer Tenure in months]]&lt;=6, "0-6 months", Table1[[#This Row],[Customer Tenure in months]] &lt;=12, "7-12 months", Table1[[#This Row],[Customer Tenure in months]] &lt;=24, "1-2 years", TRUE, "2+ years")</f>
        <v>7-12 months</v>
      </c>
      <c r="M791">
        <v>11</v>
      </c>
      <c r="N791" t="s">
        <v>71</v>
      </c>
      <c r="O791" s="1">
        <v>14500</v>
      </c>
      <c r="P791">
        <v>8</v>
      </c>
      <c r="Q791" s="1">
        <v>116000</v>
      </c>
      <c r="R791">
        <v>43.25</v>
      </c>
      <c r="S791" t="s">
        <v>1091</v>
      </c>
      <c r="T791" t="s">
        <v>39</v>
      </c>
    </row>
    <row r="792" spans="1:20" x14ac:dyDescent="0.35">
      <c r="A792" s="22" t="s">
        <v>888</v>
      </c>
      <c r="B792" cm="1">
        <f t="array" ref="B792">IF(MATCH(Table1[[#This Row],[Customer ID]], Table1[Customer ID], 0) = ROW() - ROW(Table1[#Headers]), 1, 0)</f>
        <v>1</v>
      </c>
      <c r="C792" t="s">
        <v>889</v>
      </c>
      <c r="D792" s="2">
        <v>45682</v>
      </c>
      <c r="E792">
        <v>30</v>
      </c>
      <c r="F792" t="str" cm="1">
        <f t="array" ref="F792">_xlfn.IFS( Table1[[#This Row],[Age]]&lt;18, "&lt;18", Table1[[#This Row],[Age]]&lt;= 29, "18-29", Table1[[#This Row],[Age]]&lt;= 44, "30-44",  Table1[[#This Row],[Age]]&lt;=59, "45-59", TRUE, "60+")</f>
        <v>30-44</v>
      </c>
      <c r="G792" t="s">
        <v>258</v>
      </c>
      <c r="H792" t="s">
        <v>36</v>
      </c>
      <c r="I792" t="s">
        <v>21</v>
      </c>
      <c r="J792">
        <v>5</v>
      </c>
      <c r="K792" t="s">
        <v>55</v>
      </c>
      <c r="L792" t="str" cm="1">
        <f t="array" ref="L792">_xlfn.IFS(Table1[[#This Row],[Customer Tenure in months]]&lt;=6, "0-6 months", Table1[[#This Row],[Customer Tenure in months]] &lt;=12, "7-12 months", Table1[[#This Row],[Customer Tenure in months]] &lt;=24, "1-2 years", TRUE, "2+ years")</f>
        <v>2+ years</v>
      </c>
      <c r="M792">
        <v>30</v>
      </c>
      <c r="N792" t="s">
        <v>42</v>
      </c>
      <c r="O792" s="1">
        <v>9000</v>
      </c>
      <c r="P792">
        <v>16</v>
      </c>
      <c r="Q792" s="1">
        <v>144000</v>
      </c>
      <c r="R792">
        <v>16.91</v>
      </c>
      <c r="S792" t="s">
        <v>32</v>
      </c>
      <c r="T792" t="s">
        <v>24</v>
      </c>
    </row>
    <row r="793" spans="1:20" x14ac:dyDescent="0.35">
      <c r="A793" s="22" t="s">
        <v>888</v>
      </c>
      <c r="B793" cm="1">
        <f t="array" ref="B793">IF(MATCH(Table1[[#This Row],[Customer ID]], Table1[Customer ID], 0) = ROW() - ROW(Table1[#Headers]), 1, 0)</f>
        <v>0</v>
      </c>
      <c r="C793" t="s">
        <v>889</v>
      </c>
      <c r="D793" s="2">
        <v>45682</v>
      </c>
      <c r="E793">
        <v>30</v>
      </c>
      <c r="F793" t="str" cm="1">
        <f t="array" ref="F793">_xlfn.IFS( Table1[[#This Row],[Age]]&lt;18, "&lt;18", Table1[[#This Row],[Age]]&lt;= 29, "18-29", Table1[[#This Row],[Age]]&lt;= 44, "30-44",  Table1[[#This Row],[Age]]&lt;=59, "45-59", TRUE, "60+")</f>
        <v>30-44</v>
      </c>
      <c r="G793" t="s">
        <v>258</v>
      </c>
      <c r="H793" t="s">
        <v>29</v>
      </c>
      <c r="I793" t="s">
        <v>21</v>
      </c>
      <c r="J793">
        <v>5</v>
      </c>
      <c r="K793" t="s">
        <v>55</v>
      </c>
      <c r="L793" t="str" cm="1">
        <f t="array" ref="L793">_xlfn.IFS(Table1[[#This Row],[Customer Tenure in months]]&lt;=6, "0-6 months", Table1[[#This Row],[Customer Tenure in months]] &lt;=12, "7-12 months", Table1[[#This Row],[Customer Tenure in months]] &lt;=24, "1-2 years", TRUE, "2+ years")</f>
        <v>2+ years</v>
      </c>
      <c r="M793">
        <v>30</v>
      </c>
      <c r="N793" t="s">
        <v>83</v>
      </c>
      <c r="O793" s="1">
        <v>1000</v>
      </c>
      <c r="P793">
        <v>15</v>
      </c>
      <c r="Q793" s="1">
        <v>15000</v>
      </c>
      <c r="R793">
        <v>77.260000000000005</v>
      </c>
      <c r="S793" t="s">
        <v>32</v>
      </c>
      <c r="T793" t="s">
        <v>24</v>
      </c>
    </row>
    <row r="794" spans="1:20" x14ac:dyDescent="0.35">
      <c r="A794" s="22" t="s">
        <v>890</v>
      </c>
      <c r="B794" cm="1">
        <f t="array" ref="B794">IF(MATCH(Table1[[#This Row],[Customer ID]], Table1[Customer ID], 0) = ROW() - ROW(Table1[#Headers]), 1, 0)</f>
        <v>1</v>
      </c>
      <c r="C794" t="s">
        <v>891</v>
      </c>
      <c r="D794" s="2">
        <v>45713</v>
      </c>
      <c r="E794">
        <v>72</v>
      </c>
      <c r="F794" t="str" cm="1">
        <f t="array" ref="F794">_xlfn.IFS( Table1[[#This Row],[Age]]&lt;18, "&lt;18", Table1[[#This Row],[Age]]&lt;= 29, "18-29", Table1[[#This Row],[Age]]&lt;= 44, "30-44",  Table1[[#This Row],[Age]]&lt;=59, "45-59", TRUE, "60+")</f>
        <v>60+</v>
      </c>
      <c r="G794" t="s">
        <v>113</v>
      </c>
      <c r="H794" t="s">
        <v>36</v>
      </c>
      <c r="I794" t="s">
        <v>30</v>
      </c>
      <c r="J794">
        <v>2</v>
      </c>
      <c r="K794" t="s">
        <v>22</v>
      </c>
      <c r="L794" t="str" cm="1">
        <f t="array" ref="L794">_xlfn.IFS(Table1[[#This Row],[Customer Tenure in months]]&lt;=6, "0-6 months", Table1[[#This Row],[Customer Tenure in months]] &lt;=12, "7-12 months", Table1[[#This Row],[Customer Tenure in months]] &lt;=24, "1-2 years", TRUE, "2+ years")</f>
        <v>1-2 years</v>
      </c>
      <c r="M794">
        <v>19</v>
      </c>
      <c r="N794" t="s">
        <v>42</v>
      </c>
      <c r="O794" s="1">
        <v>9000</v>
      </c>
      <c r="P794">
        <v>16</v>
      </c>
      <c r="Q794" s="1">
        <v>144000</v>
      </c>
      <c r="R794">
        <v>199.75</v>
      </c>
      <c r="S794" t="s">
        <v>1091</v>
      </c>
      <c r="T794" t="s">
        <v>39</v>
      </c>
    </row>
    <row r="795" spans="1:20" x14ac:dyDescent="0.35">
      <c r="A795" s="22" t="s">
        <v>890</v>
      </c>
      <c r="B795" cm="1">
        <f t="array" ref="B795">IF(MATCH(Table1[[#This Row],[Customer ID]], Table1[Customer ID], 0) = ROW() - ROW(Table1[#Headers]), 1, 0)</f>
        <v>0</v>
      </c>
      <c r="C795" t="s">
        <v>891</v>
      </c>
      <c r="D795" s="2">
        <v>45713</v>
      </c>
      <c r="E795">
        <v>72</v>
      </c>
      <c r="F795" t="str" cm="1">
        <f t="array" ref="F795">_xlfn.IFS( Table1[[#This Row],[Age]]&lt;18, "&lt;18", Table1[[#This Row],[Age]]&lt;= 29, "18-29", Table1[[#This Row],[Age]]&lt;= 44, "30-44",  Table1[[#This Row],[Age]]&lt;=59, "45-59", TRUE, "60+")</f>
        <v>60+</v>
      </c>
      <c r="G795" t="s">
        <v>113</v>
      </c>
      <c r="H795" t="s">
        <v>41</v>
      </c>
      <c r="I795" t="s">
        <v>30</v>
      </c>
      <c r="J795">
        <v>2</v>
      </c>
      <c r="K795" t="s">
        <v>22</v>
      </c>
      <c r="L795" t="str" cm="1">
        <f t="array" ref="L795">_xlfn.IFS(Table1[[#This Row],[Customer Tenure in months]]&lt;=6, "0-6 months", Table1[[#This Row],[Customer Tenure in months]] &lt;=12, "7-12 months", Table1[[#This Row],[Customer Tenure in months]] &lt;=24, "1-2 years", TRUE, "2+ years")</f>
        <v>1-2 years</v>
      </c>
      <c r="M795">
        <v>19</v>
      </c>
      <c r="N795" t="s">
        <v>42</v>
      </c>
      <c r="O795" s="1">
        <v>9000</v>
      </c>
      <c r="P795">
        <v>17</v>
      </c>
      <c r="Q795" s="1">
        <v>153000</v>
      </c>
      <c r="R795">
        <v>79.58</v>
      </c>
      <c r="S795" t="s">
        <v>1091</v>
      </c>
      <c r="T795" t="s">
        <v>39</v>
      </c>
    </row>
    <row r="796" spans="1:20" x14ac:dyDescent="0.35">
      <c r="A796" s="22" t="s">
        <v>892</v>
      </c>
      <c r="B796" cm="1">
        <f t="array" ref="B796">IF(MATCH(Table1[[#This Row],[Customer ID]], Table1[Customer ID], 0) = ROW() - ROW(Table1[#Headers]), 1, 0)</f>
        <v>1</v>
      </c>
      <c r="C796" t="s">
        <v>463</v>
      </c>
      <c r="D796" s="2">
        <v>45682</v>
      </c>
      <c r="E796">
        <v>31</v>
      </c>
      <c r="F796" t="str" cm="1">
        <f t="array" ref="F796">_xlfn.IFS( Table1[[#This Row],[Age]]&lt;18, "&lt;18", Table1[[#This Row],[Age]]&lt;= 29, "18-29", Table1[[#This Row],[Age]]&lt;= 44, "30-44",  Table1[[#This Row],[Age]]&lt;=59, "45-59", TRUE, "60+")</f>
        <v>30-44</v>
      </c>
      <c r="G796" t="s">
        <v>54</v>
      </c>
      <c r="H796" t="s">
        <v>20</v>
      </c>
      <c r="I796" t="s">
        <v>30</v>
      </c>
      <c r="J796">
        <v>2</v>
      </c>
      <c r="K796" t="s">
        <v>22</v>
      </c>
      <c r="L796" t="str" cm="1">
        <f t="array" ref="L796">_xlfn.IFS(Table1[[#This Row],[Customer Tenure in months]]&lt;=6, "0-6 months", Table1[[#This Row],[Customer Tenure in months]] &lt;=12, "7-12 months", Table1[[#This Row],[Customer Tenure in months]] &lt;=24, "1-2 years", TRUE, "2+ years")</f>
        <v>2+ years</v>
      </c>
      <c r="M796">
        <v>26</v>
      </c>
      <c r="N796" t="s">
        <v>23</v>
      </c>
      <c r="O796" s="1">
        <v>35000</v>
      </c>
      <c r="P796">
        <v>14</v>
      </c>
      <c r="Q796" s="1">
        <v>490000</v>
      </c>
      <c r="R796">
        <v>24.99</v>
      </c>
      <c r="S796" t="s">
        <v>265</v>
      </c>
      <c r="T796" t="s">
        <v>24</v>
      </c>
    </row>
    <row r="797" spans="1:20" x14ac:dyDescent="0.35">
      <c r="A797" s="22" t="s">
        <v>892</v>
      </c>
      <c r="B797" cm="1">
        <f t="array" ref="B797">IF(MATCH(Table1[[#This Row],[Customer ID]], Table1[Customer ID], 0) = ROW() - ROW(Table1[#Headers]), 1, 0)</f>
        <v>0</v>
      </c>
      <c r="C797" t="s">
        <v>463</v>
      </c>
      <c r="D797" s="2">
        <v>45682</v>
      </c>
      <c r="E797">
        <v>31</v>
      </c>
      <c r="F797" t="str" cm="1">
        <f t="array" ref="F797">_xlfn.IFS( Table1[[#This Row],[Age]]&lt;18, "&lt;18", Table1[[#This Row],[Age]]&lt;= 29, "18-29", Table1[[#This Row],[Age]]&lt;= 44, "30-44",  Table1[[#This Row],[Age]]&lt;=59, "45-59", TRUE, "60+")</f>
        <v>30-44</v>
      </c>
      <c r="G797" t="s">
        <v>54</v>
      </c>
      <c r="H797" t="s">
        <v>36</v>
      </c>
      <c r="I797" t="s">
        <v>30</v>
      </c>
      <c r="J797">
        <v>2</v>
      </c>
      <c r="K797" t="s">
        <v>22</v>
      </c>
      <c r="L797" t="str" cm="1">
        <f t="array" ref="L797">_xlfn.IFS(Table1[[#This Row],[Customer Tenure in months]]&lt;=6, "0-6 months", Table1[[#This Row],[Customer Tenure in months]] &lt;=12, "7-12 months", Table1[[#This Row],[Customer Tenure in months]] &lt;=24, "1-2 years", TRUE, "2+ years")</f>
        <v>2+ years</v>
      </c>
      <c r="M797">
        <v>26</v>
      </c>
      <c r="N797" t="s">
        <v>57</v>
      </c>
      <c r="O797" s="1">
        <v>150000</v>
      </c>
      <c r="P797">
        <v>19</v>
      </c>
      <c r="Q797" s="1">
        <v>2850000</v>
      </c>
      <c r="R797">
        <v>56.06</v>
      </c>
      <c r="S797" t="s">
        <v>265</v>
      </c>
      <c r="T797" t="s">
        <v>24</v>
      </c>
    </row>
    <row r="798" spans="1:20" x14ac:dyDescent="0.35">
      <c r="A798" s="22" t="s">
        <v>893</v>
      </c>
      <c r="B798" cm="1">
        <f t="array" ref="B798">IF(MATCH(Table1[[#This Row],[Customer ID]], Table1[Customer ID], 0) = ROW() - ROW(Table1[#Headers]), 1, 0)</f>
        <v>1</v>
      </c>
      <c r="C798" t="s">
        <v>894</v>
      </c>
      <c r="D798" s="2">
        <v>45713</v>
      </c>
      <c r="E798">
        <v>67</v>
      </c>
      <c r="F798" t="str" cm="1">
        <f t="array" ref="F798">_xlfn.IFS( Table1[[#This Row],[Age]]&lt;18, "&lt;18", Table1[[#This Row],[Age]]&lt;= 29, "18-29", Table1[[#This Row],[Age]]&lt;= 44, "30-44",  Table1[[#This Row],[Age]]&lt;=59, "45-59", TRUE, "60+")</f>
        <v>60+</v>
      </c>
      <c r="G798" t="s">
        <v>152</v>
      </c>
      <c r="H798" t="s">
        <v>29</v>
      </c>
      <c r="I798" t="s">
        <v>30</v>
      </c>
      <c r="J798">
        <v>4</v>
      </c>
      <c r="K798" t="s">
        <v>114</v>
      </c>
      <c r="L798" t="str" cm="1">
        <f t="array" ref="L798">_xlfn.IFS(Table1[[#This Row],[Customer Tenure in months]]&lt;=6, "0-6 months", Table1[[#This Row],[Customer Tenure in months]] &lt;=12, "7-12 months", Table1[[#This Row],[Customer Tenure in months]] &lt;=24, "1-2 years", TRUE, "2+ years")</f>
        <v>2+ years</v>
      </c>
      <c r="M798">
        <v>43</v>
      </c>
      <c r="N798" t="s">
        <v>83</v>
      </c>
      <c r="O798" s="1">
        <v>1000</v>
      </c>
      <c r="P798">
        <v>16</v>
      </c>
      <c r="Q798" s="1">
        <v>16000</v>
      </c>
      <c r="R798">
        <v>24.88</v>
      </c>
      <c r="S798" t="s">
        <v>1091</v>
      </c>
      <c r="T798" t="s">
        <v>39</v>
      </c>
    </row>
    <row r="799" spans="1:20" x14ac:dyDescent="0.35">
      <c r="A799" s="22" t="s">
        <v>895</v>
      </c>
      <c r="B799" cm="1">
        <f t="array" ref="B799">IF(MATCH(Table1[[#This Row],[Customer ID]], Table1[Customer ID], 0) = ROW() - ROW(Table1[#Headers]), 1, 0)</f>
        <v>1</v>
      </c>
      <c r="C799" t="s">
        <v>896</v>
      </c>
      <c r="D799" s="2">
        <v>45682</v>
      </c>
      <c r="E799">
        <v>45</v>
      </c>
      <c r="F799" t="str" cm="1">
        <f t="array" ref="F799">_xlfn.IFS( Table1[[#This Row],[Age]]&lt;18, "&lt;18", Table1[[#This Row],[Age]]&lt;= 29, "18-29", Table1[[#This Row],[Age]]&lt;= 44, "30-44",  Table1[[#This Row],[Age]]&lt;=59, "45-59", TRUE, "60+")</f>
        <v>45-59</v>
      </c>
      <c r="G799" t="s">
        <v>140</v>
      </c>
      <c r="H799" t="s">
        <v>20</v>
      </c>
      <c r="I799" t="s">
        <v>21</v>
      </c>
      <c r="J799">
        <v>1</v>
      </c>
      <c r="K799" t="s">
        <v>37</v>
      </c>
      <c r="L799" t="str" cm="1">
        <f t="array" ref="L799">_xlfn.IFS(Table1[[#This Row],[Customer Tenure in months]]&lt;=6, "0-6 months", Table1[[#This Row],[Customer Tenure in months]] &lt;=12, "7-12 months", Table1[[#This Row],[Customer Tenure in months]] &lt;=24, "1-2 years", TRUE, "2+ years")</f>
        <v>7-12 months</v>
      </c>
      <c r="M799">
        <v>7</v>
      </c>
      <c r="N799" t="s">
        <v>23</v>
      </c>
      <c r="O799" s="1">
        <v>35000</v>
      </c>
      <c r="P799">
        <v>11</v>
      </c>
      <c r="Q799" s="1">
        <v>385000</v>
      </c>
      <c r="R799">
        <v>121.11</v>
      </c>
      <c r="S799" t="s">
        <v>1091</v>
      </c>
      <c r="T799" t="s">
        <v>39</v>
      </c>
    </row>
    <row r="800" spans="1:20" x14ac:dyDescent="0.35">
      <c r="A800" s="22" t="s">
        <v>897</v>
      </c>
      <c r="B800" cm="1">
        <f t="array" ref="B800">IF(MATCH(Table1[[#This Row],[Customer ID]], Table1[Customer ID], 0) = ROW() - ROW(Table1[#Headers]), 1, 0)</f>
        <v>1</v>
      </c>
      <c r="C800" t="s">
        <v>898</v>
      </c>
      <c r="D800" s="2">
        <v>45713</v>
      </c>
      <c r="E800">
        <v>54</v>
      </c>
      <c r="F800" t="str" cm="1">
        <f t="array" ref="F800">_xlfn.IFS( Table1[[#This Row],[Age]]&lt;18, "&lt;18", Table1[[#This Row],[Age]]&lt;= 29, "18-29", Table1[[#This Row],[Age]]&lt;= 44, "30-44",  Table1[[#This Row],[Age]]&lt;=59, "45-59", TRUE, "60+")</f>
        <v>45-59</v>
      </c>
      <c r="G800" t="s">
        <v>95</v>
      </c>
      <c r="H800" t="s">
        <v>29</v>
      </c>
      <c r="I800" t="s">
        <v>21</v>
      </c>
      <c r="J800">
        <v>4</v>
      </c>
      <c r="K800" t="s">
        <v>114</v>
      </c>
      <c r="L800" t="str" cm="1">
        <f t="array" ref="L800">_xlfn.IFS(Table1[[#This Row],[Customer Tenure in months]]&lt;=6, "0-6 months", Table1[[#This Row],[Customer Tenure in months]] &lt;=12, "7-12 months", Table1[[#This Row],[Customer Tenure in months]] &lt;=24, "1-2 years", TRUE, "2+ years")</f>
        <v>2+ years</v>
      </c>
      <c r="M800">
        <v>43</v>
      </c>
      <c r="N800" t="s">
        <v>40</v>
      </c>
      <c r="O800" s="1">
        <v>500</v>
      </c>
      <c r="P800">
        <v>18</v>
      </c>
      <c r="Q800" s="1">
        <v>9000</v>
      </c>
      <c r="R800">
        <v>108.72</v>
      </c>
      <c r="S800" t="s">
        <v>284</v>
      </c>
      <c r="T800" t="s">
        <v>24</v>
      </c>
    </row>
    <row r="801" spans="1:20" x14ac:dyDescent="0.35">
      <c r="A801" s="22" t="s">
        <v>897</v>
      </c>
      <c r="B801" cm="1">
        <f t="array" ref="B801">IF(MATCH(Table1[[#This Row],[Customer ID]], Table1[Customer ID], 0) = ROW() - ROW(Table1[#Headers]), 1, 0)</f>
        <v>0</v>
      </c>
      <c r="C801" t="s">
        <v>898</v>
      </c>
      <c r="D801" s="2">
        <v>45713</v>
      </c>
      <c r="E801">
        <v>54</v>
      </c>
      <c r="F801" t="str" cm="1">
        <f t="array" ref="F801">_xlfn.IFS( Table1[[#This Row],[Age]]&lt;18, "&lt;18", Table1[[#This Row],[Age]]&lt;= 29, "18-29", Table1[[#This Row],[Age]]&lt;= 44, "30-44",  Table1[[#This Row],[Age]]&lt;=59, "45-59", TRUE, "60+")</f>
        <v>45-59</v>
      </c>
      <c r="G801" t="s">
        <v>95</v>
      </c>
      <c r="H801" t="s">
        <v>36</v>
      </c>
      <c r="I801" t="s">
        <v>21</v>
      </c>
      <c r="J801">
        <v>4</v>
      </c>
      <c r="K801" t="s">
        <v>114</v>
      </c>
      <c r="L801" t="str" cm="1">
        <f t="array" ref="L801">_xlfn.IFS(Table1[[#This Row],[Customer Tenure in months]]&lt;=6, "0-6 months", Table1[[#This Row],[Customer Tenure in months]] &lt;=12, "7-12 months", Table1[[#This Row],[Customer Tenure in months]] &lt;=24, "1-2 years", TRUE, "2+ years")</f>
        <v>2+ years</v>
      </c>
      <c r="M801">
        <v>43</v>
      </c>
      <c r="N801" t="s">
        <v>42</v>
      </c>
      <c r="O801" s="1">
        <v>9000</v>
      </c>
      <c r="P801">
        <v>2</v>
      </c>
      <c r="Q801" s="1">
        <v>18000</v>
      </c>
      <c r="R801">
        <v>190.54</v>
      </c>
      <c r="S801" t="s">
        <v>284</v>
      </c>
      <c r="T801" t="s">
        <v>24</v>
      </c>
    </row>
    <row r="802" spans="1:20" x14ac:dyDescent="0.35">
      <c r="A802" s="22" t="s">
        <v>899</v>
      </c>
      <c r="B802" cm="1">
        <f t="array" ref="B802">IF(MATCH(Table1[[#This Row],[Customer ID]], Table1[Customer ID], 0) = ROW() - ROW(Table1[#Headers]), 1, 0)</f>
        <v>1</v>
      </c>
      <c r="C802" t="s">
        <v>900</v>
      </c>
      <c r="D802" s="2">
        <v>45713</v>
      </c>
      <c r="E802">
        <v>31</v>
      </c>
      <c r="F802" t="str" cm="1">
        <f t="array" ref="F802">_xlfn.IFS( Table1[[#This Row],[Age]]&lt;18, "&lt;18", Table1[[#This Row],[Age]]&lt;= 29, "18-29", Table1[[#This Row],[Age]]&lt;= 44, "30-44",  Table1[[#This Row],[Age]]&lt;=59, "45-59", TRUE, "60+")</f>
        <v>30-44</v>
      </c>
      <c r="G802" t="s">
        <v>61</v>
      </c>
      <c r="H802" t="s">
        <v>20</v>
      </c>
      <c r="I802" t="s">
        <v>30</v>
      </c>
      <c r="J802">
        <v>4</v>
      </c>
      <c r="K802" t="s">
        <v>114</v>
      </c>
      <c r="L802" t="str" cm="1">
        <f t="array" ref="L802">_xlfn.IFS(Table1[[#This Row],[Customer Tenure in months]]&lt;=6, "0-6 months", Table1[[#This Row],[Customer Tenure in months]] &lt;=12, "7-12 months", Table1[[#This Row],[Customer Tenure in months]] &lt;=24, "1-2 years", TRUE, "2+ years")</f>
        <v>1-2 years</v>
      </c>
      <c r="M802">
        <v>21</v>
      </c>
      <c r="N802" t="s">
        <v>51</v>
      </c>
      <c r="O802" s="1">
        <v>9000</v>
      </c>
      <c r="P802">
        <v>6</v>
      </c>
      <c r="Q802" s="1">
        <v>54000</v>
      </c>
      <c r="R802">
        <v>177</v>
      </c>
      <c r="S802" t="s">
        <v>1091</v>
      </c>
      <c r="T802" t="s">
        <v>39</v>
      </c>
    </row>
    <row r="803" spans="1:20" x14ac:dyDescent="0.35">
      <c r="A803" s="22" t="s">
        <v>901</v>
      </c>
      <c r="B803" cm="1">
        <f t="array" ref="B803">IF(MATCH(Table1[[#This Row],[Customer ID]], Table1[Customer ID], 0) = ROW() - ROW(Table1[#Headers]), 1, 0)</f>
        <v>1</v>
      </c>
      <c r="C803" t="s">
        <v>902</v>
      </c>
      <c r="D803" s="2">
        <v>45713</v>
      </c>
      <c r="E803">
        <v>71</v>
      </c>
      <c r="F803" t="str" cm="1">
        <f t="array" ref="F803">_xlfn.IFS( Table1[[#This Row],[Age]]&lt;18, "&lt;18", Table1[[#This Row],[Age]]&lt;= 29, "18-29", Table1[[#This Row],[Age]]&lt;= 44, "30-44",  Table1[[#This Row],[Age]]&lt;=59, "45-59", TRUE, "60+")</f>
        <v>60+</v>
      </c>
      <c r="G803" t="s">
        <v>140</v>
      </c>
      <c r="H803" t="s">
        <v>29</v>
      </c>
      <c r="I803" t="s">
        <v>30</v>
      </c>
      <c r="J803">
        <v>4</v>
      </c>
      <c r="K803" t="s">
        <v>114</v>
      </c>
      <c r="L803" t="str" cm="1">
        <f t="array" ref="L803">_xlfn.IFS(Table1[[#This Row],[Customer Tenure in months]]&lt;=6, "0-6 months", Table1[[#This Row],[Customer Tenure in months]] &lt;=12, "7-12 months", Table1[[#This Row],[Customer Tenure in months]] &lt;=24, "1-2 years", TRUE, "2+ years")</f>
        <v>2+ years</v>
      </c>
      <c r="M803">
        <v>46</v>
      </c>
      <c r="N803" t="s">
        <v>31</v>
      </c>
      <c r="O803" s="1">
        <v>5500</v>
      </c>
      <c r="P803">
        <v>6</v>
      </c>
      <c r="Q803" s="1">
        <v>33000</v>
      </c>
      <c r="R803">
        <v>112.67</v>
      </c>
      <c r="S803" t="s">
        <v>1091</v>
      </c>
      <c r="T803" t="s">
        <v>39</v>
      </c>
    </row>
    <row r="804" spans="1:20" x14ac:dyDescent="0.35">
      <c r="A804" s="22" t="s">
        <v>901</v>
      </c>
      <c r="B804" cm="1">
        <f t="array" ref="B804">IF(MATCH(Table1[[#This Row],[Customer ID]], Table1[Customer ID], 0) = ROW() - ROW(Table1[#Headers]), 1, 0)</f>
        <v>0</v>
      </c>
      <c r="C804" t="s">
        <v>902</v>
      </c>
      <c r="D804" s="2">
        <v>45713</v>
      </c>
      <c r="E804">
        <v>71</v>
      </c>
      <c r="F804" t="str" cm="1">
        <f t="array" ref="F804">_xlfn.IFS( Table1[[#This Row],[Age]]&lt;18, "&lt;18", Table1[[#This Row],[Age]]&lt;= 29, "18-29", Table1[[#This Row],[Age]]&lt;= 44, "30-44",  Table1[[#This Row],[Age]]&lt;=59, "45-59", TRUE, "60+")</f>
        <v>60+</v>
      </c>
      <c r="G804" t="s">
        <v>140</v>
      </c>
      <c r="H804" t="s">
        <v>36</v>
      </c>
      <c r="I804" t="s">
        <v>30</v>
      </c>
      <c r="J804">
        <v>4</v>
      </c>
      <c r="K804" t="s">
        <v>114</v>
      </c>
      <c r="L804" t="str" cm="1">
        <f t="array" ref="L804">_xlfn.IFS(Table1[[#This Row],[Customer Tenure in months]]&lt;=6, "0-6 months", Table1[[#This Row],[Customer Tenure in months]] &lt;=12, "7-12 months", Table1[[#This Row],[Customer Tenure in months]] &lt;=24, "1-2 years", TRUE, "2+ years")</f>
        <v>2+ years</v>
      </c>
      <c r="M804">
        <v>46</v>
      </c>
      <c r="N804" t="s">
        <v>42</v>
      </c>
      <c r="O804" s="1">
        <v>9000</v>
      </c>
      <c r="P804">
        <v>16</v>
      </c>
      <c r="Q804" s="1">
        <v>144000</v>
      </c>
      <c r="R804">
        <v>78.58</v>
      </c>
      <c r="S804" t="s">
        <v>1091</v>
      </c>
      <c r="T804" t="s">
        <v>39</v>
      </c>
    </row>
    <row r="805" spans="1:20" x14ac:dyDescent="0.35">
      <c r="A805" s="22" t="s">
        <v>901</v>
      </c>
      <c r="B805" cm="1">
        <f t="array" ref="B805">IF(MATCH(Table1[[#This Row],[Customer ID]], Table1[Customer ID], 0) = ROW() - ROW(Table1[#Headers]), 1, 0)</f>
        <v>0</v>
      </c>
      <c r="C805" t="s">
        <v>902</v>
      </c>
      <c r="D805" s="2">
        <v>45713</v>
      </c>
      <c r="E805">
        <v>71</v>
      </c>
      <c r="F805" t="str" cm="1">
        <f t="array" ref="F805">_xlfn.IFS( Table1[[#This Row],[Age]]&lt;18, "&lt;18", Table1[[#This Row],[Age]]&lt;= 29, "18-29", Table1[[#This Row],[Age]]&lt;= 44, "30-44",  Table1[[#This Row],[Age]]&lt;=59, "45-59", TRUE, "60+")</f>
        <v>60+</v>
      </c>
      <c r="G805" t="s">
        <v>140</v>
      </c>
      <c r="H805" t="s">
        <v>20</v>
      </c>
      <c r="I805" t="s">
        <v>30</v>
      </c>
      <c r="J805">
        <v>4</v>
      </c>
      <c r="K805" t="s">
        <v>114</v>
      </c>
      <c r="L805" t="str" cm="1">
        <f t="array" ref="L805">_xlfn.IFS(Table1[[#This Row],[Customer Tenure in months]]&lt;=6, "0-6 months", Table1[[#This Row],[Customer Tenure in months]] &lt;=12, "7-12 months", Table1[[#This Row],[Customer Tenure in months]] &lt;=24, "1-2 years", TRUE, "2+ years")</f>
        <v>2+ years</v>
      </c>
      <c r="M805">
        <v>46</v>
      </c>
      <c r="N805" t="s">
        <v>23</v>
      </c>
      <c r="O805" s="1">
        <v>35000</v>
      </c>
      <c r="P805">
        <v>12</v>
      </c>
      <c r="Q805" s="1">
        <v>420000</v>
      </c>
      <c r="R805">
        <v>123.58</v>
      </c>
      <c r="S805" t="s">
        <v>1091</v>
      </c>
      <c r="T805" t="s">
        <v>39</v>
      </c>
    </row>
    <row r="806" spans="1:20" x14ac:dyDescent="0.35">
      <c r="A806" s="22" t="s">
        <v>903</v>
      </c>
      <c r="B806" cm="1">
        <f t="array" ref="B806">IF(MATCH(Table1[[#This Row],[Customer ID]], Table1[Customer ID], 0) = ROW() - ROW(Table1[#Headers]), 1, 0)</f>
        <v>1</v>
      </c>
      <c r="C806" t="s">
        <v>904</v>
      </c>
      <c r="D806" s="2">
        <v>45682</v>
      </c>
      <c r="E806">
        <v>57</v>
      </c>
      <c r="F806" t="str" cm="1">
        <f t="array" ref="F806">_xlfn.IFS( Table1[[#This Row],[Age]]&lt;18, "&lt;18", Table1[[#This Row],[Age]]&lt;= 29, "18-29", Table1[[#This Row],[Age]]&lt;= 44, "30-44",  Table1[[#This Row],[Age]]&lt;=59, "45-59", TRUE, "60+")</f>
        <v>45-59</v>
      </c>
      <c r="G806" t="s">
        <v>49</v>
      </c>
      <c r="H806" t="s">
        <v>41</v>
      </c>
      <c r="I806" t="s">
        <v>21</v>
      </c>
      <c r="J806">
        <v>2</v>
      </c>
      <c r="K806" t="s">
        <v>22</v>
      </c>
      <c r="L806" t="str" cm="1">
        <f t="array" ref="L806">_xlfn.IFS(Table1[[#This Row],[Customer Tenure in months]]&lt;=6, "0-6 months", Table1[[#This Row],[Customer Tenure in months]] &lt;=12, "7-12 months", Table1[[#This Row],[Customer Tenure in months]] &lt;=24, "1-2 years", TRUE, "2+ years")</f>
        <v>2+ years</v>
      </c>
      <c r="M806">
        <v>38</v>
      </c>
      <c r="N806" t="s">
        <v>65</v>
      </c>
      <c r="O806" s="1">
        <v>30000</v>
      </c>
      <c r="P806">
        <v>14</v>
      </c>
      <c r="Q806" s="1">
        <v>420000</v>
      </c>
      <c r="R806">
        <v>76.42</v>
      </c>
      <c r="S806" t="s">
        <v>1091</v>
      </c>
      <c r="T806" t="s">
        <v>39</v>
      </c>
    </row>
    <row r="807" spans="1:20" x14ac:dyDescent="0.35">
      <c r="A807" s="22" t="s">
        <v>903</v>
      </c>
      <c r="B807" cm="1">
        <f t="array" ref="B807">IF(MATCH(Table1[[#This Row],[Customer ID]], Table1[Customer ID], 0) = ROW() - ROW(Table1[#Headers]), 1, 0)</f>
        <v>0</v>
      </c>
      <c r="C807" t="s">
        <v>904</v>
      </c>
      <c r="D807" s="2">
        <v>45682</v>
      </c>
      <c r="E807">
        <v>57</v>
      </c>
      <c r="F807" t="str" cm="1">
        <f t="array" ref="F807">_xlfn.IFS( Table1[[#This Row],[Age]]&lt;18, "&lt;18", Table1[[#This Row],[Age]]&lt;= 29, "18-29", Table1[[#This Row],[Age]]&lt;= 44, "30-44",  Table1[[#This Row],[Age]]&lt;=59, "45-59", TRUE, "60+")</f>
        <v>45-59</v>
      </c>
      <c r="G807" t="s">
        <v>49</v>
      </c>
      <c r="H807" t="s">
        <v>36</v>
      </c>
      <c r="I807" t="s">
        <v>21</v>
      </c>
      <c r="J807">
        <v>2</v>
      </c>
      <c r="K807" t="s">
        <v>22</v>
      </c>
      <c r="L807" t="str" cm="1">
        <f t="array" ref="L807">_xlfn.IFS(Table1[[#This Row],[Customer Tenure in months]]&lt;=6, "0-6 months", Table1[[#This Row],[Customer Tenure in months]] &lt;=12, "7-12 months", Table1[[#This Row],[Customer Tenure in months]] &lt;=24, "1-2 years", TRUE, "2+ years")</f>
        <v>2+ years</v>
      </c>
      <c r="M807">
        <v>38</v>
      </c>
      <c r="N807" t="s">
        <v>115</v>
      </c>
      <c r="O807" s="1">
        <v>25000</v>
      </c>
      <c r="P807">
        <v>14</v>
      </c>
      <c r="Q807" s="1">
        <v>350000</v>
      </c>
      <c r="R807">
        <v>198.39</v>
      </c>
      <c r="S807" t="s">
        <v>1091</v>
      </c>
      <c r="T807" t="s">
        <v>39</v>
      </c>
    </row>
    <row r="808" spans="1:20" x14ac:dyDescent="0.35">
      <c r="A808" s="22" t="s">
        <v>905</v>
      </c>
      <c r="B808" cm="1">
        <f t="array" ref="B808">IF(MATCH(Table1[[#This Row],[Customer ID]], Table1[Customer ID], 0) = ROW() - ROW(Table1[#Headers]), 1, 0)</f>
        <v>1</v>
      </c>
      <c r="C808" t="s">
        <v>906</v>
      </c>
      <c r="D808" s="2">
        <v>45741</v>
      </c>
      <c r="E808">
        <v>23</v>
      </c>
      <c r="F808" t="str" cm="1">
        <f t="array" ref="F808">_xlfn.IFS( Table1[[#This Row],[Age]]&lt;18, "&lt;18", Table1[[#This Row],[Age]]&lt;= 29, "18-29", Table1[[#This Row],[Age]]&lt;= 44, "30-44",  Table1[[#This Row],[Age]]&lt;=59, "45-59", TRUE, "60+")</f>
        <v>18-29</v>
      </c>
      <c r="G808" t="s">
        <v>70</v>
      </c>
      <c r="H808" t="s">
        <v>36</v>
      </c>
      <c r="I808" t="s">
        <v>21</v>
      </c>
      <c r="J808">
        <v>5</v>
      </c>
      <c r="K808" t="s">
        <v>55</v>
      </c>
      <c r="L808" t="str" cm="1">
        <f t="array" ref="L808">_xlfn.IFS(Table1[[#This Row],[Customer Tenure in months]]&lt;=6, "0-6 months", Table1[[#This Row],[Customer Tenure in months]] &lt;=12, "7-12 months", Table1[[#This Row],[Customer Tenure in months]] &lt;=24, "1-2 years", TRUE, "2+ years")</f>
        <v>1-2 years</v>
      </c>
      <c r="M808">
        <v>16</v>
      </c>
      <c r="N808" t="s">
        <v>38</v>
      </c>
      <c r="O808" s="1">
        <v>20000</v>
      </c>
      <c r="P808">
        <v>1</v>
      </c>
      <c r="Q808" s="1">
        <v>20000</v>
      </c>
      <c r="R808">
        <v>67.849999999999994</v>
      </c>
      <c r="S808" t="s">
        <v>284</v>
      </c>
      <c r="T808" t="s">
        <v>24</v>
      </c>
    </row>
    <row r="809" spans="1:20" x14ac:dyDescent="0.35">
      <c r="A809" s="22" t="s">
        <v>907</v>
      </c>
      <c r="B809" cm="1">
        <f t="array" ref="B809">IF(MATCH(Table1[[#This Row],[Customer ID]], Table1[Customer ID], 0) = ROW() - ROW(Table1[#Headers]), 1, 0)</f>
        <v>1</v>
      </c>
      <c r="C809" t="s">
        <v>908</v>
      </c>
      <c r="D809" s="2">
        <v>45713</v>
      </c>
      <c r="E809">
        <v>57</v>
      </c>
      <c r="F809" t="str" cm="1">
        <f t="array" ref="F809">_xlfn.IFS( Table1[[#This Row],[Age]]&lt;18, "&lt;18", Table1[[#This Row],[Age]]&lt;= 29, "18-29", Table1[[#This Row],[Age]]&lt;= 44, "30-44",  Table1[[#This Row],[Age]]&lt;=59, "45-59", TRUE, "60+")</f>
        <v>45-59</v>
      </c>
      <c r="G809" t="s">
        <v>128</v>
      </c>
      <c r="H809" t="s">
        <v>36</v>
      </c>
      <c r="I809" t="s">
        <v>30</v>
      </c>
      <c r="J809">
        <v>5</v>
      </c>
      <c r="K809" t="s">
        <v>55</v>
      </c>
      <c r="L809" t="str" cm="1">
        <f t="array" ref="L809">_xlfn.IFS(Table1[[#This Row],[Customer Tenure in months]]&lt;=6, "0-6 months", Table1[[#This Row],[Customer Tenure in months]] &lt;=12, "7-12 months", Table1[[#This Row],[Customer Tenure in months]] &lt;=24, "1-2 years", TRUE, "2+ years")</f>
        <v>2+ years</v>
      </c>
      <c r="M809">
        <v>43</v>
      </c>
      <c r="N809" t="s">
        <v>57</v>
      </c>
      <c r="O809" s="1">
        <v>150000</v>
      </c>
      <c r="P809">
        <v>11</v>
      </c>
      <c r="Q809" s="1">
        <v>1650000</v>
      </c>
      <c r="R809">
        <v>117.8</v>
      </c>
      <c r="S809" t="s">
        <v>1091</v>
      </c>
      <c r="T809" t="s">
        <v>39</v>
      </c>
    </row>
    <row r="810" spans="1:20" x14ac:dyDescent="0.35">
      <c r="A810" s="22" t="s">
        <v>907</v>
      </c>
      <c r="B810" cm="1">
        <f t="array" ref="B810">IF(MATCH(Table1[[#This Row],[Customer ID]], Table1[Customer ID], 0) = ROW() - ROW(Table1[#Headers]), 1, 0)</f>
        <v>0</v>
      </c>
      <c r="C810" t="s">
        <v>908</v>
      </c>
      <c r="D810" s="2">
        <v>45713</v>
      </c>
      <c r="E810">
        <v>57</v>
      </c>
      <c r="F810" t="str" cm="1">
        <f t="array" ref="F810">_xlfn.IFS( Table1[[#This Row],[Age]]&lt;18, "&lt;18", Table1[[#This Row],[Age]]&lt;= 29, "18-29", Table1[[#This Row],[Age]]&lt;= 44, "30-44",  Table1[[#This Row],[Age]]&lt;=59, "45-59", TRUE, "60+")</f>
        <v>45-59</v>
      </c>
      <c r="G810" t="s">
        <v>128</v>
      </c>
      <c r="H810" t="s">
        <v>41</v>
      </c>
      <c r="I810" t="s">
        <v>30</v>
      </c>
      <c r="J810">
        <v>5</v>
      </c>
      <c r="K810" t="s">
        <v>55</v>
      </c>
      <c r="L810" t="str" cm="1">
        <f t="array" ref="L810">_xlfn.IFS(Table1[[#This Row],[Customer Tenure in months]]&lt;=6, "0-6 months", Table1[[#This Row],[Customer Tenure in months]] &lt;=12, "7-12 months", Table1[[#This Row],[Customer Tenure in months]] &lt;=24, "1-2 years", TRUE, "2+ years")</f>
        <v>2+ years</v>
      </c>
      <c r="M810">
        <v>43</v>
      </c>
      <c r="N810" t="s">
        <v>71</v>
      </c>
      <c r="O810" s="1">
        <v>14500</v>
      </c>
      <c r="P810">
        <v>11</v>
      </c>
      <c r="Q810" s="1">
        <v>159500</v>
      </c>
      <c r="R810">
        <v>114.29</v>
      </c>
      <c r="S810" t="s">
        <v>1091</v>
      </c>
      <c r="T810" t="s">
        <v>39</v>
      </c>
    </row>
    <row r="811" spans="1:20" x14ac:dyDescent="0.35">
      <c r="A811" s="22" t="s">
        <v>909</v>
      </c>
      <c r="B811" cm="1">
        <f t="array" ref="B811">IF(MATCH(Table1[[#This Row],[Customer ID]], Table1[Customer ID], 0) = ROW() - ROW(Table1[#Headers]), 1, 0)</f>
        <v>1</v>
      </c>
      <c r="C811" t="s">
        <v>910</v>
      </c>
      <c r="D811" s="2">
        <v>45713</v>
      </c>
      <c r="E811">
        <v>78</v>
      </c>
      <c r="F811" t="str" cm="1">
        <f t="array" ref="F811">_xlfn.IFS( Table1[[#This Row],[Age]]&lt;18, "&lt;18", Table1[[#This Row],[Age]]&lt;= 29, "18-29", Table1[[#This Row],[Age]]&lt;= 44, "30-44",  Table1[[#This Row],[Age]]&lt;=59, "45-59", TRUE, "60+")</f>
        <v>60+</v>
      </c>
      <c r="G811" t="s">
        <v>95</v>
      </c>
      <c r="H811" t="s">
        <v>36</v>
      </c>
      <c r="I811" t="s">
        <v>21</v>
      </c>
      <c r="J811">
        <v>5</v>
      </c>
      <c r="K811" t="s">
        <v>55</v>
      </c>
      <c r="L811" t="str" cm="1">
        <f t="array" ref="L811">_xlfn.IFS(Table1[[#This Row],[Customer Tenure in months]]&lt;=6, "0-6 months", Table1[[#This Row],[Customer Tenure in months]] &lt;=12, "7-12 months", Table1[[#This Row],[Customer Tenure in months]] &lt;=24, "1-2 years", TRUE, "2+ years")</f>
        <v>1-2 years</v>
      </c>
      <c r="M811">
        <v>22</v>
      </c>
      <c r="N811" t="s">
        <v>115</v>
      </c>
      <c r="O811" s="1">
        <v>25000</v>
      </c>
      <c r="P811">
        <v>7</v>
      </c>
      <c r="Q811" s="1">
        <v>175000</v>
      </c>
      <c r="R811">
        <v>193.9</v>
      </c>
      <c r="S811" t="s">
        <v>1091</v>
      </c>
      <c r="T811" t="s">
        <v>39</v>
      </c>
    </row>
    <row r="812" spans="1:20" x14ac:dyDescent="0.35">
      <c r="A812" s="22" t="s">
        <v>909</v>
      </c>
      <c r="B812" cm="1">
        <f t="array" ref="B812">IF(MATCH(Table1[[#This Row],[Customer ID]], Table1[Customer ID], 0) = ROW() - ROW(Table1[#Headers]), 1, 0)</f>
        <v>0</v>
      </c>
      <c r="C812" t="s">
        <v>910</v>
      </c>
      <c r="D812" s="2">
        <v>45713</v>
      </c>
      <c r="E812">
        <v>78</v>
      </c>
      <c r="F812" t="str" cm="1">
        <f t="array" ref="F812">_xlfn.IFS( Table1[[#This Row],[Age]]&lt;18, "&lt;18", Table1[[#This Row],[Age]]&lt;= 29, "18-29", Table1[[#This Row],[Age]]&lt;= 44, "30-44",  Table1[[#This Row],[Age]]&lt;=59, "45-59", TRUE, "60+")</f>
        <v>60+</v>
      </c>
      <c r="G812" t="s">
        <v>95</v>
      </c>
      <c r="H812" t="s">
        <v>41</v>
      </c>
      <c r="I812" t="s">
        <v>21</v>
      </c>
      <c r="J812">
        <v>5</v>
      </c>
      <c r="K812" t="s">
        <v>55</v>
      </c>
      <c r="L812" t="str" cm="1">
        <f t="array" ref="L812">_xlfn.IFS(Table1[[#This Row],[Customer Tenure in months]]&lt;=6, "0-6 months", Table1[[#This Row],[Customer Tenure in months]] &lt;=12, "7-12 months", Table1[[#This Row],[Customer Tenure in months]] &lt;=24, "1-2 years", TRUE, "2+ years")</f>
        <v>1-2 years</v>
      </c>
      <c r="M812">
        <v>22</v>
      </c>
      <c r="N812" t="s">
        <v>71</v>
      </c>
      <c r="O812" s="1">
        <v>14500</v>
      </c>
      <c r="P812">
        <v>3</v>
      </c>
      <c r="Q812" s="1">
        <v>43500</v>
      </c>
      <c r="R812">
        <v>127.27</v>
      </c>
      <c r="S812" t="s">
        <v>1091</v>
      </c>
      <c r="T812" t="s">
        <v>39</v>
      </c>
    </row>
    <row r="813" spans="1:20" x14ac:dyDescent="0.35">
      <c r="A813" s="22" t="s">
        <v>909</v>
      </c>
      <c r="B813" cm="1">
        <f t="array" ref="B813">IF(MATCH(Table1[[#This Row],[Customer ID]], Table1[Customer ID], 0) = ROW() - ROW(Table1[#Headers]), 1, 0)</f>
        <v>0</v>
      </c>
      <c r="C813" t="s">
        <v>910</v>
      </c>
      <c r="D813" s="2">
        <v>45713</v>
      </c>
      <c r="E813">
        <v>78</v>
      </c>
      <c r="F813" t="str" cm="1">
        <f t="array" ref="F813">_xlfn.IFS( Table1[[#This Row],[Age]]&lt;18, "&lt;18", Table1[[#This Row],[Age]]&lt;= 29, "18-29", Table1[[#This Row],[Age]]&lt;= 44, "30-44",  Table1[[#This Row],[Age]]&lt;=59, "45-59", TRUE, "60+")</f>
        <v>60+</v>
      </c>
      <c r="G813" t="s">
        <v>95</v>
      </c>
      <c r="H813" t="s">
        <v>20</v>
      </c>
      <c r="I813" t="s">
        <v>21</v>
      </c>
      <c r="J813">
        <v>5</v>
      </c>
      <c r="K813" t="s">
        <v>55</v>
      </c>
      <c r="L813" t="str" cm="1">
        <f t="array" ref="L813">_xlfn.IFS(Table1[[#This Row],[Customer Tenure in months]]&lt;=6, "0-6 months", Table1[[#This Row],[Customer Tenure in months]] &lt;=12, "7-12 months", Table1[[#This Row],[Customer Tenure in months]] &lt;=24, "1-2 years", TRUE, "2+ years")</f>
        <v>1-2 years</v>
      </c>
      <c r="M813">
        <v>22</v>
      </c>
      <c r="N813" t="s">
        <v>46</v>
      </c>
      <c r="O813" s="1">
        <v>4500</v>
      </c>
      <c r="P813">
        <v>2</v>
      </c>
      <c r="Q813" s="1">
        <v>9000</v>
      </c>
      <c r="R813">
        <v>57.83</v>
      </c>
      <c r="S813" t="s">
        <v>1091</v>
      </c>
      <c r="T813" t="s">
        <v>39</v>
      </c>
    </row>
    <row r="814" spans="1:20" x14ac:dyDescent="0.35">
      <c r="A814" s="22" t="s">
        <v>911</v>
      </c>
      <c r="B814" cm="1">
        <f t="array" ref="B814">IF(MATCH(Table1[[#This Row],[Customer ID]], Table1[Customer ID], 0) = ROW() - ROW(Table1[#Headers]), 1, 0)</f>
        <v>1</v>
      </c>
      <c r="C814" t="s">
        <v>912</v>
      </c>
      <c r="D814" s="2">
        <v>45682</v>
      </c>
      <c r="E814">
        <v>67</v>
      </c>
      <c r="F814" t="str" cm="1">
        <f t="array" ref="F814">_xlfn.IFS( Table1[[#This Row],[Age]]&lt;18, "&lt;18", Table1[[#This Row],[Age]]&lt;= 29, "18-29", Table1[[#This Row],[Age]]&lt;= 44, "30-44",  Table1[[#This Row],[Age]]&lt;=59, "45-59", TRUE, "60+")</f>
        <v>60+</v>
      </c>
      <c r="G814" t="s">
        <v>113</v>
      </c>
      <c r="H814" t="s">
        <v>29</v>
      </c>
      <c r="I814" t="s">
        <v>21</v>
      </c>
      <c r="J814">
        <v>5</v>
      </c>
      <c r="K814" t="s">
        <v>55</v>
      </c>
      <c r="L814" t="str" cm="1">
        <f t="array" ref="L814">_xlfn.IFS(Table1[[#This Row],[Customer Tenure in months]]&lt;=6, "0-6 months", Table1[[#This Row],[Customer Tenure in months]] &lt;=12, "7-12 months", Table1[[#This Row],[Customer Tenure in months]] &lt;=24, "1-2 years", TRUE, "2+ years")</f>
        <v>2+ years</v>
      </c>
      <c r="M814">
        <v>46</v>
      </c>
      <c r="N814" t="s">
        <v>87</v>
      </c>
      <c r="O814" s="1">
        <v>7500</v>
      </c>
      <c r="P814">
        <v>3</v>
      </c>
      <c r="Q814" s="1">
        <v>22500</v>
      </c>
      <c r="R814">
        <v>42.34</v>
      </c>
      <c r="S814" t="s">
        <v>1091</v>
      </c>
      <c r="T814" t="s">
        <v>39</v>
      </c>
    </row>
    <row r="815" spans="1:20" x14ac:dyDescent="0.35">
      <c r="A815" s="22" t="s">
        <v>913</v>
      </c>
      <c r="B815" cm="1">
        <f t="array" ref="B815">IF(MATCH(Table1[[#This Row],[Customer ID]], Table1[Customer ID], 0) = ROW() - ROW(Table1[#Headers]), 1, 0)</f>
        <v>1</v>
      </c>
      <c r="C815" t="s">
        <v>914</v>
      </c>
      <c r="D815" s="2">
        <v>45741</v>
      </c>
      <c r="E815">
        <v>80</v>
      </c>
      <c r="F815" t="str" cm="1">
        <f t="array" ref="F815">_xlfn.IFS( Table1[[#This Row],[Age]]&lt;18, "&lt;18", Table1[[#This Row],[Age]]&lt;= 29, "18-29", Table1[[#This Row],[Age]]&lt;= 44, "30-44",  Table1[[#This Row],[Age]]&lt;=59, "45-59", TRUE, "60+")</f>
        <v>60+</v>
      </c>
      <c r="G815" t="s">
        <v>149</v>
      </c>
      <c r="H815" t="s">
        <v>29</v>
      </c>
      <c r="I815" t="s">
        <v>30</v>
      </c>
      <c r="J815">
        <v>2</v>
      </c>
      <c r="K815" t="s">
        <v>22</v>
      </c>
      <c r="L815" t="str" cm="1">
        <f t="array" ref="L815">_xlfn.IFS(Table1[[#This Row],[Customer Tenure in months]]&lt;=6, "0-6 months", Table1[[#This Row],[Customer Tenure in months]] &lt;=12, "7-12 months", Table1[[#This Row],[Customer Tenure in months]] &lt;=24, "1-2 years", TRUE, "2+ years")</f>
        <v>2+ years</v>
      </c>
      <c r="M815">
        <v>43</v>
      </c>
      <c r="N815" t="s">
        <v>193</v>
      </c>
      <c r="O815" s="1">
        <v>6500</v>
      </c>
      <c r="P815">
        <v>1</v>
      </c>
      <c r="Q815" s="1">
        <v>6500</v>
      </c>
      <c r="R815">
        <v>36.53</v>
      </c>
      <c r="S815" t="s">
        <v>1091</v>
      </c>
      <c r="T815" t="s">
        <v>39</v>
      </c>
    </row>
    <row r="816" spans="1:20" x14ac:dyDescent="0.35">
      <c r="A816" s="22" t="s">
        <v>913</v>
      </c>
      <c r="B816" cm="1">
        <f t="array" ref="B816">IF(MATCH(Table1[[#This Row],[Customer ID]], Table1[Customer ID], 0) = ROW() - ROW(Table1[#Headers]), 1, 0)</f>
        <v>0</v>
      </c>
      <c r="C816" t="s">
        <v>914</v>
      </c>
      <c r="D816" s="2">
        <v>45741</v>
      </c>
      <c r="E816">
        <v>80</v>
      </c>
      <c r="F816" t="str" cm="1">
        <f t="array" ref="F816">_xlfn.IFS( Table1[[#This Row],[Age]]&lt;18, "&lt;18", Table1[[#This Row],[Age]]&lt;= 29, "18-29", Table1[[#This Row],[Age]]&lt;= 44, "30-44",  Table1[[#This Row],[Age]]&lt;=59, "45-59", TRUE, "60+")</f>
        <v>60+</v>
      </c>
      <c r="G816" t="s">
        <v>149</v>
      </c>
      <c r="H816" t="s">
        <v>36</v>
      </c>
      <c r="I816" t="s">
        <v>30</v>
      </c>
      <c r="J816">
        <v>2</v>
      </c>
      <c r="K816" t="s">
        <v>22</v>
      </c>
      <c r="L816" t="str" cm="1">
        <f t="array" ref="L816">_xlfn.IFS(Table1[[#This Row],[Customer Tenure in months]]&lt;=6, "0-6 months", Table1[[#This Row],[Customer Tenure in months]] &lt;=12, "7-12 months", Table1[[#This Row],[Customer Tenure in months]] &lt;=24, "1-2 years", TRUE, "2+ years")</f>
        <v>2+ years</v>
      </c>
      <c r="M816">
        <v>43</v>
      </c>
      <c r="N816" t="s">
        <v>65</v>
      </c>
      <c r="O816" s="1">
        <v>30000</v>
      </c>
      <c r="P816">
        <v>7</v>
      </c>
      <c r="Q816" s="1">
        <v>210000</v>
      </c>
      <c r="R816">
        <v>115.58</v>
      </c>
      <c r="S816" t="s">
        <v>1091</v>
      </c>
      <c r="T816" t="s">
        <v>39</v>
      </c>
    </row>
    <row r="817" spans="1:20" x14ac:dyDescent="0.35">
      <c r="A817" s="22" t="s">
        <v>915</v>
      </c>
      <c r="B817" cm="1">
        <f t="array" ref="B817">IF(MATCH(Table1[[#This Row],[Customer ID]], Table1[Customer ID], 0) = ROW() - ROW(Table1[#Headers]), 1, 0)</f>
        <v>1</v>
      </c>
      <c r="C817" t="s">
        <v>916</v>
      </c>
      <c r="D817" s="2">
        <v>45682</v>
      </c>
      <c r="E817">
        <v>50</v>
      </c>
      <c r="F817" t="str" cm="1">
        <f t="array" ref="F817">_xlfn.IFS( Table1[[#This Row],[Age]]&lt;18, "&lt;18", Table1[[#This Row],[Age]]&lt;= 29, "18-29", Table1[[#This Row],[Age]]&lt;= 44, "30-44",  Table1[[#This Row],[Age]]&lt;=59, "45-59", TRUE, "60+")</f>
        <v>45-59</v>
      </c>
      <c r="G817" t="s">
        <v>86</v>
      </c>
      <c r="H817" t="s">
        <v>20</v>
      </c>
      <c r="I817" t="s">
        <v>30</v>
      </c>
      <c r="J817">
        <v>5</v>
      </c>
      <c r="K817" t="s">
        <v>55</v>
      </c>
      <c r="L817" t="str" cm="1">
        <f t="array" ref="L817">_xlfn.IFS(Table1[[#This Row],[Customer Tenure in months]]&lt;=6, "0-6 months", Table1[[#This Row],[Customer Tenure in months]] &lt;=12, "7-12 months", Table1[[#This Row],[Customer Tenure in months]] &lt;=24, "1-2 years", TRUE, "2+ years")</f>
        <v>2+ years</v>
      </c>
      <c r="M817">
        <v>60</v>
      </c>
      <c r="N817" t="s">
        <v>46</v>
      </c>
      <c r="O817" s="1">
        <v>4500</v>
      </c>
      <c r="P817">
        <v>10</v>
      </c>
      <c r="Q817" s="1">
        <v>45000</v>
      </c>
      <c r="R817">
        <v>149.41</v>
      </c>
      <c r="S817" t="s">
        <v>167</v>
      </c>
      <c r="T817" t="s">
        <v>24</v>
      </c>
    </row>
    <row r="818" spans="1:20" x14ac:dyDescent="0.35">
      <c r="A818" s="22" t="s">
        <v>917</v>
      </c>
      <c r="B818" cm="1">
        <f t="array" ref="B818">IF(MATCH(Table1[[#This Row],[Customer ID]], Table1[Customer ID], 0) = ROW() - ROW(Table1[#Headers]), 1, 0)</f>
        <v>1</v>
      </c>
      <c r="C818" t="s">
        <v>918</v>
      </c>
      <c r="D818" s="2">
        <v>45713</v>
      </c>
      <c r="E818">
        <v>68</v>
      </c>
      <c r="F818" t="str" cm="1">
        <f t="array" ref="F818">_xlfn.IFS( Table1[[#This Row],[Age]]&lt;18, "&lt;18", Table1[[#This Row],[Age]]&lt;= 29, "18-29", Table1[[#This Row],[Age]]&lt;= 44, "30-44",  Table1[[#This Row],[Age]]&lt;=59, "45-59", TRUE, "60+")</f>
        <v>60+</v>
      </c>
      <c r="G818" t="s">
        <v>258</v>
      </c>
      <c r="H818" t="s">
        <v>20</v>
      </c>
      <c r="I818" t="s">
        <v>21</v>
      </c>
      <c r="J818">
        <v>4</v>
      </c>
      <c r="K818" t="s">
        <v>114</v>
      </c>
      <c r="L818" t="str" cm="1">
        <f t="array" ref="L818">_xlfn.IFS(Table1[[#This Row],[Customer Tenure in months]]&lt;=6, "0-6 months", Table1[[#This Row],[Customer Tenure in months]] &lt;=12, "7-12 months", Table1[[#This Row],[Customer Tenure in months]] &lt;=24, "1-2 years", TRUE, "2+ years")</f>
        <v>2+ years</v>
      </c>
      <c r="M818">
        <v>41</v>
      </c>
      <c r="N818" t="s">
        <v>23</v>
      </c>
      <c r="O818" s="1">
        <v>35000</v>
      </c>
      <c r="P818">
        <v>5</v>
      </c>
      <c r="Q818" s="1">
        <v>175000</v>
      </c>
      <c r="R818">
        <v>48.08</v>
      </c>
      <c r="S818" t="s">
        <v>96</v>
      </c>
      <c r="T818" t="s">
        <v>24</v>
      </c>
    </row>
    <row r="819" spans="1:20" x14ac:dyDescent="0.35">
      <c r="A819" s="22" t="s">
        <v>917</v>
      </c>
      <c r="B819" cm="1">
        <f t="array" ref="B819">IF(MATCH(Table1[[#This Row],[Customer ID]], Table1[Customer ID], 0) = ROW() - ROW(Table1[#Headers]), 1, 0)</f>
        <v>0</v>
      </c>
      <c r="C819" t="s">
        <v>918</v>
      </c>
      <c r="D819" s="2">
        <v>45713</v>
      </c>
      <c r="E819">
        <v>68</v>
      </c>
      <c r="F819" t="str" cm="1">
        <f t="array" ref="F819">_xlfn.IFS( Table1[[#This Row],[Age]]&lt;18, "&lt;18", Table1[[#This Row],[Age]]&lt;= 29, "18-29", Table1[[#This Row],[Age]]&lt;= 44, "30-44",  Table1[[#This Row],[Age]]&lt;=59, "45-59", TRUE, "60+")</f>
        <v>60+</v>
      </c>
      <c r="G819" t="s">
        <v>258</v>
      </c>
      <c r="H819" t="s">
        <v>29</v>
      </c>
      <c r="I819" t="s">
        <v>21</v>
      </c>
      <c r="J819">
        <v>4</v>
      </c>
      <c r="K819" t="s">
        <v>114</v>
      </c>
      <c r="L819" t="str" cm="1">
        <f t="array" ref="L819">_xlfn.IFS(Table1[[#This Row],[Customer Tenure in months]]&lt;=6, "0-6 months", Table1[[#This Row],[Customer Tenure in months]] &lt;=12, "7-12 months", Table1[[#This Row],[Customer Tenure in months]] &lt;=24, "1-2 years", TRUE, "2+ years")</f>
        <v>2+ years</v>
      </c>
      <c r="M819">
        <v>41</v>
      </c>
      <c r="N819" t="s">
        <v>72</v>
      </c>
      <c r="O819" s="1">
        <v>350</v>
      </c>
      <c r="P819">
        <v>10</v>
      </c>
      <c r="Q819" s="1">
        <v>3500</v>
      </c>
      <c r="R819">
        <v>6.03</v>
      </c>
      <c r="S819" t="s">
        <v>96</v>
      </c>
      <c r="T819" t="s">
        <v>24</v>
      </c>
    </row>
    <row r="820" spans="1:20" x14ac:dyDescent="0.35">
      <c r="A820" s="22" t="s">
        <v>917</v>
      </c>
      <c r="B820" cm="1">
        <f t="array" ref="B820">IF(MATCH(Table1[[#This Row],[Customer ID]], Table1[Customer ID], 0) = ROW() - ROW(Table1[#Headers]), 1, 0)</f>
        <v>0</v>
      </c>
      <c r="C820" t="s">
        <v>918</v>
      </c>
      <c r="D820" s="2">
        <v>45713</v>
      </c>
      <c r="E820">
        <v>68</v>
      </c>
      <c r="F820" t="str" cm="1">
        <f t="array" ref="F820">_xlfn.IFS( Table1[[#This Row],[Age]]&lt;18, "&lt;18", Table1[[#This Row],[Age]]&lt;= 29, "18-29", Table1[[#This Row],[Age]]&lt;= 44, "30-44",  Table1[[#This Row],[Age]]&lt;=59, "45-59", TRUE, "60+")</f>
        <v>60+</v>
      </c>
      <c r="G820" t="s">
        <v>258</v>
      </c>
      <c r="H820" t="s">
        <v>41</v>
      </c>
      <c r="I820" t="s">
        <v>21</v>
      </c>
      <c r="J820">
        <v>4</v>
      </c>
      <c r="K820" t="s">
        <v>114</v>
      </c>
      <c r="L820" t="str" cm="1">
        <f t="array" ref="L820">_xlfn.IFS(Table1[[#This Row],[Customer Tenure in months]]&lt;=6, "0-6 months", Table1[[#This Row],[Customer Tenure in months]] &lt;=12, "7-12 months", Table1[[#This Row],[Customer Tenure in months]] &lt;=24, "1-2 years", TRUE, "2+ years")</f>
        <v>2+ years</v>
      </c>
      <c r="M820">
        <v>41</v>
      </c>
      <c r="N820" t="s">
        <v>71</v>
      </c>
      <c r="O820" s="1">
        <v>14500</v>
      </c>
      <c r="P820">
        <v>14</v>
      </c>
      <c r="Q820" s="1">
        <v>203000</v>
      </c>
      <c r="R820">
        <v>97.33</v>
      </c>
      <c r="S820" t="s">
        <v>96</v>
      </c>
      <c r="T820" t="s">
        <v>24</v>
      </c>
    </row>
    <row r="821" spans="1:20" x14ac:dyDescent="0.35">
      <c r="A821" s="22" t="s">
        <v>919</v>
      </c>
      <c r="B821" cm="1">
        <f t="array" ref="B821">IF(MATCH(Table1[[#This Row],[Customer ID]], Table1[Customer ID], 0) = ROW() - ROW(Table1[#Headers]), 1, 0)</f>
        <v>1</v>
      </c>
      <c r="C821" t="s">
        <v>920</v>
      </c>
      <c r="D821" s="2">
        <v>45713</v>
      </c>
      <c r="E821">
        <v>20</v>
      </c>
      <c r="F821" t="str" cm="1">
        <f t="array" ref="F821">_xlfn.IFS( Table1[[#This Row],[Age]]&lt;18, "&lt;18", Table1[[#This Row],[Age]]&lt;= 29, "18-29", Table1[[#This Row],[Age]]&lt;= 44, "30-44",  Table1[[#This Row],[Age]]&lt;=59, "45-59", TRUE, "60+")</f>
        <v>18-29</v>
      </c>
      <c r="G821" t="s">
        <v>121</v>
      </c>
      <c r="H821" t="s">
        <v>20</v>
      </c>
      <c r="I821" t="s">
        <v>21</v>
      </c>
      <c r="J821">
        <v>1</v>
      </c>
      <c r="K821" t="s">
        <v>37</v>
      </c>
      <c r="L821" t="str" cm="1">
        <f t="array" ref="L821">_xlfn.IFS(Table1[[#This Row],[Customer Tenure in months]]&lt;=6, "0-6 months", Table1[[#This Row],[Customer Tenure in months]] &lt;=12, "7-12 months", Table1[[#This Row],[Customer Tenure in months]] &lt;=24, "1-2 years", TRUE, "2+ years")</f>
        <v>1-2 years</v>
      </c>
      <c r="M821">
        <v>18</v>
      </c>
      <c r="N821" t="s">
        <v>58</v>
      </c>
      <c r="O821" s="1">
        <v>16000</v>
      </c>
      <c r="P821">
        <v>16</v>
      </c>
      <c r="Q821" s="1">
        <v>256000</v>
      </c>
      <c r="R821">
        <v>192.78</v>
      </c>
      <c r="S821" t="s">
        <v>32</v>
      </c>
      <c r="T821" t="s">
        <v>24</v>
      </c>
    </row>
    <row r="822" spans="1:20" x14ac:dyDescent="0.35">
      <c r="A822" s="22" t="s">
        <v>919</v>
      </c>
      <c r="B822" cm="1">
        <f t="array" ref="B822">IF(MATCH(Table1[[#This Row],[Customer ID]], Table1[Customer ID], 0) = ROW() - ROW(Table1[#Headers]), 1, 0)</f>
        <v>0</v>
      </c>
      <c r="C822" t="s">
        <v>920</v>
      </c>
      <c r="D822" s="2">
        <v>45713</v>
      </c>
      <c r="E822">
        <v>20</v>
      </c>
      <c r="F822" t="str" cm="1">
        <f t="array" ref="F822">_xlfn.IFS( Table1[[#This Row],[Age]]&lt;18, "&lt;18", Table1[[#This Row],[Age]]&lt;= 29, "18-29", Table1[[#This Row],[Age]]&lt;= 44, "30-44",  Table1[[#This Row],[Age]]&lt;=59, "45-59", TRUE, "60+")</f>
        <v>18-29</v>
      </c>
      <c r="G822" t="s">
        <v>121</v>
      </c>
      <c r="H822" t="s">
        <v>36</v>
      </c>
      <c r="I822" t="s">
        <v>21</v>
      </c>
      <c r="J822">
        <v>1</v>
      </c>
      <c r="K822" t="s">
        <v>37</v>
      </c>
      <c r="L822" t="str" cm="1">
        <f t="array" ref="L822">_xlfn.IFS(Table1[[#This Row],[Customer Tenure in months]]&lt;=6, "0-6 months", Table1[[#This Row],[Customer Tenure in months]] &lt;=12, "7-12 months", Table1[[#This Row],[Customer Tenure in months]] &lt;=24, "1-2 years", TRUE, "2+ years")</f>
        <v>1-2 years</v>
      </c>
      <c r="M822">
        <v>18</v>
      </c>
      <c r="N822" t="s">
        <v>42</v>
      </c>
      <c r="O822" s="1">
        <v>9000</v>
      </c>
      <c r="P822">
        <v>3</v>
      </c>
      <c r="Q822" s="1">
        <v>27000</v>
      </c>
      <c r="R822">
        <v>11.54</v>
      </c>
      <c r="S822" t="s">
        <v>32</v>
      </c>
      <c r="T822" t="s">
        <v>24</v>
      </c>
    </row>
    <row r="823" spans="1:20" x14ac:dyDescent="0.35">
      <c r="A823" s="22" t="s">
        <v>921</v>
      </c>
      <c r="B823" cm="1">
        <f t="array" ref="B823">IF(MATCH(Table1[[#This Row],[Customer ID]], Table1[Customer ID], 0) = ROW() - ROW(Table1[#Headers]), 1, 0)</f>
        <v>1</v>
      </c>
      <c r="C823" t="s">
        <v>922</v>
      </c>
      <c r="D823" s="2">
        <v>45741</v>
      </c>
      <c r="E823">
        <v>54</v>
      </c>
      <c r="F823" t="str" cm="1">
        <f t="array" ref="F823">_xlfn.IFS( Table1[[#This Row],[Age]]&lt;18, "&lt;18", Table1[[#This Row],[Age]]&lt;= 29, "18-29", Table1[[#This Row],[Age]]&lt;= 44, "30-44",  Table1[[#This Row],[Age]]&lt;=59, "45-59", TRUE, "60+")</f>
        <v>45-59</v>
      </c>
      <c r="G823" t="s">
        <v>146</v>
      </c>
      <c r="H823" t="s">
        <v>20</v>
      </c>
      <c r="I823" t="s">
        <v>30</v>
      </c>
      <c r="J823">
        <v>1</v>
      </c>
      <c r="K823" t="s">
        <v>37</v>
      </c>
      <c r="L823" t="str" cm="1">
        <f t="array" ref="L823">_xlfn.IFS(Table1[[#This Row],[Customer Tenure in months]]&lt;=6, "0-6 months", Table1[[#This Row],[Customer Tenure in months]] &lt;=12, "7-12 months", Table1[[#This Row],[Customer Tenure in months]] &lt;=24, "1-2 years", TRUE, "2+ years")</f>
        <v>2+ years</v>
      </c>
      <c r="M823">
        <v>58</v>
      </c>
      <c r="N823" t="s">
        <v>58</v>
      </c>
      <c r="O823" s="1">
        <v>16000</v>
      </c>
      <c r="P823">
        <v>19</v>
      </c>
      <c r="Q823" s="1">
        <v>304000</v>
      </c>
      <c r="R823">
        <v>104.63</v>
      </c>
      <c r="S823" t="s">
        <v>1091</v>
      </c>
      <c r="T823" t="s">
        <v>39</v>
      </c>
    </row>
    <row r="824" spans="1:20" x14ac:dyDescent="0.35">
      <c r="A824" s="22" t="s">
        <v>921</v>
      </c>
      <c r="B824" cm="1">
        <f t="array" ref="B824">IF(MATCH(Table1[[#This Row],[Customer ID]], Table1[Customer ID], 0) = ROW() - ROW(Table1[#Headers]), 1, 0)</f>
        <v>0</v>
      </c>
      <c r="C824" t="s">
        <v>922</v>
      </c>
      <c r="D824" s="2">
        <v>45741</v>
      </c>
      <c r="E824">
        <v>54</v>
      </c>
      <c r="F824" t="str" cm="1">
        <f t="array" ref="F824">_xlfn.IFS( Table1[[#This Row],[Age]]&lt;18, "&lt;18", Table1[[#This Row],[Age]]&lt;= 29, "18-29", Table1[[#This Row],[Age]]&lt;= 44, "30-44",  Table1[[#This Row],[Age]]&lt;=59, "45-59", TRUE, "60+")</f>
        <v>45-59</v>
      </c>
      <c r="G824" t="s">
        <v>146</v>
      </c>
      <c r="H824" t="s">
        <v>41</v>
      </c>
      <c r="I824" t="s">
        <v>30</v>
      </c>
      <c r="J824">
        <v>1</v>
      </c>
      <c r="K824" t="s">
        <v>37</v>
      </c>
      <c r="L824" t="str" cm="1">
        <f t="array" ref="L824">_xlfn.IFS(Table1[[#This Row],[Customer Tenure in months]]&lt;=6, "0-6 months", Table1[[#This Row],[Customer Tenure in months]] &lt;=12, "7-12 months", Table1[[#This Row],[Customer Tenure in months]] &lt;=24, "1-2 years", TRUE, "2+ years")</f>
        <v>2+ years</v>
      </c>
      <c r="M824">
        <v>58</v>
      </c>
      <c r="N824" t="s">
        <v>62</v>
      </c>
      <c r="O824" s="1">
        <v>24000</v>
      </c>
      <c r="P824">
        <v>3</v>
      </c>
      <c r="Q824" s="1">
        <v>72000</v>
      </c>
      <c r="R824">
        <v>50.74</v>
      </c>
      <c r="S824" t="s">
        <v>1091</v>
      </c>
      <c r="T824" t="s">
        <v>39</v>
      </c>
    </row>
    <row r="825" spans="1:20" x14ac:dyDescent="0.35">
      <c r="A825" s="22" t="s">
        <v>921</v>
      </c>
      <c r="B825" cm="1">
        <f t="array" ref="B825">IF(MATCH(Table1[[#This Row],[Customer ID]], Table1[Customer ID], 0) = ROW() - ROW(Table1[#Headers]), 1, 0)</f>
        <v>0</v>
      </c>
      <c r="C825" t="s">
        <v>922</v>
      </c>
      <c r="D825" s="2">
        <v>45741</v>
      </c>
      <c r="E825">
        <v>54</v>
      </c>
      <c r="F825" t="str" cm="1">
        <f t="array" ref="F825">_xlfn.IFS( Table1[[#This Row],[Age]]&lt;18, "&lt;18", Table1[[#This Row],[Age]]&lt;= 29, "18-29", Table1[[#This Row],[Age]]&lt;= 44, "30-44",  Table1[[#This Row],[Age]]&lt;=59, "45-59", TRUE, "60+")</f>
        <v>45-59</v>
      </c>
      <c r="G825" t="s">
        <v>146</v>
      </c>
      <c r="H825" t="s">
        <v>36</v>
      </c>
      <c r="I825" t="s">
        <v>30</v>
      </c>
      <c r="J825">
        <v>1</v>
      </c>
      <c r="K825" t="s">
        <v>37</v>
      </c>
      <c r="L825" t="str" cm="1">
        <f t="array" ref="L825">_xlfn.IFS(Table1[[#This Row],[Customer Tenure in months]]&lt;=6, "0-6 months", Table1[[#This Row],[Customer Tenure in months]] &lt;=12, "7-12 months", Table1[[#This Row],[Customer Tenure in months]] &lt;=24, "1-2 years", TRUE, "2+ years")</f>
        <v>2+ years</v>
      </c>
      <c r="M825">
        <v>58</v>
      </c>
      <c r="N825" t="s">
        <v>71</v>
      </c>
      <c r="O825" s="1">
        <v>14500</v>
      </c>
      <c r="P825">
        <v>11</v>
      </c>
      <c r="Q825" s="1">
        <v>159500</v>
      </c>
      <c r="R825">
        <v>120.16</v>
      </c>
      <c r="S825" t="s">
        <v>1091</v>
      </c>
      <c r="T825" t="s">
        <v>39</v>
      </c>
    </row>
    <row r="826" spans="1:20" x14ac:dyDescent="0.35">
      <c r="A826" s="22" t="s">
        <v>923</v>
      </c>
      <c r="B826" cm="1">
        <f t="array" ref="B826">IF(MATCH(Table1[[#This Row],[Customer ID]], Table1[Customer ID], 0) = ROW() - ROW(Table1[#Headers]), 1, 0)</f>
        <v>1</v>
      </c>
      <c r="C826" t="s">
        <v>924</v>
      </c>
      <c r="D826" s="2">
        <v>45713</v>
      </c>
      <c r="E826">
        <v>65</v>
      </c>
      <c r="F826" t="str" cm="1">
        <f t="array" ref="F826">_xlfn.IFS( Table1[[#This Row],[Age]]&lt;18, "&lt;18", Table1[[#This Row],[Age]]&lt;= 29, "18-29", Table1[[#This Row],[Age]]&lt;= 44, "30-44",  Table1[[#This Row],[Age]]&lt;=59, "45-59", TRUE, "60+")</f>
        <v>60+</v>
      </c>
      <c r="G826" t="s">
        <v>70</v>
      </c>
      <c r="H826" t="s">
        <v>29</v>
      </c>
      <c r="I826" t="s">
        <v>30</v>
      </c>
      <c r="J826">
        <v>1</v>
      </c>
      <c r="K826" t="s">
        <v>37</v>
      </c>
      <c r="L826" t="str" cm="1">
        <f t="array" ref="L826">_xlfn.IFS(Table1[[#This Row],[Customer Tenure in months]]&lt;=6, "0-6 months", Table1[[#This Row],[Customer Tenure in months]] &lt;=12, "7-12 months", Table1[[#This Row],[Customer Tenure in months]] &lt;=24, "1-2 years", TRUE, "2+ years")</f>
        <v>1-2 years</v>
      </c>
      <c r="M826">
        <v>14</v>
      </c>
      <c r="N826" t="s">
        <v>102</v>
      </c>
      <c r="O826" s="1">
        <v>900</v>
      </c>
      <c r="P826">
        <v>12</v>
      </c>
      <c r="Q826" s="1">
        <v>10800</v>
      </c>
      <c r="R826">
        <v>98.33</v>
      </c>
      <c r="S826" t="s">
        <v>96</v>
      </c>
      <c r="T826" t="s">
        <v>24</v>
      </c>
    </row>
    <row r="827" spans="1:20" x14ac:dyDescent="0.35">
      <c r="A827" s="22" t="s">
        <v>923</v>
      </c>
      <c r="B827" cm="1">
        <f t="array" ref="B827">IF(MATCH(Table1[[#This Row],[Customer ID]], Table1[Customer ID], 0) = ROW() - ROW(Table1[#Headers]), 1, 0)</f>
        <v>0</v>
      </c>
      <c r="C827" t="s">
        <v>924</v>
      </c>
      <c r="D827" s="2">
        <v>45713</v>
      </c>
      <c r="E827">
        <v>65</v>
      </c>
      <c r="F827" t="str" cm="1">
        <f t="array" ref="F827">_xlfn.IFS( Table1[[#This Row],[Age]]&lt;18, "&lt;18", Table1[[#This Row],[Age]]&lt;= 29, "18-29", Table1[[#This Row],[Age]]&lt;= 44, "30-44",  Table1[[#This Row],[Age]]&lt;=59, "45-59", TRUE, "60+")</f>
        <v>60+</v>
      </c>
      <c r="G827" t="s">
        <v>70</v>
      </c>
      <c r="H827" t="s">
        <v>20</v>
      </c>
      <c r="I827" t="s">
        <v>30</v>
      </c>
      <c r="J827">
        <v>1</v>
      </c>
      <c r="K827" t="s">
        <v>37</v>
      </c>
      <c r="L827" t="str" cm="1">
        <f t="array" ref="L827">_xlfn.IFS(Table1[[#This Row],[Customer Tenure in months]]&lt;=6, "0-6 months", Table1[[#This Row],[Customer Tenure in months]] &lt;=12, "7-12 months", Table1[[#This Row],[Customer Tenure in months]] &lt;=24, "1-2 years", TRUE, "2+ years")</f>
        <v>1-2 years</v>
      </c>
      <c r="M827">
        <v>14</v>
      </c>
      <c r="N827" t="s">
        <v>58</v>
      </c>
      <c r="O827" s="1">
        <v>16000</v>
      </c>
      <c r="P827">
        <v>14</v>
      </c>
      <c r="Q827" s="1">
        <v>224000</v>
      </c>
      <c r="R827">
        <v>63.64</v>
      </c>
      <c r="S827" t="s">
        <v>96</v>
      </c>
      <c r="T827" t="s">
        <v>24</v>
      </c>
    </row>
    <row r="828" spans="1:20" x14ac:dyDescent="0.35">
      <c r="A828" s="22" t="s">
        <v>925</v>
      </c>
      <c r="B828" cm="1">
        <f t="array" ref="B828">IF(MATCH(Table1[[#This Row],[Customer ID]], Table1[Customer ID], 0) = ROW() - ROW(Table1[#Headers]), 1, 0)</f>
        <v>1</v>
      </c>
      <c r="C828" t="s">
        <v>926</v>
      </c>
      <c r="D828" s="2">
        <v>45713</v>
      </c>
      <c r="E828">
        <v>47</v>
      </c>
      <c r="F828" t="str" cm="1">
        <f t="array" ref="F828">_xlfn.IFS( Table1[[#This Row],[Age]]&lt;18, "&lt;18", Table1[[#This Row],[Age]]&lt;= 29, "18-29", Table1[[#This Row],[Age]]&lt;= 44, "30-44",  Table1[[#This Row],[Age]]&lt;=59, "45-59", TRUE, "60+")</f>
        <v>45-59</v>
      </c>
      <c r="G828" t="s">
        <v>192</v>
      </c>
      <c r="H828" t="s">
        <v>41</v>
      </c>
      <c r="I828" t="s">
        <v>21</v>
      </c>
      <c r="J828">
        <v>3</v>
      </c>
      <c r="K828" t="s">
        <v>50</v>
      </c>
      <c r="L828" t="str" cm="1">
        <f t="array" ref="L828">_xlfn.IFS(Table1[[#This Row],[Customer Tenure in months]]&lt;=6, "0-6 months", Table1[[#This Row],[Customer Tenure in months]] &lt;=12, "7-12 months", Table1[[#This Row],[Customer Tenure in months]] &lt;=24, "1-2 years", TRUE, "2+ years")</f>
        <v>1-2 years</v>
      </c>
      <c r="M828">
        <v>24</v>
      </c>
      <c r="N828" t="s">
        <v>42</v>
      </c>
      <c r="O828" s="1">
        <v>9000</v>
      </c>
      <c r="P828">
        <v>8</v>
      </c>
      <c r="Q828" s="1">
        <v>72000</v>
      </c>
      <c r="R828">
        <v>138.29</v>
      </c>
      <c r="S828" t="s">
        <v>1091</v>
      </c>
      <c r="T828" t="s">
        <v>39</v>
      </c>
    </row>
    <row r="829" spans="1:20" x14ac:dyDescent="0.35">
      <c r="A829" s="22" t="s">
        <v>927</v>
      </c>
      <c r="B829" cm="1">
        <f t="array" ref="B829">IF(MATCH(Table1[[#This Row],[Customer ID]], Table1[Customer ID], 0) = ROW() - ROW(Table1[#Headers]), 1, 0)</f>
        <v>1</v>
      </c>
      <c r="C829" t="s">
        <v>928</v>
      </c>
      <c r="D829" s="2">
        <v>45682</v>
      </c>
      <c r="E829">
        <v>65</v>
      </c>
      <c r="F829" t="str" cm="1">
        <f t="array" ref="F829">_xlfn.IFS( Table1[[#This Row],[Age]]&lt;18, "&lt;18", Table1[[#This Row],[Age]]&lt;= 29, "18-29", Table1[[#This Row],[Age]]&lt;= 44, "30-44",  Table1[[#This Row],[Age]]&lt;=59, "45-59", TRUE, "60+")</f>
        <v>60+</v>
      </c>
      <c r="G829" t="s">
        <v>149</v>
      </c>
      <c r="H829" t="s">
        <v>29</v>
      </c>
      <c r="I829" t="s">
        <v>30</v>
      </c>
      <c r="J829">
        <v>5</v>
      </c>
      <c r="K829" t="s">
        <v>55</v>
      </c>
      <c r="L829" t="str" cm="1">
        <f t="array" ref="L829">_xlfn.IFS(Table1[[#This Row],[Customer Tenure in months]]&lt;=6, "0-6 months", Table1[[#This Row],[Customer Tenure in months]] &lt;=12, "7-12 months", Table1[[#This Row],[Customer Tenure in months]] &lt;=24, "1-2 years", TRUE, "2+ years")</f>
        <v>2+ years</v>
      </c>
      <c r="M829">
        <v>58</v>
      </c>
      <c r="N829" t="s">
        <v>87</v>
      </c>
      <c r="O829" s="1">
        <v>7500</v>
      </c>
      <c r="P829">
        <v>9</v>
      </c>
      <c r="Q829" s="1">
        <v>67500</v>
      </c>
      <c r="R829">
        <v>185.54</v>
      </c>
      <c r="S829" t="s">
        <v>1091</v>
      </c>
      <c r="T829" t="s">
        <v>39</v>
      </c>
    </row>
    <row r="830" spans="1:20" x14ac:dyDescent="0.35">
      <c r="A830" s="22" t="s">
        <v>927</v>
      </c>
      <c r="B830" cm="1">
        <f t="array" ref="B830">IF(MATCH(Table1[[#This Row],[Customer ID]], Table1[Customer ID], 0) = ROW() - ROW(Table1[#Headers]), 1, 0)</f>
        <v>0</v>
      </c>
      <c r="C830" t="s">
        <v>928</v>
      </c>
      <c r="D830" s="2">
        <v>45682</v>
      </c>
      <c r="E830">
        <v>65</v>
      </c>
      <c r="F830" t="str" cm="1">
        <f t="array" ref="F830">_xlfn.IFS( Table1[[#This Row],[Age]]&lt;18, "&lt;18", Table1[[#This Row],[Age]]&lt;= 29, "18-29", Table1[[#This Row],[Age]]&lt;= 44, "30-44",  Table1[[#This Row],[Age]]&lt;=59, "45-59", TRUE, "60+")</f>
        <v>60+</v>
      </c>
      <c r="G830" t="s">
        <v>149</v>
      </c>
      <c r="H830" t="s">
        <v>41</v>
      </c>
      <c r="I830" t="s">
        <v>30</v>
      </c>
      <c r="J830">
        <v>5</v>
      </c>
      <c r="K830" t="s">
        <v>55</v>
      </c>
      <c r="L830" t="str" cm="1">
        <f t="array" ref="L830">_xlfn.IFS(Table1[[#This Row],[Customer Tenure in months]]&lt;=6, "0-6 months", Table1[[#This Row],[Customer Tenure in months]] &lt;=12, "7-12 months", Table1[[#This Row],[Customer Tenure in months]] &lt;=24, "1-2 years", TRUE, "2+ years")</f>
        <v>2+ years</v>
      </c>
      <c r="M830">
        <v>58</v>
      </c>
      <c r="N830" t="s">
        <v>65</v>
      </c>
      <c r="O830" s="1">
        <v>30000</v>
      </c>
      <c r="P830">
        <v>8</v>
      </c>
      <c r="Q830" s="1">
        <v>240000</v>
      </c>
      <c r="R830">
        <v>18.5</v>
      </c>
      <c r="S830" t="s">
        <v>1091</v>
      </c>
      <c r="T830" t="s">
        <v>39</v>
      </c>
    </row>
    <row r="831" spans="1:20" x14ac:dyDescent="0.35">
      <c r="A831" s="22" t="s">
        <v>929</v>
      </c>
      <c r="B831" cm="1">
        <f t="array" ref="B831">IF(MATCH(Table1[[#This Row],[Customer ID]], Table1[Customer ID], 0) = ROW() - ROW(Table1[#Headers]), 1, 0)</f>
        <v>1</v>
      </c>
      <c r="C831" t="s">
        <v>930</v>
      </c>
      <c r="D831" s="2">
        <v>45741</v>
      </c>
      <c r="E831">
        <v>42</v>
      </c>
      <c r="F831" t="str" cm="1">
        <f t="array" ref="F831">_xlfn.IFS( Table1[[#This Row],[Age]]&lt;18, "&lt;18", Table1[[#This Row],[Age]]&lt;= 29, "18-29", Table1[[#This Row],[Age]]&lt;= 44, "30-44",  Table1[[#This Row],[Age]]&lt;=59, "45-59", TRUE, "60+")</f>
        <v>30-44</v>
      </c>
      <c r="G831" t="s">
        <v>28</v>
      </c>
      <c r="H831" t="s">
        <v>41</v>
      </c>
      <c r="I831" t="s">
        <v>30</v>
      </c>
      <c r="J831">
        <v>4</v>
      </c>
      <c r="K831" t="s">
        <v>114</v>
      </c>
      <c r="L831" t="str" cm="1">
        <f t="array" ref="L831">_xlfn.IFS(Table1[[#This Row],[Customer Tenure in months]]&lt;=6, "0-6 months", Table1[[#This Row],[Customer Tenure in months]] &lt;=12, "7-12 months", Table1[[#This Row],[Customer Tenure in months]] &lt;=24, "1-2 years", TRUE, "2+ years")</f>
        <v>2+ years</v>
      </c>
      <c r="M831">
        <v>41</v>
      </c>
      <c r="N831" t="s">
        <v>71</v>
      </c>
      <c r="O831" s="1">
        <v>14500</v>
      </c>
      <c r="P831">
        <v>11</v>
      </c>
      <c r="Q831" s="1">
        <v>159500</v>
      </c>
      <c r="R831">
        <v>147.52000000000001</v>
      </c>
      <c r="S831" t="s">
        <v>1091</v>
      </c>
      <c r="T831" t="s">
        <v>39</v>
      </c>
    </row>
    <row r="832" spans="1:20" x14ac:dyDescent="0.35">
      <c r="A832" s="22" t="s">
        <v>929</v>
      </c>
      <c r="B832" cm="1">
        <f t="array" ref="B832">IF(MATCH(Table1[[#This Row],[Customer ID]], Table1[Customer ID], 0) = ROW() - ROW(Table1[#Headers]), 1, 0)</f>
        <v>0</v>
      </c>
      <c r="C832" t="s">
        <v>930</v>
      </c>
      <c r="D832" s="2">
        <v>45741</v>
      </c>
      <c r="E832">
        <v>42</v>
      </c>
      <c r="F832" t="str" cm="1">
        <f t="array" ref="F832">_xlfn.IFS( Table1[[#This Row],[Age]]&lt;18, "&lt;18", Table1[[#This Row],[Age]]&lt;= 29, "18-29", Table1[[#This Row],[Age]]&lt;= 44, "30-44",  Table1[[#This Row],[Age]]&lt;=59, "45-59", TRUE, "60+")</f>
        <v>30-44</v>
      </c>
      <c r="G832" t="s">
        <v>28</v>
      </c>
      <c r="H832" t="s">
        <v>20</v>
      </c>
      <c r="I832" t="s">
        <v>30</v>
      </c>
      <c r="J832">
        <v>4</v>
      </c>
      <c r="K832" t="s">
        <v>114</v>
      </c>
      <c r="L832" t="str" cm="1">
        <f t="array" ref="L832">_xlfn.IFS(Table1[[#This Row],[Customer Tenure in months]]&lt;=6, "0-6 months", Table1[[#This Row],[Customer Tenure in months]] &lt;=12, "7-12 months", Table1[[#This Row],[Customer Tenure in months]] &lt;=24, "1-2 years", TRUE, "2+ years")</f>
        <v>2+ years</v>
      </c>
      <c r="M832">
        <v>41</v>
      </c>
      <c r="N832" t="s">
        <v>23</v>
      </c>
      <c r="O832" s="1">
        <v>35000</v>
      </c>
      <c r="P832">
        <v>4</v>
      </c>
      <c r="Q832" s="1">
        <v>140000</v>
      </c>
      <c r="R832">
        <v>175.41</v>
      </c>
      <c r="S832" t="s">
        <v>1091</v>
      </c>
      <c r="T832" t="s">
        <v>39</v>
      </c>
    </row>
    <row r="833" spans="1:20" x14ac:dyDescent="0.35">
      <c r="A833" s="22" t="s">
        <v>931</v>
      </c>
      <c r="B833" cm="1">
        <f t="array" ref="B833">IF(MATCH(Table1[[#This Row],[Customer ID]], Table1[Customer ID], 0) = ROW() - ROW(Table1[#Headers]), 1, 0)</f>
        <v>1</v>
      </c>
      <c r="C833" t="s">
        <v>932</v>
      </c>
      <c r="D833" s="2">
        <v>45713</v>
      </c>
      <c r="E833">
        <v>49</v>
      </c>
      <c r="F833" t="str" cm="1">
        <f t="array" ref="F833">_xlfn.IFS( Table1[[#This Row],[Age]]&lt;18, "&lt;18", Table1[[#This Row],[Age]]&lt;= 29, "18-29", Table1[[#This Row],[Age]]&lt;= 44, "30-44",  Table1[[#This Row],[Age]]&lt;=59, "45-59", TRUE, "60+")</f>
        <v>45-59</v>
      </c>
      <c r="G833" t="s">
        <v>189</v>
      </c>
      <c r="H833" t="s">
        <v>36</v>
      </c>
      <c r="I833" t="s">
        <v>21</v>
      </c>
      <c r="J833">
        <v>5</v>
      </c>
      <c r="K833" t="s">
        <v>55</v>
      </c>
      <c r="L833" t="str" cm="1">
        <f t="array" ref="L833">_xlfn.IFS(Table1[[#This Row],[Customer Tenure in months]]&lt;=6, "0-6 months", Table1[[#This Row],[Customer Tenure in months]] &lt;=12, "7-12 months", Table1[[#This Row],[Customer Tenure in months]] &lt;=24, "1-2 years", TRUE, "2+ years")</f>
        <v>1-2 years</v>
      </c>
      <c r="M833">
        <v>23</v>
      </c>
      <c r="N833" t="s">
        <v>42</v>
      </c>
      <c r="O833" s="1">
        <v>9000</v>
      </c>
      <c r="P833">
        <v>6</v>
      </c>
      <c r="Q833" s="1">
        <v>54000</v>
      </c>
      <c r="R833">
        <v>128.44999999999999</v>
      </c>
      <c r="S833" t="s">
        <v>1091</v>
      </c>
      <c r="T833" t="s">
        <v>39</v>
      </c>
    </row>
    <row r="834" spans="1:20" x14ac:dyDescent="0.35">
      <c r="A834" s="22" t="s">
        <v>931</v>
      </c>
      <c r="B834" cm="1">
        <f t="array" ref="B834">IF(MATCH(Table1[[#This Row],[Customer ID]], Table1[Customer ID], 0) = ROW() - ROW(Table1[#Headers]), 1, 0)</f>
        <v>0</v>
      </c>
      <c r="C834" t="s">
        <v>932</v>
      </c>
      <c r="D834" s="2">
        <v>45713</v>
      </c>
      <c r="E834">
        <v>49</v>
      </c>
      <c r="F834" t="str" cm="1">
        <f t="array" ref="F834">_xlfn.IFS( Table1[[#This Row],[Age]]&lt;18, "&lt;18", Table1[[#This Row],[Age]]&lt;= 29, "18-29", Table1[[#This Row],[Age]]&lt;= 44, "30-44",  Table1[[#This Row],[Age]]&lt;=59, "45-59", TRUE, "60+")</f>
        <v>45-59</v>
      </c>
      <c r="G834" t="s">
        <v>189</v>
      </c>
      <c r="H834" t="s">
        <v>20</v>
      </c>
      <c r="I834" t="s">
        <v>21</v>
      </c>
      <c r="J834">
        <v>5</v>
      </c>
      <c r="K834" t="s">
        <v>55</v>
      </c>
      <c r="L834" t="str" cm="1">
        <f t="array" ref="L834">_xlfn.IFS(Table1[[#This Row],[Customer Tenure in months]]&lt;=6, "0-6 months", Table1[[#This Row],[Customer Tenure in months]] &lt;=12, "7-12 months", Table1[[#This Row],[Customer Tenure in months]] &lt;=24, "1-2 years", TRUE, "2+ years")</f>
        <v>1-2 years</v>
      </c>
      <c r="M834">
        <v>23</v>
      </c>
      <c r="N834" t="s">
        <v>23</v>
      </c>
      <c r="O834" s="1">
        <v>35000</v>
      </c>
      <c r="P834">
        <v>5</v>
      </c>
      <c r="Q834" s="1">
        <v>175000</v>
      </c>
      <c r="R834">
        <v>158.31</v>
      </c>
      <c r="S834" t="s">
        <v>1091</v>
      </c>
      <c r="T834" t="s">
        <v>39</v>
      </c>
    </row>
    <row r="835" spans="1:20" x14ac:dyDescent="0.35">
      <c r="A835" s="22" t="s">
        <v>931</v>
      </c>
      <c r="B835" cm="1">
        <f t="array" ref="B835">IF(MATCH(Table1[[#This Row],[Customer ID]], Table1[Customer ID], 0) = ROW() - ROW(Table1[#Headers]), 1, 0)</f>
        <v>0</v>
      </c>
      <c r="C835" t="s">
        <v>932</v>
      </c>
      <c r="D835" s="2">
        <v>45713</v>
      </c>
      <c r="E835">
        <v>49</v>
      </c>
      <c r="F835" t="str" cm="1">
        <f t="array" ref="F835">_xlfn.IFS( Table1[[#This Row],[Age]]&lt;18, "&lt;18", Table1[[#This Row],[Age]]&lt;= 29, "18-29", Table1[[#This Row],[Age]]&lt;= 44, "30-44",  Table1[[#This Row],[Age]]&lt;=59, "45-59", TRUE, "60+")</f>
        <v>45-59</v>
      </c>
      <c r="G835" t="s">
        <v>189</v>
      </c>
      <c r="H835" t="s">
        <v>41</v>
      </c>
      <c r="I835" t="s">
        <v>21</v>
      </c>
      <c r="J835">
        <v>5</v>
      </c>
      <c r="K835" t="s">
        <v>55</v>
      </c>
      <c r="L835" t="str" cm="1">
        <f t="array" ref="L835">_xlfn.IFS(Table1[[#This Row],[Customer Tenure in months]]&lt;=6, "0-6 months", Table1[[#This Row],[Customer Tenure in months]] &lt;=12, "7-12 months", Table1[[#This Row],[Customer Tenure in months]] &lt;=24, "1-2 years", TRUE, "2+ years")</f>
        <v>1-2 years</v>
      </c>
      <c r="M835">
        <v>23</v>
      </c>
      <c r="N835" t="s">
        <v>42</v>
      </c>
      <c r="O835" s="1">
        <v>9000</v>
      </c>
      <c r="P835">
        <v>10</v>
      </c>
      <c r="Q835" s="1">
        <v>90000</v>
      </c>
      <c r="R835">
        <v>80.430000000000007</v>
      </c>
      <c r="S835" t="s">
        <v>1091</v>
      </c>
      <c r="T835" t="s">
        <v>39</v>
      </c>
    </row>
    <row r="836" spans="1:20" x14ac:dyDescent="0.35">
      <c r="A836" s="22" t="s">
        <v>933</v>
      </c>
      <c r="B836" cm="1">
        <f t="array" ref="B836">IF(MATCH(Table1[[#This Row],[Customer ID]], Table1[Customer ID], 0) = ROW() - ROW(Table1[#Headers]), 1, 0)</f>
        <v>1</v>
      </c>
      <c r="C836" t="s">
        <v>934</v>
      </c>
      <c r="D836" s="2">
        <v>45713</v>
      </c>
      <c r="E836">
        <v>26</v>
      </c>
      <c r="F836" t="str" cm="1">
        <f t="array" ref="F836">_xlfn.IFS( Table1[[#This Row],[Age]]&lt;18, "&lt;18", Table1[[#This Row],[Age]]&lt;= 29, "18-29", Table1[[#This Row],[Age]]&lt;= 44, "30-44",  Table1[[#This Row],[Age]]&lt;=59, "45-59", TRUE, "60+")</f>
        <v>18-29</v>
      </c>
      <c r="G836" t="s">
        <v>176</v>
      </c>
      <c r="H836" t="s">
        <v>29</v>
      </c>
      <c r="I836" t="s">
        <v>21</v>
      </c>
      <c r="J836">
        <v>5</v>
      </c>
      <c r="K836" t="s">
        <v>55</v>
      </c>
      <c r="L836" t="str" cm="1">
        <f t="array" ref="L836">_xlfn.IFS(Table1[[#This Row],[Customer Tenure in months]]&lt;=6, "0-6 months", Table1[[#This Row],[Customer Tenure in months]] &lt;=12, "7-12 months", Table1[[#This Row],[Customer Tenure in months]] &lt;=24, "1-2 years", TRUE, "2+ years")</f>
        <v>1-2 years</v>
      </c>
      <c r="M836">
        <v>16</v>
      </c>
      <c r="N836" t="s">
        <v>164</v>
      </c>
      <c r="O836" s="1">
        <v>600</v>
      </c>
      <c r="P836">
        <v>19</v>
      </c>
      <c r="Q836" s="1">
        <v>11400</v>
      </c>
      <c r="R836">
        <v>52.51</v>
      </c>
      <c r="S836" t="s">
        <v>1091</v>
      </c>
      <c r="T836" t="s">
        <v>39</v>
      </c>
    </row>
    <row r="837" spans="1:20" x14ac:dyDescent="0.35">
      <c r="A837" s="22" t="s">
        <v>933</v>
      </c>
      <c r="B837" cm="1">
        <f t="array" ref="B837">IF(MATCH(Table1[[#This Row],[Customer ID]], Table1[Customer ID], 0) = ROW() - ROW(Table1[#Headers]), 1, 0)</f>
        <v>0</v>
      </c>
      <c r="C837" t="s">
        <v>934</v>
      </c>
      <c r="D837" s="2">
        <v>45713</v>
      </c>
      <c r="E837">
        <v>26</v>
      </c>
      <c r="F837" t="str" cm="1">
        <f t="array" ref="F837">_xlfn.IFS( Table1[[#This Row],[Age]]&lt;18, "&lt;18", Table1[[#This Row],[Age]]&lt;= 29, "18-29", Table1[[#This Row],[Age]]&lt;= 44, "30-44",  Table1[[#This Row],[Age]]&lt;=59, "45-59", TRUE, "60+")</f>
        <v>18-29</v>
      </c>
      <c r="G837" t="s">
        <v>176</v>
      </c>
      <c r="H837" t="s">
        <v>20</v>
      </c>
      <c r="I837" t="s">
        <v>21</v>
      </c>
      <c r="J837">
        <v>5</v>
      </c>
      <c r="K837" t="s">
        <v>55</v>
      </c>
      <c r="L837" t="str" cm="1">
        <f t="array" ref="L837">_xlfn.IFS(Table1[[#This Row],[Customer Tenure in months]]&lt;=6, "0-6 months", Table1[[#This Row],[Customer Tenure in months]] &lt;=12, "7-12 months", Table1[[#This Row],[Customer Tenure in months]] &lt;=24, "1-2 years", TRUE, "2+ years")</f>
        <v>1-2 years</v>
      </c>
      <c r="M837">
        <v>16</v>
      </c>
      <c r="N837" t="s">
        <v>51</v>
      </c>
      <c r="O837" s="1">
        <v>9000</v>
      </c>
      <c r="P837">
        <v>7</v>
      </c>
      <c r="Q837" s="1">
        <v>63000</v>
      </c>
      <c r="R837">
        <v>160.01</v>
      </c>
      <c r="S837" t="s">
        <v>1091</v>
      </c>
      <c r="T837" t="s">
        <v>39</v>
      </c>
    </row>
    <row r="838" spans="1:20" x14ac:dyDescent="0.35">
      <c r="A838" s="22" t="s">
        <v>935</v>
      </c>
      <c r="B838" cm="1">
        <f t="array" ref="B838">IF(MATCH(Table1[[#This Row],[Customer ID]], Table1[Customer ID], 0) = ROW() - ROW(Table1[#Headers]), 1, 0)</f>
        <v>1</v>
      </c>
      <c r="C838" t="s">
        <v>936</v>
      </c>
      <c r="D838" s="2">
        <v>45713</v>
      </c>
      <c r="E838">
        <v>69</v>
      </c>
      <c r="F838" t="str" cm="1">
        <f t="array" ref="F838">_xlfn.IFS( Table1[[#This Row],[Age]]&lt;18, "&lt;18", Table1[[#This Row],[Age]]&lt;= 29, "18-29", Table1[[#This Row],[Age]]&lt;= 44, "30-44",  Table1[[#This Row],[Age]]&lt;=59, "45-59", TRUE, "60+")</f>
        <v>60+</v>
      </c>
      <c r="G838" t="s">
        <v>45</v>
      </c>
      <c r="H838" t="s">
        <v>20</v>
      </c>
      <c r="I838" t="s">
        <v>21</v>
      </c>
      <c r="J838">
        <v>5</v>
      </c>
      <c r="K838" t="s">
        <v>55</v>
      </c>
      <c r="L838" t="str" cm="1">
        <f t="array" ref="L838">_xlfn.IFS(Table1[[#This Row],[Customer Tenure in months]]&lt;=6, "0-6 months", Table1[[#This Row],[Customer Tenure in months]] &lt;=12, "7-12 months", Table1[[#This Row],[Customer Tenure in months]] &lt;=24, "1-2 years", TRUE, "2+ years")</f>
        <v>2+ years</v>
      </c>
      <c r="M838">
        <v>26</v>
      </c>
      <c r="N838" t="s">
        <v>46</v>
      </c>
      <c r="O838" s="1">
        <v>4500</v>
      </c>
      <c r="P838">
        <v>6</v>
      </c>
      <c r="Q838" s="1">
        <v>27000</v>
      </c>
      <c r="R838">
        <v>52.73</v>
      </c>
      <c r="S838" t="s">
        <v>76</v>
      </c>
      <c r="T838" t="s">
        <v>24</v>
      </c>
    </row>
    <row r="839" spans="1:20" x14ac:dyDescent="0.35">
      <c r="A839" s="22" t="s">
        <v>935</v>
      </c>
      <c r="B839" cm="1">
        <f t="array" ref="B839">IF(MATCH(Table1[[#This Row],[Customer ID]], Table1[Customer ID], 0) = ROW() - ROW(Table1[#Headers]), 1, 0)</f>
        <v>0</v>
      </c>
      <c r="C839" t="s">
        <v>936</v>
      </c>
      <c r="D839" s="2">
        <v>45713</v>
      </c>
      <c r="E839">
        <v>69</v>
      </c>
      <c r="F839" t="str" cm="1">
        <f t="array" ref="F839">_xlfn.IFS( Table1[[#This Row],[Age]]&lt;18, "&lt;18", Table1[[#This Row],[Age]]&lt;= 29, "18-29", Table1[[#This Row],[Age]]&lt;= 44, "30-44",  Table1[[#This Row],[Age]]&lt;=59, "45-59", TRUE, "60+")</f>
        <v>60+</v>
      </c>
      <c r="G839" t="s">
        <v>45</v>
      </c>
      <c r="H839" t="s">
        <v>41</v>
      </c>
      <c r="I839" t="s">
        <v>21</v>
      </c>
      <c r="J839">
        <v>5</v>
      </c>
      <c r="K839" t="s">
        <v>55</v>
      </c>
      <c r="L839" t="str" cm="1">
        <f t="array" ref="L839">_xlfn.IFS(Table1[[#This Row],[Customer Tenure in months]]&lt;=6, "0-6 months", Table1[[#This Row],[Customer Tenure in months]] &lt;=12, "7-12 months", Table1[[#This Row],[Customer Tenure in months]] &lt;=24, "1-2 years", TRUE, "2+ years")</f>
        <v>2+ years</v>
      </c>
      <c r="M839">
        <v>26</v>
      </c>
      <c r="N839" t="s">
        <v>42</v>
      </c>
      <c r="O839" s="1">
        <v>9000</v>
      </c>
      <c r="P839">
        <v>14</v>
      </c>
      <c r="Q839" s="1">
        <v>126000</v>
      </c>
      <c r="R839">
        <v>80.510000000000005</v>
      </c>
      <c r="S839" t="s">
        <v>76</v>
      </c>
      <c r="T839" t="s">
        <v>24</v>
      </c>
    </row>
    <row r="840" spans="1:20" x14ac:dyDescent="0.35">
      <c r="A840" s="22" t="s">
        <v>935</v>
      </c>
      <c r="B840" cm="1">
        <f t="array" ref="B840">IF(MATCH(Table1[[#This Row],[Customer ID]], Table1[Customer ID], 0) = ROW() - ROW(Table1[#Headers]), 1, 0)</f>
        <v>0</v>
      </c>
      <c r="C840" t="s">
        <v>936</v>
      </c>
      <c r="D840" s="2">
        <v>45713</v>
      </c>
      <c r="E840">
        <v>69</v>
      </c>
      <c r="F840" t="str" cm="1">
        <f t="array" ref="F840">_xlfn.IFS( Table1[[#This Row],[Age]]&lt;18, "&lt;18", Table1[[#This Row],[Age]]&lt;= 29, "18-29", Table1[[#This Row],[Age]]&lt;= 44, "30-44",  Table1[[#This Row],[Age]]&lt;=59, "45-59", TRUE, "60+")</f>
        <v>60+</v>
      </c>
      <c r="G840" t="s">
        <v>45</v>
      </c>
      <c r="H840" t="s">
        <v>29</v>
      </c>
      <c r="I840" t="s">
        <v>21</v>
      </c>
      <c r="J840">
        <v>5</v>
      </c>
      <c r="K840" t="s">
        <v>55</v>
      </c>
      <c r="L840" t="str" cm="1">
        <f t="array" ref="L840">_xlfn.IFS(Table1[[#This Row],[Customer Tenure in months]]&lt;=6, "0-6 months", Table1[[#This Row],[Customer Tenure in months]] &lt;=12, "7-12 months", Table1[[#This Row],[Customer Tenure in months]] &lt;=24, "1-2 years", TRUE, "2+ years")</f>
        <v>2+ years</v>
      </c>
      <c r="M840">
        <v>26</v>
      </c>
      <c r="N840" t="s">
        <v>40</v>
      </c>
      <c r="O840" s="1">
        <v>500</v>
      </c>
      <c r="P840">
        <v>12</v>
      </c>
      <c r="Q840" s="1">
        <v>6000</v>
      </c>
      <c r="R840">
        <v>30.28</v>
      </c>
      <c r="S840" t="s">
        <v>76</v>
      </c>
      <c r="T840" t="s">
        <v>24</v>
      </c>
    </row>
    <row r="841" spans="1:20" x14ac:dyDescent="0.35">
      <c r="A841" s="22" t="s">
        <v>937</v>
      </c>
      <c r="B841" cm="1">
        <f t="array" ref="B841">IF(MATCH(Table1[[#This Row],[Customer ID]], Table1[Customer ID], 0) = ROW() - ROW(Table1[#Headers]), 1, 0)</f>
        <v>1</v>
      </c>
      <c r="C841" t="s">
        <v>938</v>
      </c>
      <c r="D841" s="2">
        <v>45713</v>
      </c>
      <c r="E841">
        <v>31</v>
      </c>
      <c r="F841" t="str" cm="1">
        <f t="array" ref="F841">_xlfn.IFS( Table1[[#This Row],[Age]]&lt;18, "&lt;18", Table1[[#This Row],[Age]]&lt;= 29, "18-29", Table1[[#This Row],[Age]]&lt;= 44, "30-44",  Table1[[#This Row],[Age]]&lt;=59, "45-59", TRUE, "60+")</f>
        <v>30-44</v>
      </c>
      <c r="G841" t="s">
        <v>452</v>
      </c>
      <c r="H841" t="s">
        <v>20</v>
      </c>
      <c r="I841" t="s">
        <v>30</v>
      </c>
      <c r="J841">
        <v>4</v>
      </c>
      <c r="K841" t="s">
        <v>114</v>
      </c>
      <c r="L841" t="str" cm="1">
        <f t="array" ref="L841">_xlfn.IFS(Table1[[#This Row],[Customer Tenure in months]]&lt;=6, "0-6 months", Table1[[#This Row],[Customer Tenure in months]] &lt;=12, "7-12 months", Table1[[#This Row],[Customer Tenure in months]] &lt;=24, "1-2 years", TRUE, "2+ years")</f>
        <v>2+ years</v>
      </c>
      <c r="M841">
        <v>50</v>
      </c>
      <c r="N841" t="s">
        <v>51</v>
      </c>
      <c r="O841" s="1">
        <v>9000</v>
      </c>
      <c r="P841">
        <v>16</v>
      </c>
      <c r="Q841" s="1">
        <v>144000</v>
      </c>
      <c r="R841">
        <v>57.95</v>
      </c>
      <c r="S841" t="s">
        <v>284</v>
      </c>
      <c r="T841" t="s">
        <v>24</v>
      </c>
    </row>
    <row r="842" spans="1:20" x14ac:dyDescent="0.35">
      <c r="A842" s="22" t="s">
        <v>939</v>
      </c>
      <c r="B842" cm="1">
        <f t="array" ref="B842">IF(MATCH(Table1[[#This Row],[Customer ID]], Table1[Customer ID], 0) = ROW() - ROW(Table1[#Headers]), 1, 0)</f>
        <v>1</v>
      </c>
      <c r="C842" t="s">
        <v>601</v>
      </c>
      <c r="D842" s="2">
        <v>45713</v>
      </c>
      <c r="E842">
        <v>32</v>
      </c>
      <c r="F842" t="str" cm="1">
        <f t="array" ref="F842">_xlfn.IFS( Table1[[#This Row],[Age]]&lt;18, "&lt;18", Table1[[#This Row],[Age]]&lt;= 29, "18-29", Table1[[#This Row],[Age]]&lt;= 44, "30-44",  Table1[[#This Row],[Age]]&lt;=59, "45-59", TRUE, "60+")</f>
        <v>30-44</v>
      </c>
      <c r="G842" t="s">
        <v>19</v>
      </c>
      <c r="H842" t="s">
        <v>29</v>
      </c>
      <c r="I842" t="s">
        <v>21</v>
      </c>
      <c r="J842">
        <v>3</v>
      </c>
      <c r="K842" t="s">
        <v>50</v>
      </c>
      <c r="L842" t="str" cm="1">
        <f t="array" ref="L842">_xlfn.IFS(Table1[[#This Row],[Customer Tenure in months]]&lt;=6, "0-6 months", Table1[[#This Row],[Customer Tenure in months]] &lt;=12, "7-12 months", Table1[[#This Row],[Customer Tenure in months]] &lt;=24, "1-2 years", TRUE, "2+ years")</f>
        <v>2+ years</v>
      </c>
      <c r="M842">
        <v>39</v>
      </c>
      <c r="N842" t="s">
        <v>164</v>
      </c>
      <c r="O842" s="1">
        <v>600</v>
      </c>
      <c r="P842">
        <v>5</v>
      </c>
      <c r="Q842" s="1">
        <v>3000</v>
      </c>
      <c r="R842">
        <v>82</v>
      </c>
      <c r="S842" t="s">
        <v>1091</v>
      </c>
      <c r="T842" t="s">
        <v>39</v>
      </c>
    </row>
    <row r="843" spans="1:20" x14ac:dyDescent="0.35">
      <c r="A843" s="22" t="s">
        <v>940</v>
      </c>
      <c r="B843" cm="1">
        <f t="array" ref="B843">IF(MATCH(Table1[[#This Row],[Customer ID]], Table1[Customer ID], 0) = ROW() - ROW(Table1[#Headers]), 1, 0)</f>
        <v>1</v>
      </c>
      <c r="C843" t="s">
        <v>941</v>
      </c>
      <c r="D843" s="2">
        <v>45713</v>
      </c>
      <c r="E843">
        <v>53</v>
      </c>
      <c r="F843" t="str" cm="1">
        <f t="array" ref="F843">_xlfn.IFS( Table1[[#This Row],[Age]]&lt;18, "&lt;18", Table1[[#This Row],[Age]]&lt;= 29, "18-29", Table1[[#This Row],[Age]]&lt;= 44, "30-44",  Table1[[#This Row],[Age]]&lt;=59, "45-59", TRUE, "60+")</f>
        <v>45-59</v>
      </c>
      <c r="G843" t="s">
        <v>143</v>
      </c>
      <c r="H843" t="s">
        <v>29</v>
      </c>
      <c r="I843" t="s">
        <v>21</v>
      </c>
      <c r="J843">
        <v>2</v>
      </c>
      <c r="K843" t="s">
        <v>22</v>
      </c>
      <c r="L843" t="str" cm="1">
        <f t="array" ref="L843">_xlfn.IFS(Table1[[#This Row],[Customer Tenure in months]]&lt;=6, "0-6 months", Table1[[#This Row],[Customer Tenure in months]] &lt;=12, "7-12 months", Table1[[#This Row],[Customer Tenure in months]] &lt;=24, "1-2 years", TRUE, "2+ years")</f>
        <v>2+ years</v>
      </c>
      <c r="M843">
        <v>40</v>
      </c>
      <c r="N843" t="s">
        <v>31</v>
      </c>
      <c r="O843" s="1">
        <v>5500</v>
      </c>
      <c r="P843">
        <v>11</v>
      </c>
      <c r="Q843" s="1">
        <v>60500</v>
      </c>
      <c r="R843">
        <v>27.07</v>
      </c>
      <c r="S843" t="s">
        <v>1091</v>
      </c>
      <c r="T843" t="s">
        <v>39</v>
      </c>
    </row>
    <row r="844" spans="1:20" x14ac:dyDescent="0.35">
      <c r="A844" s="22" t="s">
        <v>940</v>
      </c>
      <c r="B844" cm="1">
        <f t="array" ref="B844">IF(MATCH(Table1[[#This Row],[Customer ID]], Table1[Customer ID], 0) = ROW() - ROW(Table1[#Headers]), 1, 0)</f>
        <v>0</v>
      </c>
      <c r="C844" t="s">
        <v>941</v>
      </c>
      <c r="D844" s="2">
        <v>45713</v>
      </c>
      <c r="E844">
        <v>53</v>
      </c>
      <c r="F844" t="str" cm="1">
        <f t="array" ref="F844">_xlfn.IFS( Table1[[#This Row],[Age]]&lt;18, "&lt;18", Table1[[#This Row],[Age]]&lt;= 29, "18-29", Table1[[#This Row],[Age]]&lt;= 44, "30-44",  Table1[[#This Row],[Age]]&lt;=59, "45-59", TRUE, "60+")</f>
        <v>45-59</v>
      </c>
      <c r="G844" t="s">
        <v>143</v>
      </c>
      <c r="H844" t="s">
        <v>41</v>
      </c>
      <c r="I844" t="s">
        <v>21</v>
      </c>
      <c r="J844">
        <v>2</v>
      </c>
      <c r="K844" t="s">
        <v>22</v>
      </c>
      <c r="L844" t="str" cm="1">
        <f t="array" ref="L844">_xlfn.IFS(Table1[[#This Row],[Customer Tenure in months]]&lt;=6, "0-6 months", Table1[[#This Row],[Customer Tenure in months]] &lt;=12, "7-12 months", Table1[[#This Row],[Customer Tenure in months]] &lt;=24, "1-2 years", TRUE, "2+ years")</f>
        <v>2+ years</v>
      </c>
      <c r="M844">
        <v>40</v>
      </c>
      <c r="N844" t="s">
        <v>71</v>
      </c>
      <c r="O844" s="1">
        <v>14500</v>
      </c>
      <c r="P844">
        <v>13</v>
      </c>
      <c r="Q844" s="1">
        <v>188500</v>
      </c>
      <c r="R844">
        <v>137.53</v>
      </c>
      <c r="S844" t="s">
        <v>1091</v>
      </c>
      <c r="T844" t="s">
        <v>39</v>
      </c>
    </row>
    <row r="845" spans="1:20" x14ac:dyDescent="0.35">
      <c r="A845" s="22" t="s">
        <v>940</v>
      </c>
      <c r="B845" cm="1">
        <f t="array" ref="B845">IF(MATCH(Table1[[#This Row],[Customer ID]], Table1[Customer ID], 0) = ROW() - ROW(Table1[#Headers]), 1, 0)</f>
        <v>0</v>
      </c>
      <c r="C845" t="s">
        <v>941</v>
      </c>
      <c r="D845" s="2">
        <v>45713</v>
      </c>
      <c r="E845">
        <v>53</v>
      </c>
      <c r="F845" t="str" cm="1">
        <f t="array" ref="F845">_xlfn.IFS( Table1[[#This Row],[Age]]&lt;18, "&lt;18", Table1[[#This Row],[Age]]&lt;= 29, "18-29", Table1[[#This Row],[Age]]&lt;= 44, "30-44",  Table1[[#This Row],[Age]]&lt;=59, "45-59", TRUE, "60+")</f>
        <v>45-59</v>
      </c>
      <c r="G845" t="s">
        <v>143</v>
      </c>
      <c r="H845" t="s">
        <v>36</v>
      </c>
      <c r="I845" t="s">
        <v>21</v>
      </c>
      <c r="J845">
        <v>2</v>
      </c>
      <c r="K845" t="s">
        <v>22</v>
      </c>
      <c r="L845" t="str" cm="1">
        <f t="array" ref="L845">_xlfn.IFS(Table1[[#This Row],[Customer Tenure in months]]&lt;=6, "0-6 months", Table1[[#This Row],[Customer Tenure in months]] &lt;=12, "7-12 months", Table1[[#This Row],[Customer Tenure in months]] &lt;=24, "1-2 years", TRUE, "2+ years")</f>
        <v>2+ years</v>
      </c>
      <c r="M845">
        <v>40</v>
      </c>
      <c r="N845" t="s">
        <v>105</v>
      </c>
      <c r="O845" s="1">
        <v>75000</v>
      </c>
      <c r="P845">
        <v>9</v>
      </c>
      <c r="Q845" s="1">
        <v>675000</v>
      </c>
      <c r="R845">
        <v>147.35</v>
      </c>
      <c r="S845" t="s">
        <v>1091</v>
      </c>
      <c r="T845" t="s">
        <v>39</v>
      </c>
    </row>
    <row r="846" spans="1:20" x14ac:dyDescent="0.35">
      <c r="A846" s="22" t="s">
        <v>942</v>
      </c>
      <c r="B846" cm="1">
        <f t="array" ref="B846">IF(MATCH(Table1[[#This Row],[Customer ID]], Table1[Customer ID], 0) = ROW() - ROW(Table1[#Headers]), 1, 0)</f>
        <v>1</v>
      </c>
      <c r="C846" t="s">
        <v>943</v>
      </c>
      <c r="D846" s="2">
        <v>45713</v>
      </c>
      <c r="E846">
        <v>28</v>
      </c>
      <c r="F846" t="str" cm="1">
        <f t="array" ref="F846">_xlfn.IFS( Table1[[#This Row],[Age]]&lt;18, "&lt;18", Table1[[#This Row],[Age]]&lt;= 29, "18-29", Table1[[#This Row],[Age]]&lt;= 44, "30-44",  Table1[[#This Row],[Age]]&lt;=59, "45-59", TRUE, "60+")</f>
        <v>18-29</v>
      </c>
      <c r="G846" t="s">
        <v>49</v>
      </c>
      <c r="H846" t="s">
        <v>41</v>
      </c>
      <c r="I846" t="s">
        <v>21</v>
      </c>
      <c r="J846">
        <v>4</v>
      </c>
      <c r="K846" t="s">
        <v>114</v>
      </c>
      <c r="L846" t="str" cm="1">
        <f t="array" ref="L846">_xlfn.IFS(Table1[[#This Row],[Customer Tenure in months]]&lt;=6, "0-6 months", Table1[[#This Row],[Customer Tenure in months]] &lt;=12, "7-12 months", Table1[[#This Row],[Customer Tenure in months]] &lt;=24, "1-2 years", TRUE, "2+ years")</f>
        <v>1-2 years</v>
      </c>
      <c r="M846">
        <v>22</v>
      </c>
      <c r="N846" t="s">
        <v>62</v>
      </c>
      <c r="O846" s="1">
        <v>24000</v>
      </c>
      <c r="P846">
        <v>10</v>
      </c>
      <c r="Q846" s="1">
        <v>240000</v>
      </c>
      <c r="R846">
        <v>124.12</v>
      </c>
      <c r="S846" t="s">
        <v>1091</v>
      </c>
      <c r="T846" t="s">
        <v>39</v>
      </c>
    </row>
    <row r="847" spans="1:20" x14ac:dyDescent="0.35">
      <c r="A847" s="22" t="s">
        <v>942</v>
      </c>
      <c r="B847" cm="1">
        <f t="array" ref="B847">IF(MATCH(Table1[[#This Row],[Customer ID]], Table1[Customer ID], 0) = ROW() - ROW(Table1[#Headers]), 1, 0)</f>
        <v>0</v>
      </c>
      <c r="C847" t="s">
        <v>943</v>
      </c>
      <c r="D847" s="2">
        <v>45713</v>
      </c>
      <c r="E847">
        <v>28</v>
      </c>
      <c r="F847" t="str" cm="1">
        <f t="array" ref="F847">_xlfn.IFS( Table1[[#This Row],[Age]]&lt;18, "&lt;18", Table1[[#This Row],[Age]]&lt;= 29, "18-29", Table1[[#This Row],[Age]]&lt;= 44, "30-44",  Table1[[#This Row],[Age]]&lt;=59, "45-59", TRUE, "60+")</f>
        <v>18-29</v>
      </c>
      <c r="G847" t="s">
        <v>49</v>
      </c>
      <c r="H847" t="s">
        <v>29</v>
      </c>
      <c r="I847" t="s">
        <v>21</v>
      </c>
      <c r="J847">
        <v>4</v>
      </c>
      <c r="K847" t="s">
        <v>114</v>
      </c>
      <c r="L847" t="str" cm="1">
        <f t="array" ref="L847">_xlfn.IFS(Table1[[#This Row],[Customer Tenure in months]]&lt;=6, "0-6 months", Table1[[#This Row],[Customer Tenure in months]] &lt;=12, "7-12 months", Table1[[#This Row],[Customer Tenure in months]] &lt;=24, "1-2 years", TRUE, "2+ years")</f>
        <v>1-2 years</v>
      </c>
      <c r="M847">
        <v>22</v>
      </c>
      <c r="N847" t="s">
        <v>87</v>
      </c>
      <c r="O847" s="1">
        <v>7500</v>
      </c>
      <c r="P847">
        <v>5</v>
      </c>
      <c r="Q847" s="1">
        <v>37500</v>
      </c>
      <c r="R847">
        <v>134.41999999999999</v>
      </c>
      <c r="S847" t="s">
        <v>1091</v>
      </c>
      <c r="T847" t="s">
        <v>39</v>
      </c>
    </row>
    <row r="848" spans="1:20" x14ac:dyDescent="0.35">
      <c r="A848" s="22" t="s">
        <v>942</v>
      </c>
      <c r="B848" cm="1">
        <f t="array" ref="B848">IF(MATCH(Table1[[#This Row],[Customer ID]], Table1[Customer ID], 0) = ROW() - ROW(Table1[#Headers]), 1, 0)</f>
        <v>0</v>
      </c>
      <c r="C848" t="s">
        <v>943</v>
      </c>
      <c r="D848" s="2">
        <v>45713</v>
      </c>
      <c r="E848">
        <v>28</v>
      </c>
      <c r="F848" t="str" cm="1">
        <f t="array" ref="F848">_xlfn.IFS( Table1[[#This Row],[Age]]&lt;18, "&lt;18", Table1[[#This Row],[Age]]&lt;= 29, "18-29", Table1[[#This Row],[Age]]&lt;= 44, "30-44",  Table1[[#This Row],[Age]]&lt;=59, "45-59", TRUE, "60+")</f>
        <v>18-29</v>
      </c>
      <c r="G848" t="s">
        <v>49</v>
      </c>
      <c r="H848" t="s">
        <v>20</v>
      </c>
      <c r="I848" t="s">
        <v>21</v>
      </c>
      <c r="J848">
        <v>4</v>
      </c>
      <c r="K848" t="s">
        <v>114</v>
      </c>
      <c r="L848" t="str" cm="1">
        <f t="array" ref="L848">_xlfn.IFS(Table1[[#This Row],[Customer Tenure in months]]&lt;=6, "0-6 months", Table1[[#This Row],[Customer Tenure in months]] &lt;=12, "7-12 months", Table1[[#This Row],[Customer Tenure in months]] &lt;=24, "1-2 years", TRUE, "2+ years")</f>
        <v>1-2 years</v>
      </c>
      <c r="M848">
        <v>22</v>
      </c>
      <c r="N848" t="s">
        <v>58</v>
      </c>
      <c r="O848" s="1">
        <v>16000</v>
      </c>
      <c r="P848">
        <v>9</v>
      </c>
      <c r="Q848" s="1">
        <v>144000</v>
      </c>
      <c r="R848">
        <v>116.31</v>
      </c>
      <c r="S848" t="s">
        <v>1091</v>
      </c>
      <c r="T848" t="s">
        <v>39</v>
      </c>
    </row>
    <row r="849" spans="1:20" x14ac:dyDescent="0.35">
      <c r="A849" s="22" t="s">
        <v>944</v>
      </c>
      <c r="B849" cm="1">
        <f t="array" ref="B849">IF(MATCH(Table1[[#This Row],[Customer ID]], Table1[Customer ID], 0) = ROW() - ROW(Table1[#Headers]), 1, 0)</f>
        <v>1</v>
      </c>
      <c r="C849" t="s">
        <v>945</v>
      </c>
      <c r="D849" s="2">
        <v>45682</v>
      </c>
      <c r="E849">
        <v>80</v>
      </c>
      <c r="F849" t="str" cm="1">
        <f t="array" ref="F849">_xlfn.IFS( Table1[[#This Row],[Age]]&lt;18, "&lt;18", Table1[[#This Row],[Age]]&lt;= 29, "18-29", Table1[[#This Row],[Age]]&lt;= 44, "30-44",  Table1[[#This Row],[Age]]&lt;=59, "45-59", TRUE, "60+")</f>
        <v>60+</v>
      </c>
      <c r="G849" t="s">
        <v>90</v>
      </c>
      <c r="H849" t="s">
        <v>29</v>
      </c>
      <c r="I849" t="s">
        <v>30</v>
      </c>
      <c r="J849">
        <v>2</v>
      </c>
      <c r="K849" t="s">
        <v>22</v>
      </c>
      <c r="L849" t="str" cm="1">
        <f t="array" ref="L849">_xlfn.IFS(Table1[[#This Row],[Customer Tenure in months]]&lt;=6, "0-6 months", Table1[[#This Row],[Customer Tenure in months]] &lt;=12, "7-12 months", Table1[[#This Row],[Customer Tenure in months]] &lt;=24, "1-2 years", TRUE, "2+ years")</f>
        <v>2+ years</v>
      </c>
      <c r="M849">
        <v>57</v>
      </c>
      <c r="N849" t="s">
        <v>83</v>
      </c>
      <c r="O849" s="1">
        <v>1000</v>
      </c>
      <c r="P849">
        <v>5</v>
      </c>
      <c r="Q849" s="1">
        <v>5000</v>
      </c>
      <c r="R849">
        <v>63</v>
      </c>
      <c r="S849" t="s">
        <v>284</v>
      </c>
      <c r="T849" t="s">
        <v>24</v>
      </c>
    </row>
    <row r="850" spans="1:20" x14ac:dyDescent="0.35">
      <c r="A850" s="22" t="s">
        <v>944</v>
      </c>
      <c r="B850" cm="1">
        <f t="array" ref="B850">IF(MATCH(Table1[[#This Row],[Customer ID]], Table1[Customer ID], 0) = ROW() - ROW(Table1[#Headers]), 1, 0)</f>
        <v>0</v>
      </c>
      <c r="C850" t="s">
        <v>945</v>
      </c>
      <c r="D850" s="2">
        <v>45682</v>
      </c>
      <c r="E850">
        <v>80</v>
      </c>
      <c r="F850" t="str" cm="1">
        <f t="array" ref="F850">_xlfn.IFS( Table1[[#This Row],[Age]]&lt;18, "&lt;18", Table1[[#This Row],[Age]]&lt;= 29, "18-29", Table1[[#This Row],[Age]]&lt;= 44, "30-44",  Table1[[#This Row],[Age]]&lt;=59, "45-59", TRUE, "60+")</f>
        <v>60+</v>
      </c>
      <c r="G850" t="s">
        <v>90</v>
      </c>
      <c r="H850" t="s">
        <v>41</v>
      </c>
      <c r="I850" t="s">
        <v>30</v>
      </c>
      <c r="J850">
        <v>2</v>
      </c>
      <c r="K850" t="s">
        <v>22</v>
      </c>
      <c r="L850" t="str" cm="1">
        <f t="array" ref="L850">_xlfn.IFS(Table1[[#This Row],[Customer Tenure in months]]&lt;=6, "0-6 months", Table1[[#This Row],[Customer Tenure in months]] &lt;=12, "7-12 months", Table1[[#This Row],[Customer Tenure in months]] &lt;=24, "1-2 years", TRUE, "2+ years")</f>
        <v>2+ years</v>
      </c>
      <c r="M850">
        <v>57</v>
      </c>
      <c r="N850" t="s">
        <v>71</v>
      </c>
      <c r="O850" s="1">
        <v>14500</v>
      </c>
      <c r="P850">
        <v>9</v>
      </c>
      <c r="Q850" s="1">
        <v>130500</v>
      </c>
      <c r="R850">
        <v>174.4</v>
      </c>
      <c r="S850" t="s">
        <v>284</v>
      </c>
      <c r="T850" t="s">
        <v>24</v>
      </c>
    </row>
    <row r="851" spans="1:20" x14ac:dyDescent="0.35">
      <c r="A851" s="22" t="s">
        <v>944</v>
      </c>
      <c r="B851" cm="1">
        <f t="array" ref="B851">IF(MATCH(Table1[[#This Row],[Customer ID]], Table1[Customer ID], 0) = ROW() - ROW(Table1[#Headers]), 1, 0)</f>
        <v>0</v>
      </c>
      <c r="C851" t="s">
        <v>945</v>
      </c>
      <c r="D851" s="2">
        <v>45682</v>
      </c>
      <c r="E851">
        <v>80</v>
      </c>
      <c r="F851" t="str" cm="1">
        <f t="array" ref="F851">_xlfn.IFS( Table1[[#This Row],[Age]]&lt;18, "&lt;18", Table1[[#This Row],[Age]]&lt;= 29, "18-29", Table1[[#This Row],[Age]]&lt;= 44, "30-44",  Table1[[#This Row],[Age]]&lt;=59, "45-59", TRUE, "60+")</f>
        <v>60+</v>
      </c>
      <c r="G851" t="s">
        <v>90</v>
      </c>
      <c r="H851" t="s">
        <v>20</v>
      </c>
      <c r="I851" t="s">
        <v>30</v>
      </c>
      <c r="J851">
        <v>2</v>
      </c>
      <c r="K851" t="s">
        <v>22</v>
      </c>
      <c r="L851" t="str" cm="1">
        <f t="array" ref="L851">_xlfn.IFS(Table1[[#This Row],[Customer Tenure in months]]&lt;=6, "0-6 months", Table1[[#This Row],[Customer Tenure in months]] &lt;=12, "7-12 months", Table1[[#This Row],[Customer Tenure in months]] &lt;=24, "1-2 years", TRUE, "2+ years")</f>
        <v>2+ years</v>
      </c>
      <c r="M851">
        <v>57</v>
      </c>
      <c r="N851" t="s">
        <v>51</v>
      </c>
      <c r="O851" s="1">
        <v>9000</v>
      </c>
      <c r="P851">
        <v>10</v>
      </c>
      <c r="Q851" s="1">
        <v>90000</v>
      </c>
      <c r="R851">
        <v>185.28</v>
      </c>
      <c r="S851" t="s">
        <v>284</v>
      </c>
      <c r="T851" t="s">
        <v>24</v>
      </c>
    </row>
    <row r="852" spans="1:20" x14ac:dyDescent="0.35">
      <c r="A852" s="22" t="s">
        <v>946</v>
      </c>
      <c r="B852" cm="1">
        <f t="array" ref="B852">IF(MATCH(Table1[[#This Row],[Customer ID]], Table1[Customer ID], 0) = ROW() - ROW(Table1[#Headers]), 1, 0)</f>
        <v>1</v>
      </c>
      <c r="C852" t="s">
        <v>947</v>
      </c>
      <c r="D852" s="2">
        <v>45713</v>
      </c>
      <c r="E852">
        <v>49</v>
      </c>
      <c r="F852" t="str" cm="1">
        <f t="array" ref="F852">_xlfn.IFS( Table1[[#This Row],[Age]]&lt;18, "&lt;18", Table1[[#This Row],[Age]]&lt;= 29, "18-29", Table1[[#This Row],[Age]]&lt;= 44, "30-44",  Table1[[#This Row],[Age]]&lt;=59, "45-59", TRUE, "60+")</f>
        <v>45-59</v>
      </c>
      <c r="G852" t="s">
        <v>75</v>
      </c>
      <c r="H852" t="s">
        <v>20</v>
      </c>
      <c r="I852" t="s">
        <v>30</v>
      </c>
      <c r="J852">
        <v>3</v>
      </c>
      <c r="K852" t="s">
        <v>50</v>
      </c>
      <c r="L852" t="str" cm="1">
        <f t="array" ref="L852">_xlfn.IFS(Table1[[#This Row],[Customer Tenure in months]]&lt;=6, "0-6 months", Table1[[#This Row],[Customer Tenure in months]] &lt;=12, "7-12 months", Table1[[#This Row],[Customer Tenure in months]] &lt;=24, "1-2 years", TRUE, "2+ years")</f>
        <v>2+ years</v>
      </c>
      <c r="M852">
        <v>28</v>
      </c>
      <c r="N852" t="s">
        <v>23</v>
      </c>
      <c r="O852" s="1">
        <v>35000</v>
      </c>
      <c r="P852">
        <v>5</v>
      </c>
      <c r="Q852" s="1">
        <v>175000</v>
      </c>
      <c r="R852">
        <v>11.12</v>
      </c>
      <c r="S852" t="s">
        <v>1091</v>
      </c>
      <c r="T852" t="s">
        <v>39</v>
      </c>
    </row>
    <row r="853" spans="1:20" x14ac:dyDescent="0.35">
      <c r="A853" s="22" t="s">
        <v>946</v>
      </c>
      <c r="B853" cm="1">
        <f t="array" ref="B853">IF(MATCH(Table1[[#This Row],[Customer ID]], Table1[Customer ID], 0) = ROW() - ROW(Table1[#Headers]), 1, 0)</f>
        <v>0</v>
      </c>
      <c r="C853" t="s">
        <v>947</v>
      </c>
      <c r="D853" s="2">
        <v>45713</v>
      </c>
      <c r="E853">
        <v>49</v>
      </c>
      <c r="F853" t="str" cm="1">
        <f t="array" ref="F853">_xlfn.IFS( Table1[[#This Row],[Age]]&lt;18, "&lt;18", Table1[[#This Row],[Age]]&lt;= 29, "18-29", Table1[[#This Row],[Age]]&lt;= 44, "30-44",  Table1[[#This Row],[Age]]&lt;=59, "45-59", TRUE, "60+")</f>
        <v>45-59</v>
      </c>
      <c r="G853" t="s">
        <v>75</v>
      </c>
      <c r="H853" t="s">
        <v>36</v>
      </c>
      <c r="I853" t="s">
        <v>30</v>
      </c>
      <c r="J853">
        <v>3</v>
      </c>
      <c r="K853" t="s">
        <v>50</v>
      </c>
      <c r="L853" t="str" cm="1">
        <f t="array" ref="L853">_xlfn.IFS(Table1[[#This Row],[Customer Tenure in months]]&lt;=6, "0-6 months", Table1[[#This Row],[Customer Tenure in months]] &lt;=12, "7-12 months", Table1[[#This Row],[Customer Tenure in months]] &lt;=24, "1-2 years", TRUE, "2+ years")</f>
        <v>2+ years</v>
      </c>
      <c r="M853">
        <v>28</v>
      </c>
      <c r="N853" t="s">
        <v>42</v>
      </c>
      <c r="O853" s="1">
        <v>9000</v>
      </c>
      <c r="P853">
        <v>2</v>
      </c>
      <c r="Q853" s="1">
        <v>18000</v>
      </c>
      <c r="R853">
        <v>46.36</v>
      </c>
      <c r="S853" t="s">
        <v>1091</v>
      </c>
      <c r="T853" t="s">
        <v>39</v>
      </c>
    </row>
    <row r="854" spans="1:20" x14ac:dyDescent="0.35">
      <c r="A854" s="22" t="s">
        <v>948</v>
      </c>
      <c r="B854" cm="1">
        <f t="array" ref="B854">IF(MATCH(Table1[[#This Row],[Customer ID]], Table1[Customer ID], 0) = ROW() - ROW(Table1[#Headers]), 1, 0)</f>
        <v>1</v>
      </c>
      <c r="C854" t="s">
        <v>949</v>
      </c>
      <c r="D854" s="2">
        <v>45682</v>
      </c>
      <c r="E854">
        <v>49</v>
      </c>
      <c r="F854" t="str" cm="1">
        <f t="array" ref="F854">_xlfn.IFS( Table1[[#This Row],[Age]]&lt;18, "&lt;18", Table1[[#This Row],[Age]]&lt;= 29, "18-29", Table1[[#This Row],[Age]]&lt;= 44, "30-44",  Table1[[#This Row],[Age]]&lt;=59, "45-59", TRUE, "60+")</f>
        <v>45-59</v>
      </c>
      <c r="G854" t="s">
        <v>28</v>
      </c>
      <c r="H854" t="s">
        <v>29</v>
      </c>
      <c r="I854" t="s">
        <v>30</v>
      </c>
      <c r="J854">
        <v>4</v>
      </c>
      <c r="K854" t="s">
        <v>114</v>
      </c>
      <c r="L854" t="str" cm="1">
        <f t="array" ref="L854">_xlfn.IFS(Table1[[#This Row],[Customer Tenure in months]]&lt;=6, "0-6 months", Table1[[#This Row],[Customer Tenure in months]] &lt;=12, "7-12 months", Table1[[#This Row],[Customer Tenure in months]] &lt;=24, "1-2 years", TRUE, "2+ years")</f>
        <v>2+ years</v>
      </c>
      <c r="M854">
        <v>28</v>
      </c>
      <c r="N854" t="s">
        <v>83</v>
      </c>
      <c r="O854" s="1">
        <v>1000</v>
      </c>
      <c r="P854">
        <v>5</v>
      </c>
      <c r="Q854" s="1">
        <v>5000</v>
      </c>
      <c r="R854">
        <v>169.24</v>
      </c>
      <c r="S854" t="s">
        <v>96</v>
      </c>
      <c r="T854" t="s">
        <v>24</v>
      </c>
    </row>
    <row r="855" spans="1:20" x14ac:dyDescent="0.35">
      <c r="A855" s="22" t="s">
        <v>948</v>
      </c>
      <c r="B855" cm="1">
        <f t="array" ref="B855">IF(MATCH(Table1[[#This Row],[Customer ID]], Table1[Customer ID], 0) = ROW() - ROW(Table1[#Headers]), 1, 0)</f>
        <v>0</v>
      </c>
      <c r="C855" t="s">
        <v>949</v>
      </c>
      <c r="D855" s="2">
        <v>45682</v>
      </c>
      <c r="E855">
        <v>49</v>
      </c>
      <c r="F855" t="str" cm="1">
        <f t="array" ref="F855">_xlfn.IFS( Table1[[#This Row],[Age]]&lt;18, "&lt;18", Table1[[#This Row],[Age]]&lt;= 29, "18-29", Table1[[#This Row],[Age]]&lt;= 44, "30-44",  Table1[[#This Row],[Age]]&lt;=59, "45-59", TRUE, "60+")</f>
        <v>45-59</v>
      </c>
      <c r="G855" t="s">
        <v>28</v>
      </c>
      <c r="H855" t="s">
        <v>20</v>
      </c>
      <c r="I855" t="s">
        <v>30</v>
      </c>
      <c r="J855">
        <v>4</v>
      </c>
      <c r="K855" t="s">
        <v>114</v>
      </c>
      <c r="L855" t="str" cm="1">
        <f t="array" ref="L855">_xlfn.IFS(Table1[[#This Row],[Customer Tenure in months]]&lt;=6, "0-6 months", Table1[[#This Row],[Customer Tenure in months]] &lt;=12, "7-12 months", Table1[[#This Row],[Customer Tenure in months]] &lt;=24, "1-2 years", TRUE, "2+ years")</f>
        <v>2+ years</v>
      </c>
      <c r="M855">
        <v>28</v>
      </c>
      <c r="N855" t="s">
        <v>58</v>
      </c>
      <c r="O855" s="1">
        <v>16000</v>
      </c>
      <c r="P855">
        <v>7</v>
      </c>
      <c r="Q855" s="1">
        <v>112000</v>
      </c>
      <c r="R855">
        <v>70.25</v>
      </c>
      <c r="S855" t="s">
        <v>96</v>
      </c>
      <c r="T855" t="s">
        <v>24</v>
      </c>
    </row>
    <row r="856" spans="1:20" x14ac:dyDescent="0.35">
      <c r="A856" s="22" t="s">
        <v>948</v>
      </c>
      <c r="B856" cm="1">
        <f t="array" ref="B856">IF(MATCH(Table1[[#This Row],[Customer ID]], Table1[Customer ID], 0) = ROW() - ROW(Table1[#Headers]), 1, 0)</f>
        <v>0</v>
      </c>
      <c r="C856" t="s">
        <v>949</v>
      </c>
      <c r="D856" s="2">
        <v>45682</v>
      </c>
      <c r="E856">
        <v>49</v>
      </c>
      <c r="F856" t="str" cm="1">
        <f t="array" ref="F856">_xlfn.IFS( Table1[[#This Row],[Age]]&lt;18, "&lt;18", Table1[[#This Row],[Age]]&lt;= 29, "18-29", Table1[[#This Row],[Age]]&lt;= 44, "30-44",  Table1[[#This Row],[Age]]&lt;=59, "45-59", TRUE, "60+")</f>
        <v>45-59</v>
      </c>
      <c r="G856" t="s">
        <v>28</v>
      </c>
      <c r="H856" t="s">
        <v>36</v>
      </c>
      <c r="I856" t="s">
        <v>30</v>
      </c>
      <c r="J856">
        <v>4</v>
      </c>
      <c r="K856" t="s">
        <v>114</v>
      </c>
      <c r="L856" t="str" cm="1">
        <f t="array" ref="L856">_xlfn.IFS(Table1[[#This Row],[Customer Tenure in months]]&lt;=6, "0-6 months", Table1[[#This Row],[Customer Tenure in months]] &lt;=12, "7-12 months", Table1[[#This Row],[Customer Tenure in months]] &lt;=24, "1-2 years", TRUE, "2+ years")</f>
        <v>2+ years</v>
      </c>
      <c r="M856">
        <v>28</v>
      </c>
      <c r="N856" t="s">
        <v>62</v>
      </c>
      <c r="O856" s="1">
        <v>24000</v>
      </c>
      <c r="P856">
        <v>6</v>
      </c>
      <c r="Q856" s="1">
        <v>144000</v>
      </c>
      <c r="R856">
        <v>36.54</v>
      </c>
      <c r="S856" t="s">
        <v>96</v>
      </c>
      <c r="T856" t="s">
        <v>24</v>
      </c>
    </row>
    <row r="857" spans="1:20" x14ac:dyDescent="0.35">
      <c r="A857" s="22" t="s">
        <v>950</v>
      </c>
      <c r="B857" cm="1">
        <f t="array" ref="B857">IF(MATCH(Table1[[#This Row],[Customer ID]], Table1[Customer ID], 0) = ROW() - ROW(Table1[#Headers]), 1, 0)</f>
        <v>1</v>
      </c>
      <c r="C857" t="s">
        <v>951</v>
      </c>
      <c r="D857" s="2">
        <v>45713</v>
      </c>
      <c r="E857">
        <v>50</v>
      </c>
      <c r="F857" t="str" cm="1">
        <f t="array" ref="F857">_xlfn.IFS( Table1[[#This Row],[Age]]&lt;18, "&lt;18", Table1[[#This Row],[Age]]&lt;= 29, "18-29", Table1[[#This Row],[Age]]&lt;= 44, "30-44",  Table1[[#This Row],[Age]]&lt;=59, "45-59", TRUE, "60+")</f>
        <v>45-59</v>
      </c>
      <c r="G857" t="s">
        <v>79</v>
      </c>
      <c r="H857" t="s">
        <v>29</v>
      </c>
      <c r="I857" t="s">
        <v>21</v>
      </c>
      <c r="J857">
        <v>4</v>
      </c>
      <c r="K857" t="s">
        <v>114</v>
      </c>
      <c r="L857" t="str" cm="1">
        <f t="array" ref="L857">_xlfn.IFS(Table1[[#This Row],[Customer Tenure in months]]&lt;=6, "0-6 months", Table1[[#This Row],[Customer Tenure in months]] &lt;=12, "7-12 months", Table1[[#This Row],[Customer Tenure in months]] &lt;=24, "1-2 years", TRUE, "2+ years")</f>
        <v>2+ years</v>
      </c>
      <c r="M857">
        <v>34</v>
      </c>
      <c r="N857" t="s">
        <v>83</v>
      </c>
      <c r="O857" s="1">
        <v>1000</v>
      </c>
      <c r="P857">
        <v>1</v>
      </c>
      <c r="Q857" s="1">
        <v>1000</v>
      </c>
      <c r="R857">
        <v>177.53</v>
      </c>
      <c r="S857" t="s">
        <v>1091</v>
      </c>
      <c r="T857" t="s">
        <v>39</v>
      </c>
    </row>
    <row r="858" spans="1:20" x14ac:dyDescent="0.35">
      <c r="A858" s="22" t="s">
        <v>952</v>
      </c>
      <c r="B858" cm="1">
        <f t="array" ref="B858">IF(MATCH(Table1[[#This Row],[Customer ID]], Table1[Customer ID], 0) = ROW() - ROW(Table1[#Headers]), 1, 0)</f>
        <v>1</v>
      </c>
      <c r="C858" t="s">
        <v>953</v>
      </c>
      <c r="D858" s="2">
        <v>45682</v>
      </c>
      <c r="E858">
        <v>31</v>
      </c>
      <c r="F858" t="str" cm="1">
        <f t="array" ref="F858">_xlfn.IFS( Table1[[#This Row],[Age]]&lt;18, "&lt;18", Table1[[#This Row],[Age]]&lt;= 29, "18-29", Table1[[#This Row],[Age]]&lt;= 44, "30-44",  Table1[[#This Row],[Age]]&lt;=59, "45-59", TRUE, "60+")</f>
        <v>30-44</v>
      </c>
      <c r="G858" t="s">
        <v>82</v>
      </c>
      <c r="H858" t="s">
        <v>29</v>
      </c>
      <c r="I858" t="s">
        <v>30</v>
      </c>
      <c r="J858">
        <v>3</v>
      </c>
      <c r="K858" t="s">
        <v>50</v>
      </c>
      <c r="L858" t="str" cm="1">
        <f t="array" ref="L858">_xlfn.IFS(Table1[[#This Row],[Customer Tenure in months]]&lt;=6, "0-6 months", Table1[[#This Row],[Customer Tenure in months]] &lt;=12, "7-12 months", Table1[[#This Row],[Customer Tenure in months]] &lt;=24, "1-2 years", TRUE, "2+ years")</f>
        <v>2+ years</v>
      </c>
      <c r="M858">
        <v>38</v>
      </c>
      <c r="N858" t="s">
        <v>40</v>
      </c>
      <c r="O858" s="1">
        <v>500</v>
      </c>
      <c r="P858">
        <v>1</v>
      </c>
      <c r="Q858" s="1">
        <v>500</v>
      </c>
      <c r="R858">
        <v>119.04</v>
      </c>
      <c r="S858" t="s">
        <v>76</v>
      </c>
      <c r="T858" t="s">
        <v>24</v>
      </c>
    </row>
    <row r="859" spans="1:20" x14ac:dyDescent="0.35">
      <c r="A859" s="22" t="s">
        <v>952</v>
      </c>
      <c r="B859" cm="1">
        <f t="array" ref="B859">IF(MATCH(Table1[[#This Row],[Customer ID]], Table1[Customer ID], 0) = ROW() - ROW(Table1[#Headers]), 1, 0)</f>
        <v>0</v>
      </c>
      <c r="C859" t="s">
        <v>953</v>
      </c>
      <c r="D859" s="2">
        <v>45682</v>
      </c>
      <c r="E859">
        <v>31</v>
      </c>
      <c r="F859" t="str" cm="1">
        <f t="array" ref="F859">_xlfn.IFS( Table1[[#This Row],[Age]]&lt;18, "&lt;18", Table1[[#This Row],[Age]]&lt;= 29, "18-29", Table1[[#This Row],[Age]]&lt;= 44, "30-44",  Table1[[#This Row],[Age]]&lt;=59, "45-59", TRUE, "60+")</f>
        <v>30-44</v>
      </c>
      <c r="G859" t="s">
        <v>82</v>
      </c>
      <c r="H859" t="s">
        <v>20</v>
      </c>
      <c r="I859" t="s">
        <v>30</v>
      </c>
      <c r="J859">
        <v>3</v>
      </c>
      <c r="K859" t="s">
        <v>50</v>
      </c>
      <c r="L859" t="str" cm="1">
        <f t="array" ref="L859">_xlfn.IFS(Table1[[#This Row],[Customer Tenure in months]]&lt;=6, "0-6 months", Table1[[#This Row],[Customer Tenure in months]] &lt;=12, "7-12 months", Table1[[#This Row],[Customer Tenure in months]] &lt;=24, "1-2 years", TRUE, "2+ years")</f>
        <v>2+ years</v>
      </c>
      <c r="M859">
        <v>38</v>
      </c>
      <c r="N859" t="s">
        <v>51</v>
      </c>
      <c r="O859" s="1">
        <v>9000</v>
      </c>
      <c r="P859">
        <v>20</v>
      </c>
      <c r="Q859" s="1">
        <v>180000</v>
      </c>
      <c r="R859">
        <v>193.97</v>
      </c>
      <c r="S859" t="s">
        <v>76</v>
      </c>
      <c r="T859" t="s">
        <v>24</v>
      </c>
    </row>
    <row r="860" spans="1:20" x14ac:dyDescent="0.35">
      <c r="A860" s="22" t="s">
        <v>954</v>
      </c>
      <c r="B860" cm="1">
        <f t="array" ref="B860">IF(MATCH(Table1[[#This Row],[Customer ID]], Table1[Customer ID], 0) = ROW() - ROW(Table1[#Headers]), 1, 0)</f>
        <v>1</v>
      </c>
      <c r="C860" t="s">
        <v>955</v>
      </c>
      <c r="D860" s="2">
        <v>45682</v>
      </c>
      <c r="E860">
        <v>57</v>
      </c>
      <c r="F860" t="str" cm="1">
        <f t="array" ref="F860">_xlfn.IFS( Table1[[#This Row],[Age]]&lt;18, "&lt;18", Table1[[#This Row],[Age]]&lt;= 29, "18-29", Table1[[#This Row],[Age]]&lt;= 44, "30-44",  Table1[[#This Row],[Age]]&lt;=59, "45-59", TRUE, "60+")</f>
        <v>45-59</v>
      </c>
      <c r="G860" t="s">
        <v>140</v>
      </c>
      <c r="H860" t="s">
        <v>41</v>
      </c>
      <c r="I860" t="s">
        <v>21</v>
      </c>
      <c r="J860">
        <v>3</v>
      </c>
      <c r="K860" t="s">
        <v>50</v>
      </c>
      <c r="L860" t="str" cm="1">
        <f t="array" ref="L860">_xlfn.IFS(Table1[[#This Row],[Customer Tenure in months]]&lt;=6, "0-6 months", Table1[[#This Row],[Customer Tenure in months]] &lt;=12, "7-12 months", Table1[[#This Row],[Customer Tenure in months]] &lt;=24, "1-2 years", TRUE, "2+ years")</f>
        <v>2+ years</v>
      </c>
      <c r="M860">
        <v>56</v>
      </c>
      <c r="N860" t="s">
        <v>62</v>
      </c>
      <c r="O860" s="1">
        <v>24000</v>
      </c>
      <c r="P860">
        <v>13</v>
      </c>
      <c r="Q860" s="1">
        <v>312000</v>
      </c>
      <c r="R860">
        <v>190.4</v>
      </c>
      <c r="S860" t="s">
        <v>1091</v>
      </c>
      <c r="T860" t="s">
        <v>39</v>
      </c>
    </row>
    <row r="861" spans="1:20" x14ac:dyDescent="0.35">
      <c r="A861" s="22" t="s">
        <v>956</v>
      </c>
      <c r="B861" cm="1">
        <f t="array" ref="B861">IF(MATCH(Table1[[#This Row],[Customer ID]], Table1[Customer ID], 0) = ROW() - ROW(Table1[#Headers]), 1, 0)</f>
        <v>1</v>
      </c>
      <c r="C861" t="s">
        <v>957</v>
      </c>
      <c r="D861" s="2">
        <v>45682</v>
      </c>
      <c r="E861">
        <v>67</v>
      </c>
      <c r="F861" t="str" cm="1">
        <f t="array" ref="F861">_xlfn.IFS( Table1[[#This Row],[Age]]&lt;18, "&lt;18", Table1[[#This Row],[Age]]&lt;= 29, "18-29", Table1[[#This Row],[Age]]&lt;= 44, "30-44",  Table1[[#This Row],[Age]]&lt;=59, "45-59", TRUE, "60+")</f>
        <v>60+</v>
      </c>
      <c r="G861" t="s">
        <v>143</v>
      </c>
      <c r="H861" t="s">
        <v>29</v>
      </c>
      <c r="I861" t="s">
        <v>21</v>
      </c>
      <c r="J861">
        <v>1</v>
      </c>
      <c r="K861" t="s">
        <v>37</v>
      </c>
      <c r="L861" t="str" cm="1">
        <f t="array" ref="L861">_xlfn.IFS(Table1[[#This Row],[Customer Tenure in months]]&lt;=6, "0-6 months", Table1[[#This Row],[Customer Tenure in months]] &lt;=12, "7-12 months", Table1[[#This Row],[Customer Tenure in months]] &lt;=24, "1-2 years", TRUE, "2+ years")</f>
        <v>1-2 years</v>
      </c>
      <c r="M861">
        <v>16</v>
      </c>
      <c r="N861" t="s">
        <v>87</v>
      </c>
      <c r="O861" s="1">
        <v>7500</v>
      </c>
      <c r="P861">
        <v>5</v>
      </c>
      <c r="Q861" s="1">
        <v>37500</v>
      </c>
      <c r="R861">
        <v>57.34</v>
      </c>
      <c r="S861" t="s">
        <v>265</v>
      </c>
      <c r="T861" t="s">
        <v>24</v>
      </c>
    </row>
    <row r="862" spans="1:20" x14ac:dyDescent="0.35">
      <c r="A862" s="22" t="s">
        <v>958</v>
      </c>
      <c r="B862" cm="1">
        <f t="array" ref="B862">IF(MATCH(Table1[[#This Row],[Customer ID]], Table1[Customer ID], 0) = ROW() - ROW(Table1[#Headers]), 1, 0)</f>
        <v>1</v>
      </c>
      <c r="C862" t="s">
        <v>959</v>
      </c>
      <c r="D862" s="2">
        <v>45741</v>
      </c>
      <c r="E862">
        <v>54</v>
      </c>
      <c r="F862" t="str" cm="1">
        <f t="array" ref="F862">_xlfn.IFS( Table1[[#This Row],[Age]]&lt;18, "&lt;18", Table1[[#This Row],[Age]]&lt;= 29, "18-29", Table1[[#This Row],[Age]]&lt;= 44, "30-44",  Table1[[#This Row],[Age]]&lt;=59, "45-59", TRUE, "60+")</f>
        <v>45-59</v>
      </c>
      <c r="G862" t="s">
        <v>90</v>
      </c>
      <c r="H862" t="s">
        <v>36</v>
      </c>
      <c r="I862" t="s">
        <v>30</v>
      </c>
      <c r="J862">
        <v>5</v>
      </c>
      <c r="K862" t="s">
        <v>55</v>
      </c>
      <c r="L862" t="str" cm="1">
        <f t="array" ref="L862">_xlfn.IFS(Table1[[#This Row],[Customer Tenure in months]]&lt;=6, "0-6 months", Table1[[#This Row],[Customer Tenure in months]] &lt;=12, "7-12 months", Table1[[#This Row],[Customer Tenure in months]] &lt;=24, "1-2 years", TRUE, "2+ years")</f>
        <v>2+ years</v>
      </c>
      <c r="M862">
        <v>48</v>
      </c>
      <c r="N862" t="s">
        <v>71</v>
      </c>
      <c r="O862" s="1">
        <v>14500</v>
      </c>
      <c r="P862">
        <v>13</v>
      </c>
      <c r="Q862" s="1">
        <v>188500</v>
      </c>
      <c r="R862">
        <v>98.18</v>
      </c>
      <c r="S862" t="s">
        <v>284</v>
      </c>
      <c r="T862" t="s">
        <v>24</v>
      </c>
    </row>
    <row r="863" spans="1:20" x14ac:dyDescent="0.35">
      <c r="A863" s="22" t="s">
        <v>960</v>
      </c>
      <c r="B863" cm="1">
        <f t="array" ref="B863">IF(MATCH(Table1[[#This Row],[Customer ID]], Table1[Customer ID], 0) = ROW() - ROW(Table1[#Headers]), 1, 0)</f>
        <v>1</v>
      </c>
      <c r="C863" t="s">
        <v>961</v>
      </c>
      <c r="D863" s="2">
        <v>45682</v>
      </c>
      <c r="E863">
        <v>50</v>
      </c>
      <c r="F863" t="str" cm="1">
        <f t="array" ref="F863">_xlfn.IFS( Table1[[#This Row],[Age]]&lt;18, "&lt;18", Table1[[#This Row],[Age]]&lt;= 29, "18-29", Table1[[#This Row],[Age]]&lt;= 44, "30-44",  Table1[[#This Row],[Age]]&lt;=59, "45-59", TRUE, "60+")</f>
        <v>45-59</v>
      </c>
      <c r="G863" t="s">
        <v>19</v>
      </c>
      <c r="H863" t="s">
        <v>29</v>
      </c>
      <c r="I863" t="s">
        <v>21</v>
      </c>
      <c r="J863">
        <v>3</v>
      </c>
      <c r="K863" t="s">
        <v>50</v>
      </c>
      <c r="L863" t="str" cm="1">
        <f t="array" ref="L863">_xlfn.IFS(Table1[[#This Row],[Customer Tenure in months]]&lt;=6, "0-6 months", Table1[[#This Row],[Customer Tenure in months]] &lt;=12, "7-12 months", Table1[[#This Row],[Customer Tenure in months]] &lt;=24, "1-2 years", TRUE, "2+ years")</f>
        <v>2+ years</v>
      </c>
      <c r="M863">
        <v>49</v>
      </c>
      <c r="N863" t="s">
        <v>102</v>
      </c>
      <c r="O863" s="1">
        <v>900</v>
      </c>
      <c r="P863">
        <v>15</v>
      </c>
      <c r="Q863" s="1">
        <v>13500</v>
      </c>
      <c r="R863">
        <v>102.91</v>
      </c>
      <c r="S863" t="s">
        <v>1091</v>
      </c>
      <c r="T863" t="s">
        <v>39</v>
      </c>
    </row>
    <row r="864" spans="1:20" x14ac:dyDescent="0.35">
      <c r="A864" s="22" t="s">
        <v>960</v>
      </c>
      <c r="B864" cm="1">
        <f t="array" ref="B864">IF(MATCH(Table1[[#This Row],[Customer ID]], Table1[Customer ID], 0) = ROW() - ROW(Table1[#Headers]), 1, 0)</f>
        <v>0</v>
      </c>
      <c r="C864" t="s">
        <v>961</v>
      </c>
      <c r="D864" s="2">
        <v>45682</v>
      </c>
      <c r="E864">
        <v>50</v>
      </c>
      <c r="F864" t="str" cm="1">
        <f t="array" ref="F864">_xlfn.IFS( Table1[[#This Row],[Age]]&lt;18, "&lt;18", Table1[[#This Row],[Age]]&lt;= 29, "18-29", Table1[[#This Row],[Age]]&lt;= 44, "30-44",  Table1[[#This Row],[Age]]&lt;=59, "45-59", TRUE, "60+")</f>
        <v>45-59</v>
      </c>
      <c r="G864" t="s">
        <v>19</v>
      </c>
      <c r="H864" t="s">
        <v>41</v>
      </c>
      <c r="I864" t="s">
        <v>21</v>
      </c>
      <c r="J864">
        <v>3</v>
      </c>
      <c r="K864" t="s">
        <v>50</v>
      </c>
      <c r="L864" t="str" cm="1">
        <f t="array" ref="L864">_xlfn.IFS(Table1[[#This Row],[Customer Tenure in months]]&lt;=6, "0-6 months", Table1[[#This Row],[Customer Tenure in months]] &lt;=12, "7-12 months", Table1[[#This Row],[Customer Tenure in months]] &lt;=24, "1-2 years", TRUE, "2+ years")</f>
        <v>2+ years</v>
      </c>
      <c r="M864">
        <v>49</v>
      </c>
      <c r="N864" t="s">
        <v>38</v>
      </c>
      <c r="O864" s="1">
        <v>20000</v>
      </c>
      <c r="P864">
        <v>5</v>
      </c>
      <c r="Q864" s="1">
        <v>100000</v>
      </c>
      <c r="R864">
        <v>129.69999999999999</v>
      </c>
      <c r="S864" t="s">
        <v>1091</v>
      </c>
      <c r="T864" t="s">
        <v>39</v>
      </c>
    </row>
    <row r="865" spans="1:20" x14ac:dyDescent="0.35">
      <c r="A865" s="22" t="s">
        <v>962</v>
      </c>
      <c r="B865" cm="1">
        <f t="array" ref="B865">IF(MATCH(Table1[[#This Row],[Customer ID]], Table1[Customer ID], 0) = ROW() - ROW(Table1[#Headers]), 1, 0)</f>
        <v>1</v>
      </c>
      <c r="C865" t="s">
        <v>963</v>
      </c>
      <c r="D865" s="2">
        <v>45682</v>
      </c>
      <c r="E865">
        <v>26</v>
      </c>
      <c r="F865" t="str" cm="1">
        <f t="array" ref="F865">_xlfn.IFS( Table1[[#This Row],[Age]]&lt;18, "&lt;18", Table1[[#This Row],[Age]]&lt;= 29, "18-29", Table1[[#This Row],[Age]]&lt;= 44, "30-44",  Table1[[#This Row],[Age]]&lt;=59, "45-59", TRUE, "60+")</f>
        <v>18-29</v>
      </c>
      <c r="G865" t="s">
        <v>101</v>
      </c>
      <c r="H865" t="s">
        <v>36</v>
      </c>
      <c r="I865" t="s">
        <v>30</v>
      </c>
      <c r="J865">
        <v>4</v>
      </c>
      <c r="K865" t="s">
        <v>114</v>
      </c>
      <c r="L865" t="str" cm="1">
        <f t="array" ref="L865">_xlfn.IFS(Table1[[#This Row],[Customer Tenure in months]]&lt;=6, "0-6 months", Table1[[#This Row],[Customer Tenure in months]] &lt;=12, "7-12 months", Table1[[#This Row],[Customer Tenure in months]] &lt;=24, "1-2 years", TRUE, "2+ years")</f>
        <v>2+ years</v>
      </c>
      <c r="M865">
        <v>28</v>
      </c>
      <c r="N865" t="s">
        <v>71</v>
      </c>
      <c r="O865" s="1">
        <v>14500</v>
      </c>
      <c r="P865">
        <v>10</v>
      </c>
      <c r="Q865" s="1">
        <v>145000</v>
      </c>
      <c r="R865">
        <v>104.86</v>
      </c>
      <c r="S865" t="s">
        <v>1091</v>
      </c>
      <c r="T865" t="s">
        <v>39</v>
      </c>
    </row>
    <row r="866" spans="1:20" x14ac:dyDescent="0.35">
      <c r="A866" s="22" t="s">
        <v>964</v>
      </c>
      <c r="B866" cm="1">
        <f t="array" ref="B866">IF(MATCH(Table1[[#This Row],[Customer ID]], Table1[Customer ID], 0) = ROW() - ROW(Table1[#Headers]), 1, 0)</f>
        <v>1</v>
      </c>
      <c r="C866" t="s">
        <v>965</v>
      </c>
      <c r="D866" s="2">
        <v>45682</v>
      </c>
      <c r="E866">
        <v>25</v>
      </c>
      <c r="F866" t="str" cm="1">
        <f t="array" ref="F866">_xlfn.IFS( Table1[[#This Row],[Age]]&lt;18, "&lt;18", Table1[[#This Row],[Age]]&lt;= 29, "18-29", Table1[[#This Row],[Age]]&lt;= 44, "30-44",  Table1[[#This Row],[Age]]&lt;=59, "45-59", TRUE, "60+")</f>
        <v>18-29</v>
      </c>
      <c r="G866" t="s">
        <v>128</v>
      </c>
      <c r="H866" t="s">
        <v>36</v>
      </c>
      <c r="I866" t="s">
        <v>21</v>
      </c>
      <c r="J866">
        <v>4</v>
      </c>
      <c r="K866" t="s">
        <v>114</v>
      </c>
      <c r="L866" t="str" cm="1">
        <f t="array" ref="L866">_xlfn.IFS(Table1[[#This Row],[Customer Tenure in months]]&lt;=6, "0-6 months", Table1[[#This Row],[Customer Tenure in months]] &lt;=12, "7-12 months", Table1[[#This Row],[Customer Tenure in months]] &lt;=24, "1-2 years", TRUE, "2+ years")</f>
        <v>2+ years</v>
      </c>
      <c r="M866">
        <v>33</v>
      </c>
      <c r="N866" t="s">
        <v>38</v>
      </c>
      <c r="O866" s="1">
        <v>20000</v>
      </c>
      <c r="P866">
        <v>1</v>
      </c>
      <c r="Q866" s="1">
        <v>20000</v>
      </c>
      <c r="R866">
        <v>153.85</v>
      </c>
      <c r="S866" t="s">
        <v>284</v>
      </c>
      <c r="T866" t="s">
        <v>24</v>
      </c>
    </row>
    <row r="867" spans="1:20" x14ac:dyDescent="0.35">
      <c r="A867" s="22" t="s">
        <v>964</v>
      </c>
      <c r="B867" cm="1">
        <f t="array" ref="B867">IF(MATCH(Table1[[#This Row],[Customer ID]], Table1[Customer ID], 0) = ROW() - ROW(Table1[#Headers]), 1, 0)</f>
        <v>0</v>
      </c>
      <c r="C867" t="s">
        <v>965</v>
      </c>
      <c r="D867" s="2">
        <v>45682</v>
      </c>
      <c r="E867">
        <v>25</v>
      </c>
      <c r="F867" t="str" cm="1">
        <f t="array" ref="F867">_xlfn.IFS( Table1[[#This Row],[Age]]&lt;18, "&lt;18", Table1[[#This Row],[Age]]&lt;= 29, "18-29", Table1[[#This Row],[Age]]&lt;= 44, "30-44",  Table1[[#This Row],[Age]]&lt;=59, "45-59", TRUE, "60+")</f>
        <v>18-29</v>
      </c>
      <c r="G867" t="s">
        <v>128</v>
      </c>
      <c r="H867" t="s">
        <v>20</v>
      </c>
      <c r="I867" t="s">
        <v>21</v>
      </c>
      <c r="J867">
        <v>4</v>
      </c>
      <c r="K867" t="s">
        <v>114</v>
      </c>
      <c r="L867" t="str" cm="1">
        <f t="array" ref="L867">_xlfn.IFS(Table1[[#This Row],[Customer Tenure in months]]&lt;=6, "0-6 months", Table1[[#This Row],[Customer Tenure in months]] &lt;=12, "7-12 months", Table1[[#This Row],[Customer Tenure in months]] &lt;=24, "1-2 years", TRUE, "2+ years")</f>
        <v>2+ years</v>
      </c>
      <c r="M867">
        <v>33</v>
      </c>
      <c r="N867" t="s">
        <v>58</v>
      </c>
      <c r="O867" s="1">
        <v>16000</v>
      </c>
      <c r="P867">
        <v>15</v>
      </c>
      <c r="Q867" s="1">
        <v>240000</v>
      </c>
      <c r="R867">
        <v>148.22999999999999</v>
      </c>
      <c r="S867" t="s">
        <v>284</v>
      </c>
      <c r="T867" t="s">
        <v>24</v>
      </c>
    </row>
    <row r="868" spans="1:20" x14ac:dyDescent="0.35">
      <c r="A868" s="22" t="s">
        <v>964</v>
      </c>
      <c r="B868" cm="1">
        <f t="array" ref="B868">IF(MATCH(Table1[[#This Row],[Customer ID]], Table1[Customer ID], 0) = ROW() - ROW(Table1[#Headers]), 1, 0)</f>
        <v>0</v>
      </c>
      <c r="C868" t="s">
        <v>965</v>
      </c>
      <c r="D868" s="2">
        <v>45682</v>
      </c>
      <c r="E868">
        <v>25</v>
      </c>
      <c r="F868" t="str" cm="1">
        <f t="array" ref="F868">_xlfn.IFS( Table1[[#This Row],[Age]]&lt;18, "&lt;18", Table1[[#This Row],[Age]]&lt;= 29, "18-29", Table1[[#This Row],[Age]]&lt;= 44, "30-44",  Table1[[#This Row],[Age]]&lt;=59, "45-59", TRUE, "60+")</f>
        <v>18-29</v>
      </c>
      <c r="G868" t="s">
        <v>128</v>
      </c>
      <c r="H868" t="s">
        <v>29</v>
      </c>
      <c r="I868" t="s">
        <v>21</v>
      </c>
      <c r="J868">
        <v>4</v>
      </c>
      <c r="K868" t="s">
        <v>114</v>
      </c>
      <c r="L868" t="str" cm="1">
        <f t="array" ref="L868">_xlfn.IFS(Table1[[#This Row],[Customer Tenure in months]]&lt;=6, "0-6 months", Table1[[#This Row],[Customer Tenure in months]] &lt;=12, "7-12 months", Table1[[#This Row],[Customer Tenure in months]] &lt;=24, "1-2 years", TRUE, "2+ years")</f>
        <v>2+ years</v>
      </c>
      <c r="M868">
        <v>33</v>
      </c>
      <c r="N868" t="s">
        <v>164</v>
      </c>
      <c r="O868" s="1">
        <v>600</v>
      </c>
      <c r="P868">
        <v>13</v>
      </c>
      <c r="Q868" s="1">
        <v>7800</v>
      </c>
      <c r="R868">
        <v>157.34</v>
      </c>
      <c r="S868" t="s">
        <v>284</v>
      </c>
      <c r="T868" t="s">
        <v>24</v>
      </c>
    </row>
    <row r="869" spans="1:20" x14ac:dyDescent="0.35">
      <c r="A869" s="22" t="s">
        <v>966</v>
      </c>
      <c r="B869" cm="1">
        <f t="array" ref="B869">IF(MATCH(Table1[[#This Row],[Customer ID]], Table1[Customer ID], 0) = ROW() - ROW(Table1[#Headers]), 1, 0)</f>
        <v>1</v>
      </c>
      <c r="C869" t="s">
        <v>967</v>
      </c>
      <c r="D869" s="2">
        <v>45682</v>
      </c>
      <c r="E869">
        <v>26</v>
      </c>
      <c r="F869" t="str" cm="1">
        <f t="array" ref="F869">_xlfn.IFS( Table1[[#This Row],[Age]]&lt;18, "&lt;18", Table1[[#This Row],[Age]]&lt;= 29, "18-29", Table1[[#This Row],[Age]]&lt;= 44, "30-44",  Table1[[#This Row],[Age]]&lt;=59, "45-59", TRUE, "60+")</f>
        <v>18-29</v>
      </c>
      <c r="G869" t="s">
        <v>110</v>
      </c>
      <c r="H869" t="s">
        <v>36</v>
      </c>
      <c r="I869" t="s">
        <v>30</v>
      </c>
      <c r="J869">
        <v>4</v>
      </c>
      <c r="K869" t="s">
        <v>114</v>
      </c>
      <c r="L869" t="str" cm="1">
        <f t="array" ref="L869">_xlfn.IFS(Table1[[#This Row],[Customer Tenure in months]]&lt;=6, "0-6 months", Table1[[#This Row],[Customer Tenure in months]] &lt;=12, "7-12 months", Table1[[#This Row],[Customer Tenure in months]] &lt;=24, "1-2 years", TRUE, "2+ years")</f>
        <v>1-2 years</v>
      </c>
      <c r="M869">
        <v>21</v>
      </c>
      <c r="N869" t="s">
        <v>71</v>
      </c>
      <c r="O869" s="1">
        <v>14500</v>
      </c>
      <c r="P869">
        <v>20</v>
      </c>
      <c r="Q869" s="1">
        <v>290000</v>
      </c>
      <c r="R869">
        <v>37.42</v>
      </c>
      <c r="S869" t="s">
        <v>1091</v>
      </c>
      <c r="T869" t="s">
        <v>39</v>
      </c>
    </row>
    <row r="870" spans="1:20" x14ac:dyDescent="0.35">
      <c r="A870" s="22" t="s">
        <v>966</v>
      </c>
      <c r="B870" cm="1">
        <f t="array" ref="B870">IF(MATCH(Table1[[#This Row],[Customer ID]], Table1[Customer ID], 0) = ROW() - ROW(Table1[#Headers]), 1, 0)</f>
        <v>0</v>
      </c>
      <c r="C870" t="s">
        <v>967</v>
      </c>
      <c r="D870" s="2">
        <v>45682</v>
      </c>
      <c r="E870">
        <v>26</v>
      </c>
      <c r="F870" t="str" cm="1">
        <f t="array" ref="F870">_xlfn.IFS( Table1[[#This Row],[Age]]&lt;18, "&lt;18", Table1[[#This Row],[Age]]&lt;= 29, "18-29", Table1[[#This Row],[Age]]&lt;= 44, "30-44",  Table1[[#This Row],[Age]]&lt;=59, "45-59", TRUE, "60+")</f>
        <v>18-29</v>
      </c>
      <c r="G870" t="s">
        <v>110</v>
      </c>
      <c r="H870" t="s">
        <v>41</v>
      </c>
      <c r="I870" t="s">
        <v>30</v>
      </c>
      <c r="J870">
        <v>4</v>
      </c>
      <c r="K870" t="s">
        <v>114</v>
      </c>
      <c r="L870" t="str" cm="1">
        <f t="array" ref="L870">_xlfn.IFS(Table1[[#This Row],[Customer Tenure in months]]&lt;=6, "0-6 months", Table1[[#This Row],[Customer Tenure in months]] &lt;=12, "7-12 months", Table1[[#This Row],[Customer Tenure in months]] &lt;=24, "1-2 years", TRUE, "2+ years")</f>
        <v>1-2 years</v>
      </c>
      <c r="M870">
        <v>21</v>
      </c>
      <c r="N870" t="s">
        <v>65</v>
      </c>
      <c r="O870" s="1">
        <v>30000</v>
      </c>
      <c r="P870">
        <v>4</v>
      </c>
      <c r="Q870" s="1">
        <v>120000</v>
      </c>
      <c r="R870">
        <v>174.39</v>
      </c>
      <c r="S870" t="s">
        <v>1091</v>
      </c>
      <c r="T870" t="s">
        <v>39</v>
      </c>
    </row>
    <row r="871" spans="1:20" x14ac:dyDescent="0.35">
      <c r="A871" s="22" t="s">
        <v>968</v>
      </c>
      <c r="B871" cm="1">
        <f t="array" ref="B871">IF(MATCH(Table1[[#This Row],[Customer ID]], Table1[Customer ID], 0) = ROW() - ROW(Table1[#Headers]), 1, 0)</f>
        <v>1</v>
      </c>
      <c r="C871" t="s">
        <v>969</v>
      </c>
      <c r="D871" s="2">
        <v>45682</v>
      </c>
      <c r="E871">
        <v>18</v>
      </c>
      <c r="F871" t="str" cm="1">
        <f t="array" ref="F871">_xlfn.IFS( Table1[[#This Row],[Age]]&lt;18, "&lt;18", Table1[[#This Row],[Age]]&lt;= 29, "18-29", Table1[[#This Row],[Age]]&lt;= 44, "30-44",  Table1[[#This Row],[Age]]&lt;=59, "45-59", TRUE, "60+")</f>
        <v>18-29</v>
      </c>
      <c r="G871" t="s">
        <v>452</v>
      </c>
      <c r="H871" t="s">
        <v>29</v>
      </c>
      <c r="I871" t="s">
        <v>30</v>
      </c>
      <c r="J871">
        <v>2</v>
      </c>
      <c r="K871" t="s">
        <v>22</v>
      </c>
      <c r="L871" t="str" cm="1">
        <f t="array" ref="L871">_xlfn.IFS(Table1[[#This Row],[Customer Tenure in months]]&lt;=6, "0-6 months", Table1[[#This Row],[Customer Tenure in months]] &lt;=12, "7-12 months", Table1[[#This Row],[Customer Tenure in months]] &lt;=24, "1-2 years", TRUE, "2+ years")</f>
        <v>7-12 months</v>
      </c>
      <c r="M871">
        <v>8</v>
      </c>
      <c r="N871" t="s">
        <v>193</v>
      </c>
      <c r="O871" s="1">
        <v>6500</v>
      </c>
      <c r="P871">
        <v>20</v>
      </c>
      <c r="Q871" s="1">
        <v>130000</v>
      </c>
      <c r="R871">
        <v>60.91</v>
      </c>
      <c r="S871" t="s">
        <v>1091</v>
      </c>
      <c r="T871" t="s">
        <v>39</v>
      </c>
    </row>
    <row r="872" spans="1:20" x14ac:dyDescent="0.35">
      <c r="A872" s="22" t="s">
        <v>970</v>
      </c>
      <c r="B872" cm="1">
        <f t="array" ref="B872">IF(MATCH(Table1[[#This Row],[Customer ID]], Table1[Customer ID], 0) = ROW() - ROW(Table1[#Headers]), 1, 0)</f>
        <v>1</v>
      </c>
      <c r="C872" t="s">
        <v>971</v>
      </c>
      <c r="D872" s="2">
        <v>45713</v>
      </c>
      <c r="E872">
        <v>66</v>
      </c>
      <c r="F872" t="str" cm="1">
        <f t="array" ref="F872">_xlfn.IFS( Table1[[#This Row],[Age]]&lt;18, "&lt;18", Table1[[#This Row],[Age]]&lt;= 29, "18-29", Table1[[#This Row],[Age]]&lt;= 44, "30-44",  Table1[[#This Row],[Age]]&lt;=59, "45-59", TRUE, "60+")</f>
        <v>60+</v>
      </c>
      <c r="G872" t="s">
        <v>149</v>
      </c>
      <c r="H872" t="s">
        <v>20</v>
      </c>
      <c r="I872" t="s">
        <v>21</v>
      </c>
      <c r="J872">
        <v>1</v>
      </c>
      <c r="K872" t="s">
        <v>37</v>
      </c>
      <c r="L872" t="str" cm="1">
        <f t="array" ref="L872">_xlfn.IFS(Table1[[#This Row],[Customer Tenure in months]]&lt;=6, "0-6 months", Table1[[#This Row],[Customer Tenure in months]] &lt;=12, "7-12 months", Table1[[#This Row],[Customer Tenure in months]] &lt;=24, "1-2 years", TRUE, "2+ years")</f>
        <v>7-12 months</v>
      </c>
      <c r="M872">
        <v>9</v>
      </c>
      <c r="N872" t="s">
        <v>58</v>
      </c>
      <c r="O872" s="1">
        <v>16000</v>
      </c>
      <c r="P872">
        <v>5</v>
      </c>
      <c r="Q872" s="1">
        <v>80000</v>
      </c>
      <c r="R872">
        <v>42.24</v>
      </c>
      <c r="S872" t="s">
        <v>32</v>
      </c>
      <c r="T872" t="s">
        <v>24</v>
      </c>
    </row>
    <row r="873" spans="1:20" x14ac:dyDescent="0.35">
      <c r="A873" s="22" t="s">
        <v>972</v>
      </c>
      <c r="B873" cm="1">
        <f t="array" ref="B873">IF(MATCH(Table1[[#This Row],[Customer ID]], Table1[Customer ID], 0) = ROW() - ROW(Table1[#Headers]), 1, 0)</f>
        <v>1</v>
      </c>
      <c r="C873" t="s">
        <v>973</v>
      </c>
      <c r="D873" s="2">
        <v>45741</v>
      </c>
      <c r="E873">
        <v>71</v>
      </c>
      <c r="F873" t="str" cm="1">
        <f t="array" ref="F873">_xlfn.IFS( Table1[[#This Row],[Age]]&lt;18, "&lt;18", Table1[[#This Row],[Age]]&lt;= 29, "18-29", Table1[[#This Row],[Age]]&lt;= 44, "30-44",  Table1[[#This Row],[Age]]&lt;=59, "45-59", TRUE, "60+")</f>
        <v>60+</v>
      </c>
      <c r="G873" t="s">
        <v>86</v>
      </c>
      <c r="H873" t="s">
        <v>41</v>
      </c>
      <c r="I873" t="s">
        <v>21</v>
      </c>
      <c r="J873">
        <v>4</v>
      </c>
      <c r="K873" t="s">
        <v>114</v>
      </c>
      <c r="L873" t="str" cm="1">
        <f t="array" ref="L873">_xlfn.IFS(Table1[[#This Row],[Customer Tenure in months]]&lt;=6, "0-6 months", Table1[[#This Row],[Customer Tenure in months]] &lt;=12, "7-12 months", Table1[[#This Row],[Customer Tenure in months]] &lt;=24, "1-2 years", TRUE, "2+ years")</f>
        <v>0-6 months</v>
      </c>
      <c r="M873">
        <v>6</v>
      </c>
      <c r="N873" t="s">
        <v>38</v>
      </c>
      <c r="O873" s="1">
        <v>20000</v>
      </c>
      <c r="P873">
        <v>15</v>
      </c>
      <c r="Q873" s="1">
        <v>300000</v>
      </c>
      <c r="R873">
        <v>180.53</v>
      </c>
      <c r="S873" t="s">
        <v>167</v>
      </c>
      <c r="T873" t="s">
        <v>24</v>
      </c>
    </row>
    <row r="874" spans="1:20" x14ac:dyDescent="0.35">
      <c r="A874" s="22" t="s">
        <v>974</v>
      </c>
      <c r="B874" cm="1">
        <f t="array" ref="B874">IF(MATCH(Table1[[#This Row],[Customer ID]], Table1[Customer ID], 0) = ROW() - ROW(Table1[#Headers]), 1, 0)</f>
        <v>1</v>
      </c>
      <c r="C874" t="s">
        <v>975</v>
      </c>
      <c r="D874" s="2">
        <v>45713</v>
      </c>
      <c r="E874">
        <v>76</v>
      </c>
      <c r="F874" t="str" cm="1">
        <f t="array" ref="F874">_xlfn.IFS( Table1[[#This Row],[Age]]&lt;18, "&lt;18", Table1[[#This Row],[Age]]&lt;= 29, "18-29", Table1[[#This Row],[Age]]&lt;= 44, "30-44",  Table1[[#This Row],[Age]]&lt;=59, "45-59", TRUE, "60+")</f>
        <v>60+</v>
      </c>
      <c r="G874" t="s">
        <v>118</v>
      </c>
      <c r="H874" t="s">
        <v>41</v>
      </c>
      <c r="I874" t="s">
        <v>30</v>
      </c>
      <c r="J874">
        <v>2</v>
      </c>
      <c r="K874" t="s">
        <v>22</v>
      </c>
      <c r="L874" t="str" cm="1">
        <f t="array" ref="L874">_xlfn.IFS(Table1[[#This Row],[Customer Tenure in months]]&lt;=6, "0-6 months", Table1[[#This Row],[Customer Tenure in months]] &lt;=12, "7-12 months", Table1[[#This Row],[Customer Tenure in months]] &lt;=24, "1-2 years", TRUE, "2+ years")</f>
        <v>2+ years</v>
      </c>
      <c r="M874">
        <v>38</v>
      </c>
      <c r="N874" t="s">
        <v>42</v>
      </c>
      <c r="O874" s="1">
        <v>9000</v>
      </c>
      <c r="P874">
        <v>14</v>
      </c>
      <c r="Q874" s="1">
        <v>126000</v>
      </c>
      <c r="R874">
        <v>20.98</v>
      </c>
      <c r="S874" t="s">
        <v>32</v>
      </c>
      <c r="T874" t="s">
        <v>24</v>
      </c>
    </row>
    <row r="875" spans="1:20" x14ac:dyDescent="0.35">
      <c r="A875" s="22" t="s">
        <v>974</v>
      </c>
      <c r="B875" cm="1">
        <f t="array" ref="B875">IF(MATCH(Table1[[#This Row],[Customer ID]], Table1[Customer ID], 0) = ROW() - ROW(Table1[#Headers]), 1, 0)</f>
        <v>0</v>
      </c>
      <c r="C875" t="s">
        <v>975</v>
      </c>
      <c r="D875" s="2">
        <v>45713</v>
      </c>
      <c r="E875">
        <v>76</v>
      </c>
      <c r="F875" t="str" cm="1">
        <f t="array" ref="F875">_xlfn.IFS( Table1[[#This Row],[Age]]&lt;18, "&lt;18", Table1[[#This Row],[Age]]&lt;= 29, "18-29", Table1[[#This Row],[Age]]&lt;= 44, "30-44",  Table1[[#This Row],[Age]]&lt;=59, "45-59", TRUE, "60+")</f>
        <v>60+</v>
      </c>
      <c r="G875" t="s">
        <v>118</v>
      </c>
      <c r="H875" t="s">
        <v>20</v>
      </c>
      <c r="I875" t="s">
        <v>30</v>
      </c>
      <c r="J875">
        <v>2</v>
      </c>
      <c r="K875" t="s">
        <v>22</v>
      </c>
      <c r="L875" t="str" cm="1">
        <f t="array" ref="L875">_xlfn.IFS(Table1[[#This Row],[Customer Tenure in months]]&lt;=6, "0-6 months", Table1[[#This Row],[Customer Tenure in months]] &lt;=12, "7-12 months", Table1[[#This Row],[Customer Tenure in months]] &lt;=24, "1-2 years", TRUE, "2+ years")</f>
        <v>2+ years</v>
      </c>
      <c r="M875">
        <v>38</v>
      </c>
      <c r="N875" t="s">
        <v>23</v>
      </c>
      <c r="O875" s="1">
        <v>35000</v>
      </c>
      <c r="P875">
        <v>19</v>
      </c>
      <c r="Q875" s="1">
        <v>665000</v>
      </c>
      <c r="R875">
        <v>169.8</v>
      </c>
      <c r="S875" t="s">
        <v>32</v>
      </c>
      <c r="T875" t="s">
        <v>24</v>
      </c>
    </row>
    <row r="876" spans="1:20" x14ac:dyDescent="0.35">
      <c r="A876" s="22" t="s">
        <v>976</v>
      </c>
      <c r="B876" cm="1">
        <f t="array" ref="B876">IF(MATCH(Table1[[#This Row],[Customer ID]], Table1[Customer ID], 0) = ROW() - ROW(Table1[#Headers]), 1, 0)</f>
        <v>1</v>
      </c>
      <c r="C876" t="s">
        <v>977</v>
      </c>
      <c r="D876" s="2">
        <v>45682</v>
      </c>
      <c r="E876">
        <v>20</v>
      </c>
      <c r="F876" t="str" cm="1">
        <f t="array" ref="F876">_xlfn.IFS( Table1[[#This Row],[Age]]&lt;18, "&lt;18", Table1[[#This Row],[Age]]&lt;= 29, "18-29", Table1[[#This Row],[Age]]&lt;= 44, "30-44",  Table1[[#This Row],[Age]]&lt;=59, "45-59", TRUE, "60+")</f>
        <v>18-29</v>
      </c>
      <c r="G876" t="s">
        <v>90</v>
      </c>
      <c r="H876" t="s">
        <v>41</v>
      </c>
      <c r="I876" t="s">
        <v>30</v>
      </c>
      <c r="J876">
        <v>2</v>
      </c>
      <c r="K876" t="s">
        <v>22</v>
      </c>
      <c r="L876" t="str" cm="1">
        <f t="array" ref="L876">_xlfn.IFS(Table1[[#This Row],[Customer Tenure in months]]&lt;=6, "0-6 months", Table1[[#This Row],[Customer Tenure in months]] &lt;=12, "7-12 months", Table1[[#This Row],[Customer Tenure in months]] &lt;=24, "1-2 years", TRUE, "2+ years")</f>
        <v>2+ years</v>
      </c>
      <c r="M876">
        <v>32</v>
      </c>
      <c r="N876" t="s">
        <v>62</v>
      </c>
      <c r="O876" s="1">
        <v>24000</v>
      </c>
      <c r="P876">
        <v>14</v>
      </c>
      <c r="Q876" s="1">
        <v>336000</v>
      </c>
      <c r="R876">
        <v>13.17</v>
      </c>
      <c r="S876" t="s">
        <v>1091</v>
      </c>
      <c r="T876" t="s">
        <v>39</v>
      </c>
    </row>
    <row r="877" spans="1:20" x14ac:dyDescent="0.35">
      <c r="A877" s="22" t="s">
        <v>976</v>
      </c>
      <c r="B877" cm="1">
        <f t="array" ref="B877">IF(MATCH(Table1[[#This Row],[Customer ID]], Table1[Customer ID], 0) = ROW() - ROW(Table1[#Headers]), 1, 0)</f>
        <v>0</v>
      </c>
      <c r="C877" t="s">
        <v>977</v>
      </c>
      <c r="D877" s="2">
        <v>45682</v>
      </c>
      <c r="E877">
        <v>20</v>
      </c>
      <c r="F877" t="str" cm="1">
        <f t="array" ref="F877">_xlfn.IFS( Table1[[#This Row],[Age]]&lt;18, "&lt;18", Table1[[#This Row],[Age]]&lt;= 29, "18-29", Table1[[#This Row],[Age]]&lt;= 44, "30-44",  Table1[[#This Row],[Age]]&lt;=59, "45-59", TRUE, "60+")</f>
        <v>18-29</v>
      </c>
      <c r="G877" t="s">
        <v>90</v>
      </c>
      <c r="H877" t="s">
        <v>20</v>
      </c>
      <c r="I877" t="s">
        <v>30</v>
      </c>
      <c r="J877">
        <v>2</v>
      </c>
      <c r="K877" t="s">
        <v>22</v>
      </c>
      <c r="L877" t="str" cm="1">
        <f t="array" ref="L877">_xlfn.IFS(Table1[[#This Row],[Customer Tenure in months]]&lt;=6, "0-6 months", Table1[[#This Row],[Customer Tenure in months]] &lt;=12, "7-12 months", Table1[[#This Row],[Customer Tenure in months]] &lt;=24, "1-2 years", TRUE, "2+ years")</f>
        <v>2+ years</v>
      </c>
      <c r="M877">
        <v>32</v>
      </c>
      <c r="N877" t="s">
        <v>23</v>
      </c>
      <c r="O877" s="1">
        <v>35000</v>
      </c>
      <c r="P877">
        <v>20</v>
      </c>
      <c r="Q877" s="1">
        <v>700000</v>
      </c>
      <c r="R877">
        <v>23.83</v>
      </c>
      <c r="S877" t="s">
        <v>1091</v>
      </c>
      <c r="T877" t="s">
        <v>39</v>
      </c>
    </row>
    <row r="878" spans="1:20" x14ac:dyDescent="0.35">
      <c r="A878" s="22" t="s">
        <v>976</v>
      </c>
      <c r="B878" cm="1">
        <f t="array" ref="B878">IF(MATCH(Table1[[#This Row],[Customer ID]], Table1[Customer ID], 0) = ROW() - ROW(Table1[#Headers]), 1, 0)</f>
        <v>0</v>
      </c>
      <c r="C878" t="s">
        <v>977</v>
      </c>
      <c r="D878" s="2">
        <v>45682</v>
      </c>
      <c r="E878">
        <v>20</v>
      </c>
      <c r="F878" t="str" cm="1">
        <f t="array" ref="F878">_xlfn.IFS( Table1[[#This Row],[Age]]&lt;18, "&lt;18", Table1[[#This Row],[Age]]&lt;= 29, "18-29", Table1[[#This Row],[Age]]&lt;= 44, "30-44",  Table1[[#This Row],[Age]]&lt;=59, "45-59", TRUE, "60+")</f>
        <v>18-29</v>
      </c>
      <c r="G878" t="s">
        <v>90</v>
      </c>
      <c r="H878" t="s">
        <v>36</v>
      </c>
      <c r="I878" t="s">
        <v>30</v>
      </c>
      <c r="J878">
        <v>2</v>
      </c>
      <c r="K878" t="s">
        <v>22</v>
      </c>
      <c r="L878" t="str" cm="1">
        <f t="array" ref="L878">_xlfn.IFS(Table1[[#This Row],[Customer Tenure in months]]&lt;=6, "0-6 months", Table1[[#This Row],[Customer Tenure in months]] &lt;=12, "7-12 months", Table1[[#This Row],[Customer Tenure in months]] &lt;=24, "1-2 years", TRUE, "2+ years")</f>
        <v>2+ years</v>
      </c>
      <c r="M878">
        <v>32</v>
      </c>
      <c r="N878" t="s">
        <v>115</v>
      </c>
      <c r="O878" s="1">
        <v>25000</v>
      </c>
      <c r="P878">
        <v>14</v>
      </c>
      <c r="Q878" s="1">
        <v>350000</v>
      </c>
      <c r="R878">
        <v>89.94</v>
      </c>
      <c r="S878" t="s">
        <v>1091</v>
      </c>
      <c r="T878" t="s">
        <v>39</v>
      </c>
    </row>
    <row r="879" spans="1:20" x14ac:dyDescent="0.35">
      <c r="A879" s="22" t="s">
        <v>978</v>
      </c>
      <c r="B879" cm="1">
        <f t="array" ref="B879">IF(MATCH(Table1[[#This Row],[Customer ID]], Table1[Customer ID], 0) = ROW() - ROW(Table1[#Headers]), 1, 0)</f>
        <v>1</v>
      </c>
      <c r="C879" t="s">
        <v>979</v>
      </c>
      <c r="D879" s="2">
        <v>45741</v>
      </c>
      <c r="E879">
        <v>36</v>
      </c>
      <c r="F879" t="str" cm="1">
        <f t="array" ref="F879">_xlfn.IFS( Table1[[#This Row],[Age]]&lt;18, "&lt;18", Table1[[#This Row],[Age]]&lt;= 29, "18-29", Table1[[#This Row],[Age]]&lt;= 44, "30-44",  Table1[[#This Row],[Age]]&lt;=59, "45-59", TRUE, "60+")</f>
        <v>30-44</v>
      </c>
      <c r="G879" t="s">
        <v>101</v>
      </c>
      <c r="H879" t="s">
        <v>36</v>
      </c>
      <c r="I879" t="s">
        <v>21</v>
      </c>
      <c r="J879">
        <v>4</v>
      </c>
      <c r="K879" t="s">
        <v>114</v>
      </c>
      <c r="L879" t="str" cm="1">
        <f t="array" ref="L879">_xlfn.IFS(Table1[[#This Row],[Customer Tenure in months]]&lt;=6, "0-6 months", Table1[[#This Row],[Customer Tenure in months]] &lt;=12, "7-12 months", Table1[[#This Row],[Customer Tenure in months]] &lt;=24, "1-2 years", TRUE, "2+ years")</f>
        <v>2+ years</v>
      </c>
      <c r="M879">
        <v>31</v>
      </c>
      <c r="N879" t="s">
        <v>65</v>
      </c>
      <c r="O879" s="1">
        <v>30000</v>
      </c>
      <c r="P879">
        <v>13</v>
      </c>
      <c r="Q879" s="1">
        <v>390000</v>
      </c>
      <c r="R879">
        <v>176.69</v>
      </c>
      <c r="S879" t="s">
        <v>265</v>
      </c>
      <c r="T879" t="s">
        <v>24</v>
      </c>
    </row>
    <row r="880" spans="1:20" x14ac:dyDescent="0.35">
      <c r="A880" s="22" t="s">
        <v>978</v>
      </c>
      <c r="B880" cm="1">
        <f t="array" ref="B880">IF(MATCH(Table1[[#This Row],[Customer ID]], Table1[Customer ID], 0) = ROW() - ROW(Table1[#Headers]), 1, 0)</f>
        <v>0</v>
      </c>
      <c r="C880" t="s">
        <v>979</v>
      </c>
      <c r="D880" s="2">
        <v>45741</v>
      </c>
      <c r="E880">
        <v>36</v>
      </c>
      <c r="F880" t="str" cm="1">
        <f t="array" ref="F880">_xlfn.IFS( Table1[[#This Row],[Age]]&lt;18, "&lt;18", Table1[[#This Row],[Age]]&lt;= 29, "18-29", Table1[[#This Row],[Age]]&lt;= 44, "30-44",  Table1[[#This Row],[Age]]&lt;=59, "45-59", TRUE, "60+")</f>
        <v>30-44</v>
      </c>
      <c r="G880" t="s">
        <v>101</v>
      </c>
      <c r="H880" t="s">
        <v>29</v>
      </c>
      <c r="I880" t="s">
        <v>21</v>
      </c>
      <c r="J880">
        <v>4</v>
      </c>
      <c r="K880" t="s">
        <v>114</v>
      </c>
      <c r="L880" t="str" cm="1">
        <f t="array" ref="L880">_xlfn.IFS(Table1[[#This Row],[Customer Tenure in months]]&lt;=6, "0-6 months", Table1[[#This Row],[Customer Tenure in months]] &lt;=12, "7-12 months", Table1[[#This Row],[Customer Tenure in months]] &lt;=24, "1-2 years", TRUE, "2+ years")</f>
        <v>2+ years</v>
      </c>
      <c r="M880">
        <v>31</v>
      </c>
      <c r="N880" t="s">
        <v>87</v>
      </c>
      <c r="O880" s="1">
        <v>7500</v>
      </c>
      <c r="P880">
        <v>12</v>
      </c>
      <c r="Q880" s="1">
        <v>90000</v>
      </c>
      <c r="R880">
        <v>166.7</v>
      </c>
      <c r="S880" t="s">
        <v>265</v>
      </c>
      <c r="T880" t="s">
        <v>24</v>
      </c>
    </row>
    <row r="881" spans="1:20" x14ac:dyDescent="0.35">
      <c r="A881" s="22" t="s">
        <v>978</v>
      </c>
      <c r="B881" cm="1">
        <f t="array" ref="B881">IF(MATCH(Table1[[#This Row],[Customer ID]], Table1[Customer ID], 0) = ROW() - ROW(Table1[#Headers]), 1, 0)</f>
        <v>0</v>
      </c>
      <c r="C881" t="s">
        <v>979</v>
      </c>
      <c r="D881" s="2">
        <v>45741</v>
      </c>
      <c r="E881">
        <v>36</v>
      </c>
      <c r="F881" t="str" cm="1">
        <f t="array" ref="F881">_xlfn.IFS( Table1[[#This Row],[Age]]&lt;18, "&lt;18", Table1[[#This Row],[Age]]&lt;= 29, "18-29", Table1[[#This Row],[Age]]&lt;= 44, "30-44",  Table1[[#This Row],[Age]]&lt;=59, "45-59", TRUE, "60+")</f>
        <v>30-44</v>
      </c>
      <c r="G881" t="s">
        <v>101</v>
      </c>
      <c r="H881" t="s">
        <v>20</v>
      </c>
      <c r="I881" t="s">
        <v>21</v>
      </c>
      <c r="J881">
        <v>4</v>
      </c>
      <c r="K881" t="s">
        <v>114</v>
      </c>
      <c r="L881" t="str" cm="1">
        <f t="array" ref="L881">_xlfn.IFS(Table1[[#This Row],[Customer Tenure in months]]&lt;=6, "0-6 months", Table1[[#This Row],[Customer Tenure in months]] &lt;=12, "7-12 months", Table1[[#This Row],[Customer Tenure in months]] &lt;=24, "1-2 years", TRUE, "2+ years")</f>
        <v>2+ years</v>
      </c>
      <c r="M881">
        <v>31</v>
      </c>
      <c r="N881" t="s">
        <v>23</v>
      </c>
      <c r="O881" s="1">
        <v>35000</v>
      </c>
      <c r="P881">
        <v>6</v>
      </c>
      <c r="Q881" s="1">
        <v>210000</v>
      </c>
      <c r="R881">
        <v>160.05000000000001</v>
      </c>
      <c r="S881" t="s">
        <v>265</v>
      </c>
      <c r="T881" t="s">
        <v>24</v>
      </c>
    </row>
    <row r="882" spans="1:20" x14ac:dyDescent="0.35">
      <c r="A882" s="22" t="s">
        <v>980</v>
      </c>
      <c r="B882" cm="1">
        <f t="array" ref="B882">IF(MATCH(Table1[[#This Row],[Customer ID]], Table1[Customer ID], 0) = ROW() - ROW(Table1[#Headers]), 1, 0)</f>
        <v>1</v>
      </c>
      <c r="C882" t="s">
        <v>981</v>
      </c>
      <c r="D882" s="2">
        <v>45713</v>
      </c>
      <c r="E882">
        <v>52</v>
      </c>
      <c r="F882" t="str" cm="1">
        <f t="array" ref="F882">_xlfn.IFS( Table1[[#This Row],[Age]]&lt;18, "&lt;18", Table1[[#This Row],[Age]]&lt;= 29, "18-29", Table1[[#This Row],[Age]]&lt;= 44, "30-44",  Table1[[#This Row],[Age]]&lt;=59, "45-59", TRUE, "60+")</f>
        <v>45-59</v>
      </c>
      <c r="G882" t="s">
        <v>299</v>
      </c>
      <c r="H882" t="s">
        <v>29</v>
      </c>
      <c r="I882" t="s">
        <v>30</v>
      </c>
      <c r="J882">
        <v>2</v>
      </c>
      <c r="K882" t="s">
        <v>22</v>
      </c>
      <c r="L882" t="str" cm="1">
        <f t="array" ref="L882">_xlfn.IFS(Table1[[#This Row],[Customer Tenure in months]]&lt;=6, "0-6 months", Table1[[#This Row],[Customer Tenure in months]] &lt;=12, "7-12 months", Table1[[#This Row],[Customer Tenure in months]] &lt;=24, "1-2 years", TRUE, "2+ years")</f>
        <v>7-12 months</v>
      </c>
      <c r="M882">
        <v>9</v>
      </c>
      <c r="N882" t="s">
        <v>31</v>
      </c>
      <c r="O882" s="1">
        <v>5500</v>
      </c>
      <c r="P882">
        <v>7</v>
      </c>
      <c r="Q882" s="1">
        <v>38500</v>
      </c>
      <c r="R882">
        <v>61.08</v>
      </c>
      <c r="S882" t="s">
        <v>167</v>
      </c>
      <c r="T882" t="s">
        <v>24</v>
      </c>
    </row>
    <row r="883" spans="1:20" x14ac:dyDescent="0.35">
      <c r="A883" s="22" t="s">
        <v>982</v>
      </c>
      <c r="B883" cm="1">
        <f t="array" ref="B883">IF(MATCH(Table1[[#This Row],[Customer ID]], Table1[Customer ID], 0) = ROW() - ROW(Table1[#Headers]), 1, 0)</f>
        <v>1</v>
      </c>
      <c r="C883" t="s">
        <v>983</v>
      </c>
      <c r="D883" s="2">
        <v>45713</v>
      </c>
      <c r="E883">
        <v>18</v>
      </c>
      <c r="F883" t="str" cm="1">
        <f t="array" ref="F883">_xlfn.IFS( Table1[[#This Row],[Age]]&lt;18, "&lt;18", Table1[[#This Row],[Age]]&lt;= 29, "18-29", Table1[[#This Row],[Age]]&lt;= 44, "30-44",  Table1[[#This Row],[Age]]&lt;=59, "45-59", TRUE, "60+")</f>
        <v>18-29</v>
      </c>
      <c r="G883" t="s">
        <v>152</v>
      </c>
      <c r="H883" t="s">
        <v>29</v>
      </c>
      <c r="I883" t="s">
        <v>30</v>
      </c>
      <c r="J883">
        <v>2</v>
      </c>
      <c r="K883" t="s">
        <v>22</v>
      </c>
      <c r="L883" t="str" cm="1">
        <f t="array" ref="L883">_xlfn.IFS(Table1[[#This Row],[Customer Tenure in months]]&lt;=6, "0-6 months", Table1[[#This Row],[Customer Tenure in months]] &lt;=12, "7-12 months", Table1[[#This Row],[Customer Tenure in months]] &lt;=24, "1-2 years", TRUE, "2+ years")</f>
        <v>1-2 years</v>
      </c>
      <c r="M883">
        <v>23</v>
      </c>
      <c r="N883" t="s">
        <v>31</v>
      </c>
      <c r="O883" s="1">
        <v>5500</v>
      </c>
      <c r="P883">
        <v>8</v>
      </c>
      <c r="Q883" s="1">
        <v>44000</v>
      </c>
      <c r="R883">
        <v>23.24</v>
      </c>
      <c r="S883" t="s">
        <v>1091</v>
      </c>
      <c r="T883" t="s">
        <v>39</v>
      </c>
    </row>
    <row r="884" spans="1:20" x14ac:dyDescent="0.35">
      <c r="A884" s="22" t="s">
        <v>982</v>
      </c>
      <c r="B884" cm="1">
        <f t="array" ref="B884">IF(MATCH(Table1[[#This Row],[Customer ID]], Table1[Customer ID], 0) = ROW() - ROW(Table1[#Headers]), 1, 0)</f>
        <v>0</v>
      </c>
      <c r="C884" t="s">
        <v>983</v>
      </c>
      <c r="D884" s="2">
        <v>45713</v>
      </c>
      <c r="E884">
        <v>18</v>
      </c>
      <c r="F884" t="str" cm="1">
        <f t="array" ref="F884">_xlfn.IFS( Table1[[#This Row],[Age]]&lt;18, "&lt;18", Table1[[#This Row],[Age]]&lt;= 29, "18-29", Table1[[#This Row],[Age]]&lt;= 44, "30-44",  Table1[[#This Row],[Age]]&lt;=59, "45-59", TRUE, "60+")</f>
        <v>18-29</v>
      </c>
      <c r="G884" t="s">
        <v>152</v>
      </c>
      <c r="H884" t="s">
        <v>20</v>
      </c>
      <c r="I884" t="s">
        <v>30</v>
      </c>
      <c r="J884">
        <v>2</v>
      </c>
      <c r="K884" t="s">
        <v>22</v>
      </c>
      <c r="L884" t="str" cm="1">
        <f t="array" ref="L884">_xlfn.IFS(Table1[[#This Row],[Customer Tenure in months]]&lt;=6, "0-6 months", Table1[[#This Row],[Customer Tenure in months]] &lt;=12, "7-12 months", Table1[[#This Row],[Customer Tenure in months]] &lt;=24, "1-2 years", TRUE, "2+ years")</f>
        <v>1-2 years</v>
      </c>
      <c r="M884">
        <v>23</v>
      </c>
      <c r="N884" t="s">
        <v>46</v>
      </c>
      <c r="O884" s="1">
        <v>4500</v>
      </c>
      <c r="P884">
        <v>16</v>
      </c>
      <c r="Q884" s="1">
        <v>72000</v>
      </c>
      <c r="R884">
        <v>112.62</v>
      </c>
      <c r="S884" t="s">
        <v>1091</v>
      </c>
      <c r="T884" t="s">
        <v>39</v>
      </c>
    </row>
    <row r="885" spans="1:20" x14ac:dyDescent="0.35">
      <c r="A885" s="22" t="s">
        <v>984</v>
      </c>
      <c r="B885" cm="1">
        <f t="array" ref="B885">IF(MATCH(Table1[[#This Row],[Customer ID]], Table1[Customer ID], 0) = ROW() - ROW(Table1[#Headers]), 1, 0)</f>
        <v>1</v>
      </c>
      <c r="C885" t="s">
        <v>985</v>
      </c>
      <c r="D885" s="2">
        <v>45741</v>
      </c>
      <c r="E885">
        <v>59</v>
      </c>
      <c r="F885" t="str" cm="1">
        <f t="array" ref="F885">_xlfn.IFS( Table1[[#This Row],[Age]]&lt;18, "&lt;18", Table1[[#This Row],[Age]]&lt;= 29, "18-29", Table1[[#This Row],[Age]]&lt;= 44, "30-44",  Table1[[#This Row],[Age]]&lt;=59, "45-59", TRUE, "60+")</f>
        <v>45-59</v>
      </c>
      <c r="G885" t="s">
        <v>152</v>
      </c>
      <c r="H885" t="s">
        <v>41</v>
      </c>
      <c r="I885" t="s">
        <v>21</v>
      </c>
      <c r="J885">
        <v>2</v>
      </c>
      <c r="K885" t="s">
        <v>22</v>
      </c>
      <c r="L885" t="str" cm="1">
        <f t="array" ref="L885">_xlfn.IFS(Table1[[#This Row],[Customer Tenure in months]]&lt;=6, "0-6 months", Table1[[#This Row],[Customer Tenure in months]] &lt;=12, "7-12 months", Table1[[#This Row],[Customer Tenure in months]] &lt;=24, "1-2 years", TRUE, "2+ years")</f>
        <v>2+ years</v>
      </c>
      <c r="M885">
        <v>50</v>
      </c>
      <c r="N885" t="s">
        <v>71</v>
      </c>
      <c r="O885" s="1">
        <v>14500</v>
      </c>
      <c r="P885">
        <v>4</v>
      </c>
      <c r="Q885" s="1">
        <v>58000</v>
      </c>
      <c r="R885">
        <v>159.9</v>
      </c>
      <c r="S885" t="s">
        <v>1091</v>
      </c>
      <c r="T885" t="s">
        <v>39</v>
      </c>
    </row>
    <row r="886" spans="1:20" x14ac:dyDescent="0.35">
      <c r="A886" s="22" t="s">
        <v>984</v>
      </c>
      <c r="B886" cm="1">
        <f t="array" ref="B886">IF(MATCH(Table1[[#This Row],[Customer ID]], Table1[Customer ID], 0) = ROW() - ROW(Table1[#Headers]), 1, 0)</f>
        <v>0</v>
      </c>
      <c r="C886" t="s">
        <v>985</v>
      </c>
      <c r="D886" s="2">
        <v>45741</v>
      </c>
      <c r="E886">
        <v>59</v>
      </c>
      <c r="F886" t="str" cm="1">
        <f t="array" ref="F886">_xlfn.IFS( Table1[[#This Row],[Age]]&lt;18, "&lt;18", Table1[[#This Row],[Age]]&lt;= 29, "18-29", Table1[[#This Row],[Age]]&lt;= 44, "30-44",  Table1[[#This Row],[Age]]&lt;=59, "45-59", TRUE, "60+")</f>
        <v>45-59</v>
      </c>
      <c r="G886" t="s">
        <v>152</v>
      </c>
      <c r="H886" t="s">
        <v>36</v>
      </c>
      <c r="I886" t="s">
        <v>21</v>
      </c>
      <c r="J886">
        <v>2</v>
      </c>
      <c r="K886" t="s">
        <v>22</v>
      </c>
      <c r="L886" t="str" cm="1">
        <f t="array" ref="L886">_xlfn.IFS(Table1[[#This Row],[Customer Tenure in months]]&lt;=6, "0-6 months", Table1[[#This Row],[Customer Tenure in months]] &lt;=12, "7-12 months", Table1[[#This Row],[Customer Tenure in months]] &lt;=24, "1-2 years", TRUE, "2+ years")</f>
        <v>2+ years</v>
      </c>
      <c r="M886">
        <v>50</v>
      </c>
      <c r="N886" t="s">
        <v>38</v>
      </c>
      <c r="O886" s="1">
        <v>20000</v>
      </c>
      <c r="P886">
        <v>20</v>
      </c>
      <c r="Q886" s="1">
        <v>400000</v>
      </c>
      <c r="R886">
        <v>156.44</v>
      </c>
      <c r="S886" t="s">
        <v>1091</v>
      </c>
      <c r="T886" t="s">
        <v>39</v>
      </c>
    </row>
    <row r="887" spans="1:20" x14ac:dyDescent="0.35">
      <c r="A887" s="22" t="s">
        <v>984</v>
      </c>
      <c r="B887" cm="1">
        <f t="array" ref="B887">IF(MATCH(Table1[[#This Row],[Customer ID]], Table1[Customer ID], 0) = ROW() - ROW(Table1[#Headers]), 1, 0)</f>
        <v>0</v>
      </c>
      <c r="C887" t="s">
        <v>985</v>
      </c>
      <c r="D887" s="2">
        <v>45741</v>
      </c>
      <c r="E887">
        <v>59</v>
      </c>
      <c r="F887" t="str" cm="1">
        <f t="array" ref="F887">_xlfn.IFS( Table1[[#This Row],[Age]]&lt;18, "&lt;18", Table1[[#This Row],[Age]]&lt;= 29, "18-29", Table1[[#This Row],[Age]]&lt;= 44, "30-44",  Table1[[#This Row],[Age]]&lt;=59, "45-59", TRUE, "60+")</f>
        <v>45-59</v>
      </c>
      <c r="G887" t="s">
        <v>152</v>
      </c>
      <c r="H887" t="s">
        <v>29</v>
      </c>
      <c r="I887" t="s">
        <v>21</v>
      </c>
      <c r="J887">
        <v>2</v>
      </c>
      <c r="K887" t="s">
        <v>22</v>
      </c>
      <c r="L887" t="str" cm="1">
        <f t="array" ref="L887">_xlfn.IFS(Table1[[#This Row],[Customer Tenure in months]]&lt;=6, "0-6 months", Table1[[#This Row],[Customer Tenure in months]] &lt;=12, "7-12 months", Table1[[#This Row],[Customer Tenure in months]] &lt;=24, "1-2 years", TRUE, "2+ years")</f>
        <v>2+ years</v>
      </c>
      <c r="M887">
        <v>50</v>
      </c>
      <c r="N887" t="s">
        <v>83</v>
      </c>
      <c r="O887" s="1">
        <v>1000</v>
      </c>
      <c r="P887">
        <v>2</v>
      </c>
      <c r="Q887" s="1">
        <v>2000</v>
      </c>
      <c r="R887">
        <v>164.81</v>
      </c>
      <c r="S887" t="s">
        <v>1091</v>
      </c>
      <c r="T887" t="s">
        <v>39</v>
      </c>
    </row>
    <row r="888" spans="1:20" x14ac:dyDescent="0.35">
      <c r="A888" s="22" t="s">
        <v>986</v>
      </c>
      <c r="B888" cm="1">
        <f t="array" ref="B888">IF(MATCH(Table1[[#This Row],[Customer ID]], Table1[Customer ID], 0) = ROW() - ROW(Table1[#Headers]), 1, 0)</f>
        <v>1</v>
      </c>
      <c r="C888" t="s">
        <v>987</v>
      </c>
      <c r="D888" s="2">
        <v>45713</v>
      </c>
      <c r="E888">
        <v>29</v>
      </c>
      <c r="F888" t="str" cm="1">
        <f t="array" ref="F888">_xlfn.IFS( Table1[[#This Row],[Age]]&lt;18, "&lt;18", Table1[[#This Row],[Age]]&lt;= 29, "18-29", Table1[[#This Row],[Age]]&lt;= 44, "30-44",  Table1[[#This Row],[Age]]&lt;=59, "45-59", TRUE, "60+")</f>
        <v>18-29</v>
      </c>
      <c r="G888" t="s">
        <v>28</v>
      </c>
      <c r="H888" t="s">
        <v>29</v>
      </c>
      <c r="I888" t="s">
        <v>21</v>
      </c>
      <c r="J888">
        <v>3</v>
      </c>
      <c r="K888" t="s">
        <v>50</v>
      </c>
      <c r="L888" t="str" cm="1">
        <f t="array" ref="L888">_xlfn.IFS(Table1[[#This Row],[Customer Tenure in months]]&lt;=6, "0-6 months", Table1[[#This Row],[Customer Tenure in months]] &lt;=12, "7-12 months", Table1[[#This Row],[Customer Tenure in months]] &lt;=24, "1-2 years", TRUE, "2+ years")</f>
        <v>2+ years</v>
      </c>
      <c r="M888">
        <v>56</v>
      </c>
      <c r="N888" t="s">
        <v>83</v>
      </c>
      <c r="O888" s="1">
        <v>1000</v>
      </c>
      <c r="P888">
        <v>12</v>
      </c>
      <c r="Q888" s="1">
        <v>12000</v>
      </c>
      <c r="R888">
        <v>31.28</v>
      </c>
      <c r="S888" t="s">
        <v>96</v>
      </c>
      <c r="T888" t="s">
        <v>24</v>
      </c>
    </row>
    <row r="889" spans="1:20" x14ac:dyDescent="0.35">
      <c r="A889" s="22" t="s">
        <v>986</v>
      </c>
      <c r="B889" cm="1">
        <f t="array" ref="B889">IF(MATCH(Table1[[#This Row],[Customer ID]], Table1[Customer ID], 0) = ROW() - ROW(Table1[#Headers]), 1, 0)</f>
        <v>0</v>
      </c>
      <c r="C889" t="s">
        <v>987</v>
      </c>
      <c r="D889" s="2">
        <v>45713</v>
      </c>
      <c r="E889">
        <v>29</v>
      </c>
      <c r="F889" t="str" cm="1">
        <f t="array" ref="F889">_xlfn.IFS( Table1[[#This Row],[Age]]&lt;18, "&lt;18", Table1[[#This Row],[Age]]&lt;= 29, "18-29", Table1[[#This Row],[Age]]&lt;= 44, "30-44",  Table1[[#This Row],[Age]]&lt;=59, "45-59", TRUE, "60+")</f>
        <v>18-29</v>
      </c>
      <c r="G889" t="s">
        <v>28</v>
      </c>
      <c r="H889" t="s">
        <v>36</v>
      </c>
      <c r="I889" t="s">
        <v>21</v>
      </c>
      <c r="J889">
        <v>3</v>
      </c>
      <c r="K889" t="s">
        <v>50</v>
      </c>
      <c r="L889" t="str" cm="1">
        <f t="array" ref="L889">_xlfn.IFS(Table1[[#This Row],[Customer Tenure in months]]&lt;=6, "0-6 months", Table1[[#This Row],[Customer Tenure in months]] &lt;=12, "7-12 months", Table1[[#This Row],[Customer Tenure in months]] &lt;=24, "1-2 years", TRUE, "2+ years")</f>
        <v>2+ years</v>
      </c>
      <c r="M889">
        <v>56</v>
      </c>
      <c r="N889" t="s">
        <v>115</v>
      </c>
      <c r="O889" s="1">
        <v>25000</v>
      </c>
      <c r="P889">
        <v>4</v>
      </c>
      <c r="Q889" s="1">
        <v>100000</v>
      </c>
      <c r="R889">
        <v>163.92</v>
      </c>
      <c r="S889" t="s">
        <v>96</v>
      </c>
      <c r="T889" t="s">
        <v>24</v>
      </c>
    </row>
    <row r="890" spans="1:20" x14ac:dyDescent="0.35">
      <c r="A890" s="22" t="s">
        <v>986</v>
      </c>
      <c r="B890" cm="1">
        <f t="array" ref="B890">IF(MATCH(Table1[[#This Row],[Customer ID]], Table1[Customer ID], 0) = ROW() - ROW(Table1[#Headers]), 1, 0)</f>
        <v>0</v>
      </c>
      <c r="C890" t="s">
        <v>987</v>
      </c>
      <c r="D890" s="2">
        <v>45713</v>
      </c>
      <c r="E890">
        <v>29</v>
      </c>
      <c r="F890" t="str" cm="1">
        <f t="array" ref="F890">_xlfn.IFS( Table1[[#This Row],[Age]]&lt;18, "&lt;18", Table1[[#This Row],[Age]]&lt;= 29, "18-29", Table1[[#This Row],[Age]]&lt;= 44, "30-44",  Table1[[#This Row],[Age]]&lt;=59, "45-59", TRUE, "60+")</f>
        <v>18-29</v>
      </c>
      <c r="G890" t="s">
        <v>28</v>
      </c>
      <c r="H890" t="s">
        <v>20</v>
      </c>
      <c r="I890" t="s">
        <v>21</v>
      </c>
      <c r="J890">
        <v>3</v>
      </c>
      <c r="K890" t="s">
        <v>50</v>
      </c>
      <c r="L890" t="str" cm="1">
        <f t="array" ref="L890">_xlfn.IFS(Table1[[#This Row],[Customer Tenure in months]]&lt;=6, "0-6 months", Table1[[#This Row],[Customer Tenure in months]] &lt;=12, "7-12 months", Table1[[#This Row],[Customer Tenure in months]] &lt;=24, "1-2 years", TRUE, "2+ years")</f>
        <v>2+ years</v>
      </c>
      <c r="M890">
        <v>56</v>
      </c>
      <c r="N890" t="s">
        <v>46</v>
      </c>
      <c r="O890" s="1">
        <v>4500</v>
      </c>
      <c r="P890">
        <v>14</v>
      </c>
      <c r="Q890" s="1">
        <v>63000</v>
      </c>
      <c r="R890">
        <v>88.1</v>
      </c>
      <c r="S890" t="s">
        <v>96</v>
      </c>
      <c r="T890" t="s">
        <v>24</v>
      </c>
    </row>
    <row r="891" spans="1:20" x14ac:dyDescent="0.35">
      <c r="A891" s="22" t="s">
        <v>988</v>
      </c>
      <c r="B891" cm="1">
        <f t="array" ref="B891">IF(MATCH(Table1[[#This Row],[Customer ID]], Table1[Customer ID], 0) = ROW() - ROW(Table1[#Headers]), 1, 0)</f>
        <v>1</v>
      </c>
      <c r="C891" t="s">
        <v>989</v>
      </c>
      <c r="D891" s="2">
        <v>45713</v>
      </c>
      <c r="E891">
        <v>47</v>
      </c>
      <c r="F891" t="str" cm="1">
        <f t="array" ref="F891">_xlfn.IFS( Table1[[#This Row],[Age]]&lt;18, "&lt;18", Table1[[#This Row],[Age]]&lt;= 29, "18-29", Table1[[#This Row],[Age]]&lt;= 44, "30-44",  Table1[[#This Row],[Age]]&lt;=59, "45-59", TRUE, "60+")</f>
        <v>45-59</v>
      </c>
      <c r="G891" t="s">
        <v>213</v>
      </c>
      <c r="H891" t="s">
        <v>36</v>
      </c>
      <c r="I891" t="s">
        <v>30</v>
      </c>
      <c r="J891">
        <v>1</v>
      </c>
      <c r="K891" t="s">
        <v>37</v>
      </c>
      <c r="L891" t="str" cm="1">
        <f t="array" ref="L891">_xlfn.IFS(Table1[[#This Row],[Customer Tenure in months]]&lt;=6, "0-6 months", Table1[[#This Row],[Customer Tenure in months]] &lt;=12, "7-12 months", Table1[[#This Row],[Customer Tenure in months]] &lt;=24, "1-2 years", TRUE, "2+ years")</f>
        <v>1-2 years</v>
      </c>
      <c r="M891">
        <v>19</v>
      </c>
      <c r="N891" t="s">
        <v>71</v>
      </c>
      <c r="O891" s="1">
        <v>14500</v>
      </c>
      <c r="P891">
        <v>17</v>
      </c>
      <c r="Q891" s="1">
        <v>246500</v>
      </c>
      <c r="R891">
        <v>30.75</v>
      </c>
      <c r="S891" t="s">
        <v>284</v>
      </c>
      <c r="T891" t="s">
        <v>24</v>
      </c>
    </row>
    <row r="892" spans="1:20" x14ac:dyDescent="0.35">
      <c r="A892" s="22" t="s">
        <v>988</v>
      </c>
      <c r="B892" cm="1">
        <f t="array" ref="B892">IF(MATCH(Table1[[#This Row],[Customer ID]], Table1[Customer ID], 0) = ROW() - ROW(Table1[#Headers]), 1, 0)</f>
        <v>0</v>
      </c>
      <c r="C892" t="s">
        <v>989</v>
      </c>
      <c r="D892" s="2">
        <v>45713</v>
      </c>
      <c r="E892">
        <v>47</v>
      </c>
      <c r="F892" t="str" cm="1">
        <f t="array" ref="F892">_xlfn.IFS( Table1[[#This Row],[Age]]&lt;18, "&lt;18", Table1[[#This Row],[Age]]&lt;= 29, "18-29", Table1[[#This Row],[Age]]&lt;= 44, "30-44",  Table1[[#This Row],[Age]]&lt;=59, "45-59", TRUE, "60+")</f>
        <v>45-59</v>
      </c>
      <c r="G892" t="s">
        <v>213</v>
      </c>
      <c r="H892" t="s">
        <v>29</v>
      </c>
      <c r="I892" t="s">
        <v>30</v>
      </c>
      <c r="J892">
        <v>1</v>
      </c>
      <c r="K892" t="s">
        <v>37</v>
      </c>
      <c r="L892" t="str" cm="1">
        <f t="array" ref="L892">_xlfn.IFS(Table1[[#This Row],[Customer Tenure in months]]&lt;=6, "0-6 months", Table1[[#This Row],[Customer Tenure in months]] &lt;=12, "7-12 months", Table1[[#This Row],[Customer Tenure in months]] &lt;=24, "1-2 years", TRUE, "2+ years")</f>
        <v>1-2 years</v>
      </c>
      <c r="M892">
        <v>19</v>
      </c>
      <c r="N892" t="s">
        <v>87</v>
      </c>
      <c r="O892" s="1">
        <v>7500</v>
      </c>
      <c r="P892">
        <v>5</v>
      </c>
      <c r="Q892" s="1">
        <v>37500</v>
      </c>
      <c r="R892">
        <v>157.55000000000001</v>
      </c>
      <c r="S892" t="s">
        <v>284</v>
      </c>
      <c r="T892" t="s">
        <v>24</v>
      </c>
    </row>
    <row r="893" spans="1:20" x14ac:dyDescent="0.35">
      <c r="A893" s="22" t="s">
        <v>990</v>
      </c>
      <c r="B893" cm="1">
        <f t="array" ref="B893">IF(MATCH(Table1[[#This Row],[Customer ID]], Table1[Customer ID], 0) = ROW() - ROW(Table1[#Headers]), 1, 0)</f>
        <v>1</v>
      </c>
      <c r="C893" t="s">
        <v>991</v>
      </c>
      <c r="D893" s="2">
        <v>45741</v>
      </c>
      <c r="E893">
        <v>68</v>
      </c>
      <c r="F893" t="str" cm="1">
        <f t="array" ref="F893">_xlfn.IFS( Table1[[#This Row],[Age]]&lt;18, "&lt;18", Table1[[#This Row],[Age]]&lt;= 29, "18-29", Table1[[#This Row],[Age]]&lt;= 44, "30-44",  Table1[[#This Row],[Age]]&lt;=59, "45-59", TRUE, "60+")</f>
        <v>60+</v>
      </c>
      <c r="G893" t="s">
        <v>110</v>
      </c>
      <c r="H893" t="s">
        <v>41</v>
      </c>
      <c r="I893" t="s">
        <v>30</v>
      </c>
      <c r="J893">
        <v>1</v>
      </c>
      <c r="K893" t="s">
        <v>37</v>
      </c>
      <c r="L893" t="str" cm="1">
        <f t="array" ref="L893">_xlfn.IFS(Table1[[#This Row],[Customer Tenure in months]]&lt;=6, "0-6 months", Table1[[#This Row],[Customer Tenure in months]] &lt;=12, "7-12 months", Table1[[#This Row],[Customer Tenure in months]] &lt;=24, "1-2 years", TRUE, "2+ years")</f>
        <v>2+ years</v>
      </c>
      <c r="M893">
        <v>55</v>
      </c>
      <c r="N893" t="s">
        <v>42</v>
      </c>
      <c r="O893" s="1">
        <v>9000</v>
      </c>
      <c r="P893">
        <v>13</v>
      </c>
      <c r="Q893" s="1">
        <v>117000</v>
      </c>
      <c r="R893">
        <v>67.989999999999995</v>
      </c>
      <c r="S893" t="s">
        <v>1091</v>
      </c>
      <c r="T893" t="s">
        <v>39</v>
      </c>
    </row>
    <row r="894" spans="1:20" x14ac:dyDescent="0.35">
      <c r="A894" s="22" t="s">
        <v>992</v>
      </c>
      <c r="B894" cm="1">
        <f t="array" ref="B894">IF(MATCH(Table1[[#This Row],[Customer ID]], Table1[Customer ID], 0) = ROW() - ROW(Table1[#Headers]), 1, 0)</f>
        <v>1</v>
      </c>
      <c r="C894" t="s">
        <v>993</v>
      </c>
      <c r="D894" s="2">
        <v>45682</v>
      </c>
      <c r="E894">
        <v>71</v>
      </c>
      <c r="F894" t="str" cm="1">
        <f t="array" ref="F894">_xlfn.IFS( Table1[[#This Row],[Age]]&lt;18, "&lt;18", Table1[[#This Row],[Age]]&lt;= 29, "18-29", Table1[[#This Row],[Age]]&lt;= 44, "30-44",  Table1[[#This Row],[Age]]&lt;=59, "45-59", TRUE, "60+")</f>
        <v>60+</v>
      </c>
      <c r="G894" t="s">
        <v>49</v>
      </c>
      <c r="H894" t="s">
        <v>36</v>
      </c>
      <c r="I894" t="s">
        <v>30</v>
      </c>
      <c r="J894">
        <v>2</v>
      </c>
      <c r="K894" t="s">
        <v>22</v>
      </c>
      <c r="L894" t="str" cm="1">
        <f t="array" ref="L894">_xlfn.IFS(Table1[[#This Row],[Customer Tenure in months]]&lt;=6, "0-6 months", Table1[[#This Row],[Customer Tenure in months]] &lt;=12, "7-12 months", Table1[[#This Row],[Customer Tenure in months]] &lt;=24, "1-2 years", TRUE, "2+ years")</f>
        <v>2+ years</v>
      </c>
      <c r="M894">
        <v>49</v>
      </c>
      <c r="N894" t="s">
        <v>105</v>
      </c>
      <c r="O894" s="1">
        <v>75000</v>
      </c>
      <c r="P894">
        <v>18</v>
      </c>
      <c r="Q894" s="1">
        <v>1350000</v>
      </c>
      <c r="R894">
        <v>80.7</v>
      </c>
      <c r="S894" t="s">
        <v>1091</v>
      </c>
      <c r="T894" t="s">
        <v>39</v>
      </c>
    </row>
    <row r="895" spans="1:20" x14ac:dyDescent="0.35">
      <c r="A895" s="22" t="s">
        <v>994</v>
      </c>
      <c r="B895" cm="1">
        <f t="array" ref="B895">IF(MATCH(Table1[[#This Row],[Customer ID]], Table1[Customer ID], 0) = ROW() - ROW(Table1[#Headers]), 1, 0)</f>
        <v>1</v>
      </c>
      <c r="C895" t="s">
        <v>995</v>
      </c>
      <c r="D895" s="2">
        <v>45741</v>
      </c>
      <c r="E895">
        <v>56</v>
      </c>
      <c r="F895" t="str" cm="1">
        <f t="array" ref="F895">_xlfn.IFS( Table1[[#This Row],[Age]]&lt;18, "&lt;18", Table1[[#This Row],[Age]]&lt;= 29, "18-29", Table1[[#This Row],[Age]]&lt;= 44, "30-44",  Table1[[#This Row],[Age]]&lt;=59, "45-59", TRUE, "60+")</f>
        <v>45-59</v>
      </c>
      <c r="G895" t="s">
        <v>152</v>
      </c>
      <c r="H895" t="s">
        <v>29</v>
      </c>
      <c r="I895" t="s">
        <v>21</v>
      </c>
      <c r="J895">
        <v>5</v>
      </c>
      <c r="K895" t="s">
        <v>55</v>
      </c>
      <c r="L895" t="str" cm="1">
        <f t="array" ref="L895">_xlfn.IFS(Table1[[#This Row],[Customer Tenure in months]]&lt;=6, "0-6 months", Table1[[#This Row],[Customer Tenure in months]] &lt;=12, "7-12 months", Table1[[#This Row],[Customer Tenure in months]] &lt;=24, "1-2 years", TRUE, "2+ years")</f>
        <v>2+ years</v>
      </c>
      <c r="M895">
        <v>53</v>
      </c>
      <c r="N895" t="s">
        <v>31</v>
      </c>
      <c r="O895" s="1">
        <v>5500</v>
      </c>
      <c r="P895">
        <v>18</v>
      </c>
      <c r="Q895" s="1">
        <v>99000</v>
      </c>
      <c r="R895">
        <v>128.94999999999999</v>
      </c>
      <c r="S895" t="s">
        <v>1091</v>
      </c>
      <c r="T895" t="s">
        <v>39</v>
      </c>
    </row>
    <row r="896" spans="1:20" x14ac:dyDescent="0.35">
      <c r="A896" s="22" t="s">
        <v>996</v>
      </c>
      <c r="B896" cm="1">
        <f t="array" ref="B896">IF(MATCH(Table1[[#This Row],[Customer ID]], Table1[Customer ID], 0) = ROW() - ROW(Table1[#Headers]), 1, 0)</f>
        <v>1</v>
      </c>
      <c r="C896" t="s">
        <v>997</v>
      </c>
      <c r="D896" s="2">
        <v>45741</v>
      </c>
      <c r="E896">
        <v>60</v>
      </c>
      <c r="F896" t="str" cm="1">
        <f t="array" ref="F896">_xlfn.IFS( Table1[[#This Row],[Age]]&lt;18, "&lt;18", Table1[[#This Row],[Age]]&lt;= 29, "18-29", Table1[[#This Row],[Age]]&lt;= 44, "30-44",  Table1[[#This Row],[Age]]&lt;=59, "45-59", TRUE, "60+")</f>
        <v>60+</v>
      </c>
      <c r="G896" t="s">
        <v>82</v>
      </c>
      <c r="H896" t="s">
        <v>20</v>
      </c>
      <c r="I896" t="s">
        <v>21</v>
      </c>
      <c r="J896">
        <v>1</v>
      </c>
      <c r="K896" t="s">
        <v>37</v>
      </c>
      <c r="L896" t="str" cm="1">
        <f t="array" ref="L896">_xlfn.IFS(Table1[[#This Row],[Customer Tenure in months]]&lt;=6, "0-6 months", Table1[[#This Row],[Customer Tenure in months]] &lt;=12, "7-12 months", Table1[[#This Row],[Customer Tenure in months]] &lt;=24, "1-2 years", TRUE, "2+ years")</f>
        <v>2+ years</v>
      </c>
      <c r="M896">
        <v>57</v>
      </c>
      <c r="N896" t="s">
        <v>51</v>
      </c>
      <c r="O896" s="1">
        <v>9000</v>
      </c>
      <c r="P896">
        <v>17</v>
      </c>
      <c r="Q896" s="1">
        <v>153000</v>
      </c>
      <c r="R896">
        <v>43.14</v>
      </c>
      <c r="S896" t="s">
        <v>96</v>
      </c>
      <c r="T896" t="s">
        <v>24</v>
      </c>
    </row>
    <row r="897" spans="1:20" x14ac:dyDescent="0.35">
      <c r="A897" s="22" t="s">
        <v>996</v>
      </c>
      <c r="B897" cm="1">
        <f t="array" ref="B897">IF(MATCH(Table1[[#This Row],[Customer ID]], Table1[Customer ID], 0) = ROW() - ROW(Table1[#Headers]), 1, 0)</f>
        <v>0</v>
      </c>
      <c r="C897" t="s">
        <v>997</v>
      </c>
      <c r="D897" s="2">
        <v>45741</v>
      </c>
      <c r="E897">
        <v>60</v>
      </c>
      <c r="F897" t="str" cm="1">
        <f t="array" ref="F897">_xlfn.IFS( Table1[[#This Row],[Age]]&lt;18, "&lt;18", Table1[[#This Row],[Age]]&lt;= 29, "18-29", Table1[[#This Row],[Age]]&lt;= 44, "30-44",  Table1[[#This Row],[Age]]&lt;=59, "45-59", TRUE, "60+")</f>
        <v>60+</v>
      </c>
      <c r="G897" t="s">
        <v>82</v>
      </c>
      <c r="H897" t="s">
        <v>36</v>
      </c>
      <c r="I897" t="s">
        <v>21</v>
      </c>
      <c r="J897">
        <v>1</v>
      </c>
      <c r="K897" t="s">
        <v>37</v>
      </c>
      <c r="L897" t="str" cm="1">
        <f t="array" ref="L897">_xlfn.IFS(Table1[[#This Row],[Customer Tenure in months]]&lt;=6, "0-6 months", Table1[[#This Row],[Customer Tenure in months]] &lt;=12, "7-12 months", Table1[[#This Row],[Customer Tenure in months]] &lt;=24, "1-2 years", TRUE, "2+ years")</f>
        <v>2+ years</v>
      </c>
      <c r="M897">
        <v>57</v>
      </c>
      <c r="N897" t="s">
        <v>62</v>
      </c>
      <c r="O897" s="1">
        <v>24000</v>
      </c>
      <c r="P897">
        <v>6</v>
      </c>
      <c r="Q897" s="1">
        <v>144000</v>
      </c>
      <c r="R897">
        <v>104.51</v>
      </c>
      <c r="S897" t="s">
        <v>96</v>
      </c>
      <c r="T897" t="s">
        <v>24</v>
      </c>
    </row>
    <row r="898" spans="1:20" x14ac:dyDescent="0.35">
      <c r="A898" s="22" t="s">
        <v>998</v>
      </c>
      <c r="B898" cm="1">
        <f t="array" ref="B898">IF(MATCH(Table1[[#This Row],[Customer ID]], Table1[Customer ID], 0) = ROW() - ROW(Table1[#Headers]), 1, 0)</f>
        <v>1</v>
      </c>
      <c r="C898" t="s">
        <v>999</v>
      </c>
      <c r="D898" s="2">
        <v>45682</v>
      </c>
      <c r="E898">
        <v>49</v>
      </c>
      <c r="F898" t="str" cm="1">
        <f t="array" ref="F898">_xlfn.IFS( Table1[[#This Row],[Age]]&lt;18, "&lt;18", Table1[[#This Row],[Age]]&lt;= 29, "18-29", Table1[[#This Row],[Age]]&lt;= 44, "30-44",  Table1[[#This Row],[Age]]&lt;=59, "45-59", TRUE, "60+")</f>
        <v>45-59</v>
      </c>
      <c r="G898" t="s">
        <v>189</v>
      </c>
      <c r="H898" t="s">
        <v>41</v>
      </c>
      <c r="I898" t="s">
        <v>30</v>
      </c>
      <c r="J898">
        <v>1</v>
      </c>
      <c r="K898" t="s">
        <v>37</v>
      </c>
      <c r="L898" t="str" cm="1">
        <f t="array" ref="L898">_xlfn.IFS(Table1[[#This Row],[Customer Tenure in months]]&lt;=6, "0-6 months", Table1[[#This Row],[Customer Tenure in months]] &lt;=12, "7-12 months", Table1[[#This Row],[Customer Tenure in months]] &lt;=24, "1-2 years", TRUE, "2+ years")</f>
        <v>7-12 months</v>
      </c>
      <c r="M898">
        <v>8</v>
      </c>
      <c r="N898" t="s">
        <v>38</v>
      </c>
      <c r="O898" s="1">
        <v>20000</v>
      </c>
      <c r="P898">
        <v>19</v>
      </c>
      <c r="Q898" s="1">
        <v>380000</v>
      </c>
      <c r="R898">
        <v>161.16999999999999</v>
      </c>
      <c r="S898" t="s">
        <v>1091</v>
      </c>
      <c r="T898" t="s">
        <v>39</v>
      </c>
    </row>
    <row r="899" spans="1:20" x14ac:dyDescent="0.35">
      <c r="A899" s="22" t="s">
        <v>998</v>
      </c>
      <c r="B899" cm="1">
        <f t="array" ref="B899">IF(MATCH(Table1[[#This Row],[Customer ID]], Table1[Customer ID], 0) = ROW() - ROW(Table1[#Headers]), 1, 0)</f>
        <v>0</v>
      </c>
      <c r="C899" t="s">
        <v>999</v>
      </c>
      <c r="D899" s="2">
        <v>45682</v>
      </c>
      <c r="E899">
        <v>49</v>
      </c>
      <c r="F899" t="str" cm="1">
        <f t="array" ref="F899">_xlfn.IFS( Table1[[#This Row],[Age]]&lt;18, "&lt;18", Table1[[#This Row],[Age]]&lt;= 29, "18-29", Table1[[#This Row],[Age]]&lt;= 44, "30-44",  Table1[[#This Row],[Age]]&lt;=59, "45-59", TRUE, "60+")</f>
        <v>45-59</v>
      </c>
      <c r="G899" t="s">
        <v>189</v>
      </c>
      <c r="H899" t="s">
        <v>20</v>
      </c>
      <c r="I899" t="s">
        <v>30</v>
      </c>
      <c r="J899">
        <v>1</v>
      </c>
      <c r="K899" t="s">
        <v>37</v>
      </c>
      <c r="L899" t="str" cm="1">
        <f t="array" ref="L899">_xlfn.IFS(Table1[[#This Row],[Customer Tenure in months]]&lt;=6, "0-6 months", Table1[[#This Row],[Customer Tenure in months]] &lt;=12, "7-12 months", Table1[[#This Row],[Customer Tenure in months]] &lt;=24, "1-2 years", TRUE, "2+ years")</f>
        <v>7-12 months</v>
      </c>
      <c r="M899">
        <v>8</v>
      </c>
      <c r="N899" t="s">
        <v>46</v>
      </c>
      <c r="O899" s="1">
        <v>4500</v>
      </c>
      <c r="P899">
        <v>10</v>
      </c>
      <c r="Q899" s="1">
        <v>45000</v>
      </c>
      <c r="R899">
        <v>70.39</v>
      </c>
      <c r="S899" t="s">
        <v>1091</v>
      </c>
      <c r="T899" t="s">
        <v>39</v>
      </c>
    </row>
    <row r="900" spans="1:20" x14ac:dyDescent="0.35">
      <c r="A900" s="22" t="s">
        <v>998</v>
      </c>
      <c r="B900" cm="1">
        <f t="array" ref="B900">IF(MATCH(Table1[[#This Row],[Customer ID]], Table1[Customer ID], 0) = ROW() - ROW(Table1[#Headers]), 1, 0)</f>
        <v>0</v>
      </c>
      <c r="C900" t="s">
        <v>999</v>
      </c>
      <c r="D900" s="2">
        <v>45682</v>
      </c>
      <c r="E900">
        <v>49</v>
      </c>
      <c r="F900" t="str" cm="1">
        <f t="array" ref="F900">_xlfn.IFS( Table1[[#This Row],[Age]]&lt;18, "&lt;18", Table1[[#This Row],[Age]]&lt;= 29, "18-29", Table1[[#This Row],[Age]]&lt;= 44, "30-44",  Table1[[#This Row],[Age]]&lt;=59, "45-59", TRUE, "60+")</f>
        <v>45-59</v>
      </c>
      <c r="G900" t="s">
        <v>189</v>
      </c>
      <c r="H900" t="s">
        <v>36</v>
      </c>
      <c r="I900" t="s">
        <v>30</v>
      </c>
      <c r="J900">
        <v>1</v>
      </c>
      <c r="K900" t="s">
        <v>37</v>
      </c>
      <c r="L900" t="str" cm="1">
        <f t="array" ref="L900">_xlfn.IFS(Table1[[#This Row],[Customer Tenure in months]]&lt;=6, "0-6 months", Table1[[#This Row],[Customer Tenure in months]] &lt;=12, "7-12 months", Table1[[#This Row],[Customer Tenure in months]] &lt;=24, "1-2 years", TRUE, "2+ years")</f>
        <v>7-12 months</v>
      </c>
      <c r="M900">
        <v>8</v>
      </c>
      <c r="N900" t="s">
        <v>65</v>
      </c>
      <c r="O900" s="1">
        <v>30000</v>
      </c>
      <c r="P900">
        <v>17</v>
      </c>
      <c r="Q900" s="1">
        <v>510000</v>
      </c>
      <c r="R900">
        <v>143.01</v>
      </c>
      <c r="S900" t="s">
        <v>1091</v>
      </c>
      <c r="T900" t="s">
        <v>39</v>
      </c>
    </row>
    <row r="901" spans="1:20" x14ac:dyDescent="0.35">
      <c r="A901" s="22" t="s">
        <v>1000</v>
      </c>
      <c r="B901" cm="1">
        <f t="array" ref="B901">IF(MATCH(Table1[[#This Row],[Customer ID]], Table1[Customer ID], 0) = ROW() - ROW(Table1[#Headers]), 1, 0)</f>
        <v>1</v>
      </c>
      <c r="C901" t="s">
        <v>451</v>
      </c>
      <c r="D901" s="2">
        <v>45741</v>
      </c>
      <c r="E901">
        <v>29</v>
      </c>
      <c r="F901" t="str" cm="1">
        <f t="array" ref="F901">_xlfn.IFS( Table1[[#This Row],[Age]]&lt;18, "&lt;18", Table1[[#This Row],[Age]]&lt;= 29, "18-29", Table1[[#This Row],[Age]]&lt;= 44, "30-44",  Table1[[#This Row],[Age]]&lt;=59, "45-59", TRUE, "60+")</f>
        <v>18-29</v>
      </c>
      <c r="G901" t="s">
        <v>258</v>
      </c>
      <c r="H901" t="s">
        <v>29</v>
      </c>
      <c r="I901" t="s">
        <v>21</v>
      </c>
      <c r="J901">
        <v>4</v>
      </c>
      <c r="K901" t="s">
        <v>114</v>
      </c>
      <c r="L901" t="str" cm="1">
        <f t="array" ref="L901">_xlfn.IFS(Table1[[#This Row],[Customer Tenure in months]]&lt;=6, "0-6 months", Table1[[#This Row],[Customer Tenure in months]] &lt;=12, "7-12 months", Table1[[#This Row],[Customer Tenure in months]] &lt;=24, "1-2 years", TRUE, "2+ years")</f>
        <v>2+ years</v>
      </c>
      <c r="M901">
        <v>53</v>
      </c>
      <c r="N901" t="s">
        <v>83</v>
      </c>
      <c r="O901" s="1">
        <v>1000</v>
      </c>
      <c r="P901">
        <v>5</v>
      </c>
      <c r="Q901" s="1">
        <v>5000</v>
      </c>
      <c r="R901">
        <v>12.91</v>
      </c>
      <c r="S901" t="s">
        <v>284</v>
      </c>
      <c r="T901" t="s">
        <v>24</v>
      </c>
    </row>
    <row r="902" spans="1:20" x14ac:dyDescent="0.35">
      <c r="A902" s="22" t="s">
        <v>1000</v>
      </c>
      <c r="B902" cm="1">
        <f t="array" ref="B902">IF(MATCH(Table1[[#This Row],[Customer ID]], Table1[Customer ID], 0) = ROW() - ROW(Table1[#Headers]), 1, 0)</f>
        <v>0</v>
      </c>
      <c r="C902" t="s">
        <v>451</v>
      </c>
      <c r="D902" s="2">
        <v>45741</v>
      </c>
      <c r="E902">
        <v>29</v>
      </c>
      <c r="F902" t="str" cm="1">
        <f t="array" ref="F902">_xlfn.IFS( Table1[[#This Row],[Age]]&lt;18, "&lt;18", Table1[[#This Row],[Age]]&lt;= 29, "18-29", Table1[[#This Row],[Age]]&lt;= 44, "30-44",  Table1[[#This Row],[Age]]&lt;=59, "45-59", TRUE, "60+")</f>
        <v>18-29</v>
      </c>
      <c r="G902" t="s">
        <v>258</v>
      </c>
      <c r="H902" t="s">
        <v>41</v>
      </c>
      <c r="I902" t="s">
        <v>21</v>
      </c>
      <c r="J902">
        <v>4</v>
      </c>
      <c r="K902" t="s">
        <v>114</v>
      </c>
      <c r="L902" t="str" cm="1">
        <f t="array" ref="L902">_xlfn.IFS(Table1[[#This Row],[Customer Tenure in months]]&lt;=6, "0-6 months", Table1[[#This Row],[Customer Tenure in months]] &lt;=12, "7-12 months", Table1[[#This Row],[Customer Tenure in months]] &lt;=24, "1-2 years", TRUE, "2+ years")</f>
        <v>2+ years</v>
      </c>
      <c r="M902">
        <v>53</v>
      </c>
      <c r="N902" t="s">
        <v>71</v>
      </c>
      <c r="O902" s="1">
        <v>14500</v>
      </c>
      <c r="P902">
        <v>3</v>
      </c>
      <c r="Q902" s="1">
        <v>43500</v>
      </c>
      <c r="R902">
        <v>43.35</v>
      </c>
      <c r="S902" t="s">
        <v>284</v>
      </c>
      <c r="T902" t="s">
        <v>24</v>
      </c>
    </row>
    <row r="903" spans="1:20" x14ac:dyDescent="0.35">
      <c r="A903" s="22" t="s">
        <v>1001</v>
      </c>
      <c r="B903" cm="1">
        <f t="array" ref="B903">IF(MATCH(Table1[[#This Row],[Customer ID]], Table1[Customer ID], 0) = ROW() - ROW(Table1[#Headers]), 1, 0)</f>
        <v>1</v>
      </c>
      <c r="C903" t="s">
        <v>1002</v>
      </c>
      <c r="D903" s="2">
        <v>45741</v>
      </c>
      <c r="E903">
        <v>67</v>
      </c>
      <c r="F903" t="str" cm="1">
        <f t="array" ref="F903">_xlfn.IFS( Table1[[#This Row],[Age]]&lt;18, "&lt;18", Table1[[#This Row],[Age]]&lt;= 29, "18-29", Table1[[#This Row],[Age]]&lt;= 44, "30-44",  Table1[[#This Row],[Age]]&lt;=59, "45-59", TRUE, "60+")</f>
        <v>60+</v>
      </c>
      <c r="G903" t="s">
        <v>75</v>
      </c>
      <c r="H903" t="s">
        <v>29</v>
      </c>
      <c r="I903" t="s">
        <v>30</v>
      </c>
      <c r="J903">
        <v>5</v>
      </c>
      <c r="K903" t="s">
        <v>55</v>
      </c>
      <c r="L903" t="str" cm="1">
        <f t="array" ref="L903">_xlfn.IFS(Table1[[#This Row],[Customer Tenure in months]]&lt;=6, "0-6 months", Table1[[#This Row],[Customer Tenure in months]] &lt;=12, "7-12 months", Table1[[#This Row],[Customer Tenure in months]] &lt;=24, "1-2 years", TRUE, "2+ years")</f>
        <v>2+ years</v>
      </c>
      <c r="M903">
        <v>56</v>
      </c>
      <c r="N903" t="s">
        <v>31</v>
      </c>
      <c r="O903" s="1">
        <v>5500</v>
      </c>
      <c r="P903">
        <v>14</v>
      </c>
      <c r="Q903" s="1">
        <v>77000</v>
      </c>
      <c r="R903">
        <v>146.47999999999999</v>
      </c>
      <c r="S903" t="s">
        <v>1091</v>
      </c>
      <c r="T903" t="s">
        <v>39</v>
      </c>
    </row>
    <row r="904" spans="1:20" x14ac:dyDescent="0.35">
      <c r="A904" s="22" t="s">
        <v>1001</v>
      </c>
      <c r="B904" cm="1">
        <f t="array" ref="B904">IF(MATCH(Table1[[#This Row],[Customer ID]], Table1[Customer ID], 0) = ROW() - ROW(Table1[#Headers]), 1, 0)</f>
        <v>0</v>
      </c>
      <c r="C904" t="s">
        <v>1002</v>
      </c>
      <c r="D904" s="2">
        <v>45741</v>
      </c>
      <c r="E904">
        <v>67</v>
      </c>
      <c r="F904" t="str" cm="1">
        <f t="array" ref="F904">_xlfn.IFS( Table1[[#This Row],[Age]]&lt;18, "&lt;18", Table1[[#This Row],[Age]]&lt;= 29, "18-29", Table1[[#This Row],[Age]]&lt;= 44, "30-44",  Table1[[#This Row],[Age]]&lt;=59, "45-59", TRUE, "60+")</f>
        <v>60+</v>
      </c>
      <c r="G904" t="s">
        <v>75</v>
      </c>
      <c r="H904" t="s">
        <v>36</v>
      </c>
      <c r="I904" t="s">
        <v>30</v>
      </c>
      <c r="J904">
        <v>5</v>
      </c>
      <c r="K904" t="s">
        <v>55</v>
      </c>
      <c r="L904" t="str" cm="1">
        <f t="array" ref="L904">_xlfn.IFS(Table1[[#This Row],[Customer Tenure in months]]&lt;=6, "0-6 months", Table1[[#This Row],[Customer Tenure in months]] &lt;=12, "7-12 months", Table1[[#This Row],[Customer Tenure in months]] &lt;=24, "1-2 years", TRUE, "2+ years")</f>
        <v>2+ years</v>
      </c>
      <c r="M904">
        <v>56</v>
      </c>
      <c r="N904" t="s">
        <v>65</v>
      </c>
      <c r="O904" s="1">
        <v>30000</v>
      </c>
      <c r="P904">
        <v>5</v>
      </c>
      <c r="Q904" s="1">
        <v>150000</v>
      </c>
      <c r="R904">
        <v>29.3</v>
      </c>
      <c r="S904" t="s">
        <v>1091</v>
      </c>
      <c r="T904" t="s">
        <v>39</v>
      </c>
    </row>
    <row r="905" spans="1:20" x14ac:dyDescent="0.35">
      <c r="A905" s="22" t="s">
        <v>1003</v>
      </c>
      <c r="B905" cm="1">
        <f t="array" ref="B905">IF(MATCH(Table1[[#This Row],[Customer ID]], Table1[Customer ID], 0) = ROW() - ROW(Table1[#Headers]), 1, 0)</f>
        <v>1</v>
      </c>
      <c r="C905" t="s">
        <v>1004</v>
      </c>
      <c r="D905" s="2">
        <v>45713</v>
      </c>
      <c r="E905">
        <v>74</v>
      </c>
      <c r="F905" t="str" cm="1">
        <f t="array" ref="F905">_xlfn.IFS( Table1[[#This Row],[Age]]&lt;18, "&lt;18", Table1[[#This Row],[Age]]&lt;= 29, "18-29", Table1[[#This Row],[Age]]&lt;= 44, "30-44",  Table1[[#This Row],[Age]]&lt;=59, "45-59", TRUE, "60+")</f>
        <v>60+</v>
      </c>
      <c r="G905" t="s">
        <v>140</v>
      </c>
      <c r="H905" t="s">
        <v>20</v>
      </c>
      <c r="I905" t="s">
        <v>21</v>
      </c>
      <c r="J905">
        <v>4</v>
      </c>
      <c r="K905" t="s">
        <v>114</v>
      </c>
      <c r="L905" t="str" cm="1">
        <f t="array" ref="L905">_xlfn.IFS(Table1[[#This Row],[Customer Tenure in months]]&lt;=6, "0-6 months", Table1[[#This Row],[Customer Tenure in months]] &lt;=12, "7-12 months", Table1[[#This Row],[Customer Tenure in months]] &lt;=24, "1-2 years", TRUE, "2+ years")</f>
        <v>2+ years</v>
      </c>
      <c r="M905">
        <v>45</v>
      </c>
      <c r="N905" t="s">
        <v>58</v>
      </c>
      <c r="O905" s="1">
        <v>16000</v>
      </c>
      <c r="P905">
        <v>14</v>
      </c>
      <c r="Q905" s="1">
        <v>224000</v>
      </c>
      <c r="R905">
        <v>120.52</v>
      </c>
      <c r="S905" t="s">
        <v>1091</v>
      </c>
      <c r="T905" t="s">
        <v>39</v>
      </c>
    </row>
    <row r="906" spans="1:20" x14ac:dyDescent="0.35">
      <c r="A906" s="22" t="s">
        <v>1003</v>
      </c>
      <c r="B906" cm="1">
        <f t="array" ref="B906">IF(MATCH(Table1[[#This Row],[Customer ID]], Table1[Customer ID], 0) = ROW() - ROW(Table1[#Headers]), 1, 0)</f>
        <v>0</v>
      </c>
      <c r="C906" t="s">
        <v>1004</v>
      </c>
      <c r="D906" s="2">
        <v>45713</v>
      </c>
      <c r="E906">
        <v>74</v>
      </c>
      <c r="F906" t="str" cm="1">
        <f t="array" ref="F906">_xlfn.IFS( Table1[[#This Row],[Age]]&lt;18, "&lt;18", Table1[[#This Row],[Age]]&lt;= 29, "18-29", Table1[[#This Row],[Age]]&lt;= 44, "30-44",  Table1[[#This Row],[Age]]&lt;=59, "45-59", TRUE, "60+")</f>
        <v>60+</v>
      </c>
      <c r="G906" t="s">
        <v>140</v>
      </c>
      <c r="H906" t="s">
        <v>36</v>
      </c>
      <c r="I906" t="s">
        <v>21</v>
      </c>
      <c r="J906">
        <v>4</v>
      </c>
      <c r="K906" t="s">
        <v>114</v>
      </c>
      <c r="L906" t="str" cm="1">
        <f t="array" ref="L906">_xlfn.IFS(Table1[[#This Row],[Customer Tenure in months]]&lt;=6, "0-6 months", Table1[[#This Row],[Customer Tenure in months]] &lt;=12, "7-12 months", Table1[[#This Row],[Customer Tenure in months]] &lt;=24, "1-2 years", TRUE, "2+ years")</f>
        <v>2+ years</v>
      </c>
      <c r="M906">
        <v>45</v>
      </c>
      <c r="N906" t="s">
        <v>38</v>
      </c>
      <c r="O906" s="1">
        <v>20000</v>
      </c>
      <c r="P906">
        <v>19</v>
      </c>
      <c r="Q906" s="1">
        <v>380000</v>
      </c>
      <c r="R906">
        <v>24.61</v>
      </c>
      <c r="S906" t="s">
        <v>1091</v>
      </c>
      <c r="T906" t="s">
        <v>39</v>
      </c>
    </row>
    <row r="907" spans="1:20" x14ac:dyDescent="0.35">
      <c r="A907" s="22" t="s">
        <v>1003</v>
      </c>
      <c r="B907" cm="1">
        <f t="array" ref="B907">IF(MATCH(Table1[[#This Row],[Customer ID]], Table1[Customer ID], 0) = ROW() - ROW(Table1[#Headers]), 1, 0)</f>
        <v>0</v>
      </c>
      <c r="C907" t="s">
        <v>1004</v>
      </c>
      <c r="D907" s="2">
        <v>45713</v>
      </c>
      <c r="E907">
        <v>74</v>
      </c>
      <c r="F907" t="str" cm="1">
        <f t="array" ref="F907">_xlfn.IFS( Table1[[#This Row],[Age]]&lt;18, "&lt;18", Table1[[#This Row],[Age]]&lt;= 29, "18-29", Table1[[#This Row],[Age]]&lt;= 44, "30-44",  Table1[[#This Row],[Age]]&lt;=59, "45-59", TRUE, "60+")</f>
        <v>60+</v>
      </c>
      <c r="G907" t="s">
        <v>140</v>
      </c>
      <c r="H907" t="s">
        <v>29</v>
      </c>
      <c r="I907" t="s">
        <v>21</v>
      </c>
      <c r="J907">
        <v>4</v>
      </c>
      <c r="K907" t="s">
        <v>114</v>
      </c>
      <c r="L907" t="str" cm="1">
        <f t="array" ref="L907">_xlfn.IFS(Table1[[#This Row],[Customer Tenure in months]]&lt;=6, "0-6 months", Table1[[#This Row],[Customer Tenure in months]] &lt;=12, "7-12 months", Table1[[#This Row],[Customer Tenure in months]] &lt;=24, "1-2 years", TRUE, "2+ years")</f>
        <v>2+ years</v>
      </c>
      <c r="M907">
        <v>45</v>
      </c>
      <c r="N907" t="s">
        <v>40</v>
      </c>
      <c r="O907" s="1">
        <v>500</v>
      </c>
      <c r="P907">
        <v>5</v>
      </c>
      <c r="Q907" s="1">
        <v>2500</v>
      </c>
      <c r="R907">
        <v>8.5399999999999991</v>
      </c>
      <c r="S907" t="s">
        <v>1091</v>
      </c>
      <c r="T907" t="s">
        <v>39</v>
      </c>
    </row>
    <row r="908" spans="1:20" x14ac:dyDescent="0.35">
      <c r="A908" s="22" t="s">
        <v>1005</v>
      </c>
      <c r="B908" cm="1">
        <f t="array" ref="B908">IF(MATCH(Table1[[#This Row],[Customer ID]], Table1[Customer ID], 0) = ROW() - ROW(Table1[#Headers]), 1, 0)</f>
        <v>1</v>
      </c>
      <c r="C908" t="s">
        <v>1006</v>
      </c>
      <c r="D908" s="2">
        <v>45741</v>
      </c>
      <c r="E908">
        <v>63</v>
      </c>
      <c r="F908" t="str" cm="1">
        <f t="array" ref="F908">_xlfn.IFS( Table1[[#This Row],[Age]]&lt;18, "&lt;18", Table1[[#This Row],[Age]]&lt;= 29, "18-29", Table1[[#This Row],[Age]]&lt;= 44, "30-44",  Table1[[#This Row],[Age]]&lt;=59, "45-59", TRUE, "60+")</f>
        <v>60+</v>
      </c>
      <c r="G908" t="s">
        <v>149</v>
      </c>
      <c r="H908" t="s">
        <v>29</v>
      </c>
      <c r="I908" t="s">
        <v>30</v>
      </c>
      <c r="J908">
        <v>4</v>
      </c>
      <c r="K908" t="s">
        <v>114</v>
      </c>
      <c r="L908" t="str" cm="1">
        <f t="array" ref="L908">_xlfn.IFS(Table1[[#This Row],[Customer Tenure in months]]&lt;=6, "0-6 months", Table1[[#This Row],[Customer Tenure in months]] &lt;=12, "7-12 months", Table1[[#This Row],[Customer Tenure in months]] &lt;=24, "1-2 years", TRUE, "2+ years")</f>
        <v>1-2 years</v>
      </c>
      <c r="M908">
        <v>20</v>
      </c>
      <c r="N908" t="s">
        <v>102</v>
      </c>
      <c r="O908" s="1">
        <v>900</v>
      </c>
      <c r="P908">
        <v>10</v>
      </c>
      <c r="Q908" s="1">
        <v>9000</v>
      </c>
      <c r="R908">
        <v>187.4</v>
      </c>
      <c r="S908" t="s">
        <v>265</v>
      </c>
      <c r="T908" t="s">
        <v>24</v>
      </c>
    </row>
    <row r="909" spans="1:20" x14ac:dyDescent="0.35">
      <c r="A909" s="22" t="s">
        <v>1007</v>
      </c>
      <c r="B909" cm="1">
        <f t="array" ref="B909">IF(MATCH(Table1[[#This Row],[Customer ID]], Table1[Customer ID], 0) = ROW() - ROW(Table1[#Headers]), 1, 0)</f>
        <v>1</v>
      </c>
      <c r="C909" t="s">
        <v>1008</v>
      </c>
      <c r="D909" s="2">
        <v>45682</v>
      </c>
      <c r="E909">
        <v>43</v>
      </c>
      <c r="F909" t="str" cm="1">
        <f t="array" ref="F909">_xlfn.IFS( Table1[[#This Row],[Age]]&lt;18, "&lt;18", Table1[[#This Row],[Age]]&lt;= 29, "18-29", Table1[[#This Row],[Age]]&lt;= 44, "30-44",  Table1[[#This Row],[Age]]&lt;=59, "45-59", TRUE, "60+")</f>
        <v>30-44</v>
      </c>
      <c r="G909" t="s">
        <v>131</v>
      </c>
      <c r="H909" t="s">
        <v>29</v>
      </c>
      <c r="I909" t="s">
        <v>30</v>
      </c>
      <c r="J909">
        <v>5</v>
      </c>
      <c r="K909" t="s">
        <v>55</v>
      </c>
      <c r="L909" t="str" cm="1">
        <f t="array" ref="L909">_xlfn.IFS(Table1[[#This Row],[Customer Tenure in months]]&lt;=6, "0-6 months", Table1[[#This Row],[Customer Tenure in months]] &lt;=12, "7-12 months", Table1[[#This Row],[Customer Tenure in months]] &lt;=24, "1-2 years", TRUE, "2+ years")</f>
        <v>0-6 months</v>
      </c>
      <c r="M909">
        <v>1</v>
      </c>
      <c r="N909" t="s">
        <v>31</v>
      </c>
      <c r="O909" s="1">
        <v>5500</v>
      </c>
      <c r="P909">
        <v>19</v>
      </c>
      <c r="Q909" s="1">
        <v>104500</v>
      </c>
      <c r="R909">
        <v>114.83</v>
      </c>
      <c r="S909" t="s">
        <v>1091</v>
      </c>
      <c r="T909" t="s">
        <v>39</v>
      </c>
    </row>
    <row r="910" spans="1:20" x14ac:dyDescent="0.35">
      <c r="A910" s="22" t="s">
        <v>1009</v>
      </c>
      <c r="B910" cm="1">
        <f t="array" ref="B910">IF(MATCH(Table1[[#This Row],[Customer ID]], Table1[Customer ID], 0) = ROW() - ROW(Table1[#Headers]), 1, 0)</f>
        <v>1</v>
      </c>
      <c r="C910" t="s">
        <v>1010</v>
      </c>
      <c r="D910" s="2">
        <v>45713</v>
      </c>
      <c r="E910">
        <v>59</v>
      </c>
      <c r="F910" t="str" cm="1">
        <f t="array" ref="F910">_xlfn.IFS( Table1[[#This Row],[Age]]&lt;18, "&lt;18", Table1[[#This Row],[Age]]&lt;= 29, "18-29", Table1[[#This Row],[Age]]&lt;= 44, "30-44",  Table1[[#This Row],[Age]]&lt;=59, "45-59", TRUE, "60+")</f>
        <v>45-59</v>
      </c>
      <c r="G910" t="s">
        <v>61</v>
      </c>
      <c r="H910" t="s">
        <v>29</v>
      </c>
      <c r="I910" t="s">
        <v>30</v>
      </c>
      <c r="J910">
        <v>2</v>
      </c>
      <c r="K910" t="s">
        <v>22</v>
      </c>
      <c r="L910" t="str" cm="1">
        <f t="array" ref="L910">_xlfn.IFS(Table1[[#This Row],[Customer Tenure in months]]&lt;=6, "0-6 months", Table1[[#This Row],[Customer Tenure in months]] &lt;=12, "7-12 months", Table1[[#This Row],[Customer Tenure in months]] &lt;=24, "1-2 years", TRUE, "2+ years")</f>
        <v>2+ years</v>
      </c>
      <c r="M910">
        <v>54</v>
      </c>
      <c r="N910" t="s">
        <v>31</v>
      </c>
      <c r="O910" s="1">
        <v>5500</v>
      </c>
      <c r="P910">
        <v>11</v>
      </c>
      <c r="Q910" s="1">
        <v>60500</v>
      </c>
      <c r="R910">
        <v>30.22</v>
      </c>
      <c r="S910" t="s">
        <v>1091</v>
      </c>
      <c r="T910" t="s">
        <v>39</v>
      </c>
    </row>
    <row r="911" spans="1:20" x14ac:dyDescent="0.35">
      <c r="A911" s="22" t="s">
        <v>1009</v>
      </c>
      <c r="B911" cm="1">
        <f t="array" ref="B911">IF(MATCH(Table1[[#This Row],[Customer ID]], Table1[Customer ID], 0) = ROW() - ROW(Table1[#Headers]), 1, 0)</f>
        <v>0</v>
      </c>
      <c r="C911" t="s">
        <v>1010</v>
      </c>
      <c r="D911" s="2">
        <v>45713</v>
      </c>
      <c r="E911">
        <v>59</v>
      </c>
      <c r="F911" t="str" cm="1">
        <f t="array" ref="F911">_xlfn.IFS( Table1[[#This Row],[Age]]&lt;18, "&lt;18", Table1[[#This Row],[Age]]&lt;= 29, "18-29", Table1[[#This Row],[Age]]&lt;= 44, "30-44",  Table1[[#This Row],[Age]]&lt;=59, "45-59", TRUE, "60+")</f>
        <v>45-59</v>
      </c>
      <c r="G911" t="s">
        <v>61</v>
      </c>
      <c r="H911" t="s">
        <v>36</v>
      </c>
      <c r="I911" t="s">
        <v>30</v>
      </c>
      <c r="J911">
        <v>2</v>
      </c>
      <c r="K911" t="s">
        <v>22</v>
      </c>
      <c r="L911" t="str" cm="1">
        <f t="array" ref="L911">_xlfn.IFS(Table1[[#This Row],[Customer Tenure in months]]&lt;=6, "0-6 months", Table1[[#This Row],[Customer Tenure in months]] &lt;=12, "7-12 months", Table1[[#This Row],[Customer Tenure in months]] &lt;=24, "1-2 years", TRUE, "2+ years")</f>
        <v>2+ years</v>
      </c>
      <c r="M911">
        <v>54</v>
      </c>
      <c r="N911" t="s">
        <v>38</v>
      </c>
      <c r="O911" s="1">
        <v>20000</v>
      </c>
      <c r="P911">
        <v>20</v>
      </c>
      <c r="Q911" s="1">
        <v>400000</v>
      </c>
      <c r="R911">
        <v>160.06</v>
      </c>
      <c r="S911" t="s">
        <v>1091</v>
      </c>
      <c r="T911" t="s">
        <v>39</v>
      </c>
    </row>
    <row r="912" spans="1:20" x14ac:dyDescent="0.35">
      <c r="A912" s="22" t="s">
        <v>1011</v>
      </c>
      <c r="B912" cm="1">
        <f t="array" ref="B912">IF(MATCH(Table1[[#This Row],[Customer ID]], Table1[Customer ID], 0) = ROW() - ROW(Table1[#Headers]), 1, 0)</f>
        <v>1</v>
      </c>
      <c r="C912" t="s">
        <v>1012</v>
      </c>
      <c r="D912" s="2">
        <v>45682</v>
      </c>
      <c r="E912">
        <v>65</v>
      </c>
      <c r="F912" t="str" cm="1">
        <f t="array" ref="F912">_xlfn.IFS( Table1[[#This Row],[Age]]&lt;18, "&lt;18", Table1[[#This Row],[Age]]&lt;= 29, "18-29", Table1[[#This Row],[Age]]&lt;= 44, "30-44",  Table1[[#This Row],[Age]]&lt;=59, "45-59", TRUE, "60+")</f>
        <v>60+</v>
      </c>
      <c r="G912" t="s">
        <v>113</v>
      </c>
      <c r="H912" t="s">
        <v>41</v>
      </c>
      <c r="I912" t="s">
        <v>30</v>
      </c>
      <c r="J912">
        <v>4</v>
      </c>
      <c r="K912" t="s">
        <v>114</v>
      </c>
      <c r="L912" t="str" cm="1">
        <f t="array" ref="L912">_xlfn.IFS(Table1[[#This Row],[Customer Tenure in months]]&lt;=6, "0-6 months", Table1[[#This Row],[Customer Tenure in months]] &lt;=12, "7-12 months", Table1[[#This Row],[Customer Tenure in months]] &lt;=24, "1-2 years", TRUE, "2+ years")</f>
        <v>1-2 years</v>
      </c>
      <c r="M912">
        <v>22</v>
      </c>
      <c r="N912" t="s">
        <v>62</v>
      </c>
      <c r="O912" s="1">
        <v>24000</v>
      </c>
      <c r="P912">
        <v>10</v>
      </c>
      <c r="Q912" s="1">
        <v>240000</v>
      </c>
      <c r="R912">
        <v>126.21</v>
      </c>
      <c r="S912" t="s">
        <v>1091</v>
      </c>
      <c r="T912" t="s">
        <v>39</v>
      </c>
    </row>
    <row r="913" spans="1:20" x14ac:dyDescent="0.35">
      <c r="A913" s="22" t="s">
        <v>1011</v>
      </c>
      <c r="B913" cm="1">
        <f t="array" ref="B913">IF(MATCH(Table1[[#This Row],[Customer ID]], Table1[Customer ID], 0) = ROW() - ROW(Table1[#Headers]), 1, 0)</f>
        <v>0</v>
      </c>
      <c r="C913" t="s">
        <v>1012</v>
      </c>
      <c r="D913" s="2">
        <v>45682</v>
      </c>
      <c r="E913">
        <v>65</v>
      </c>
      <c r="F913" t="str" cm="1">
        <f t="array" ref="F913">_xlfn.IFS( Table1[[#This Row],[Age]]&lt;18, "&lt;18", Table1[[#This Row],[Age]]&lt;= 29, "18-29", Table1[[#This Row],[Age]]&lt;= 44, "30-44",  Table1[[#This Row],[Age]]&lt;=59, "45-59", TRUE, "60+")</f>
        <v>60+</v>
      </c>
      <c r="G913" t="s">
        <v>113</v>
      </c>
      <c r="H913" t="s">
        <v>29</v>
      </c>
      <c r="I913" t="s">
        <v>30</v>
      </c>
      <c r="J913">
        <v>4</v>
      </c>
      <c r="K913" t="s">
        <v>114</v>
      </c>
      <c r="L913" t="str" cm="1">
        <f t="array" ref="L913">_xlfn.IFS(Table1[[#This Row],[Customer Tenure in months]]&lt;=6, "0-6 months", Table1[[#This Row],[Customer Tenure in months]] &lt;=12, "7-12 months", Table1[[#This Row],[Customer Tenure in months]] &lt;=24, "1-2 years", TRUE, "2+ years")</f>
        <v>1-2 years</v>
      </c>
      <c r="M913">
        <v>22</v>
      </c>
      <c r="N913" t="s">
        <v>193</v>
      </c>
      <c r="O913" s="1">
        <v>6500</v>
      </c>
      <c r="P913">
        <v>18</v>
      </c>
      <c r="Q913" s="1">
        <v>117000</v>
      </c>
      <c r="R913">
        <v>129.21</v>
      </c>
      <c r="S913" t="s">
        <v>1091</v>
      </c>
      <c r="T913" t="s">
        <v>39</v>
      </c>
    </row>
    <row r="914" spans="1:20" x14ac:dyDescent="0.35">
      <c r="A914" s="22" t="s">
        <v>1011</v>
      </c>
      <c r="B914" cm="1">
        <f t="array" ref="B914">IF(MATCH(Table1[[#This Row],[Customer ID]], Table1[Customer ID], 0) = ROW() - ROW(Table1[#Headers]), 1, 0)</f>
        <v>0</v>
      </c>
      <c r="C914" t="s">
        <v>1012</v>
      </c>
      <c r="D914" s="2">
        <v>45682</v>
      </c>
      <c r="E914">
        <v>65</v>
      </c>
      <c r="F914" t="str" cm="1">
        <f t="array" ref="F914">_xlfn.IFS( Table1[[#This Row],[Age]]&lt;18, "&lt;18", Table1[[#This Row],[Age]]&lt;= 29, "18-29", Table1[[#This Row],[Age]]&lt;= 44, "30-44",  Table1[[#This Row],[Age]]&lt;=59, "45-59", TRUE, "60+")</f>
        <v>60+</v>
      </c>
      <c r="G914" t="s">
        <v>113</v>
      </c>
      <c r="H914" t="s">
        <v>36</v>
      </c>
      <c r="I914" t="s">
        <v>30</v>
      </c>
      <c r="J914">
        <v>4</v>
      </c>
      <c r="K914" t="s">
        <v>114</v>
      </c>
      <c r="L914" t="str" cm="1">
        <f t="array" ref="L914">_xlfn.IFS(Table1[[#This Row],[Customer Tenure in months]]&lt;=6, "0-6 months", Table1[[#This Row],[Customer Tenure in months]] &lt;=12, "7-12 months", Table1[[#This Row],[Customer Tenure in months]] &lt;=24, "1-2 years", TRUE, "2+ years")</f>
        <v>1-2 years</v>
      </c>
      <c r="M914">
        <v>22</v>
      </c>
      <c r="N914" t="s">
        <v>38</v>
      </c>
      <c r="O914" s="1">
        <v>20000</v>
      </c>
      <c r="P914">
        <v>20</v>
      </c>
      <c r="Q914" s="1">
        <v>400000</v>
      </c>
      <c r="R914">
        <v>38.89</v>
      </c>
      <c r="S914" t="s">
        <v>1091</v>
      </c>
      <c r="T914" t="s">
        <v>39</v>
      </c>
    </row>
    <row r="915" spans="1:20" x14ac:dyDescent="0.35">
      <c r="A915" s="22" t="s">
        <v>1013</v>
      </c>
      <c r="B915" cm="1">
        <f t="array" ref="B915">IF(MATCH(Table1[[#This Row],[Customer ID]], Table1[Customer ID], 0) = ROW() - ROW(Table1[#Headers]), 1, 0)</f>
        <v>1</v>
      </c>
      <c r="C915" t="s">
        <v>1014</v>
      </c>
      <c r="D915" s="2">
        <v>45682</v>
      </c>
      <c r="E915">
        <v>22</v>
      </c>
      <c r="F915" t="str" cm="1">
        <f t="array" ref="F915">_xlfn.IFS( Table1[[#This Row],[Age]]&lt;18, "&lt;18", Table1[[#This Row],[Age]]&lt;= 29, "18-29", Table1[[#This Row],[Age]]&lt;= 44, "30-44",  Table1[[#This Row],[Age]]&lt;=59, "45-59", TRUE, "60+")</f>
        <v>18-29</v>
      </c>
      <c r="G915" t="s">
        <v>75</v>
      </c>
      <c r="H915" t="s">
        <v>20</v>
      </c>
      <c r="I915" t="s">
        <v>21</v>
      </c>
      <c r="J915">
        <v>5</v>
      </c>
      <c r="K915" t="s">
        <v>55</v>
      </c>
      <c r="L915" t="str" cm="1">
        <f t="array" ref="L915">_xlfn.IFS(Table1[[#This Row],[Customer Tenure in months]]&lt;=6, "0-6 months", Table1[[#This Row],[Customer Tenure in months]] &lt;=12, "7-12 months", Table1[[#This Row],[Customer Tenure in months]] &lt;=24, "1-2 years", TRUE, "2+ years")</f>
        <v>2+ years</v>
      </c>
      <c r="M915">
        <v>49</v>
      </c>
      <c r="N915" t="s">
        <v>58</v>
      </c>
      <c r="O915" s="1">
        <v>16000</v>
      </c>
      <c r="P915">
        <v>7</v>
      </c>
      <c r="Q915" s="1">
        <v>112000</v>
      </c>
      <c r="R915">
        <v>55.36</v>
      </c>
      <c r="S915" t="s">
        <v>1091</v>
      </c>
      <c r="T915" t="s">
        <v>39</v>
      </c>
    </row>
    <row r="916" spans="1:20" x14ac:dyDescent="0.35">
      <c r="A916" s="22" t="s">
        <v>1015</v>
      </c>
      <c r="B916" cm="1">
        <f t="array" ref="B916">IF(MATCH(Table1[[#This Row],[Customer ID]], Table1[Customer ID], 0) = ROW() - ROW(Table1[#Headers]), 1, 0)</f>
        <v>1</v>
      </c>
      <c r="C916" t="s">
        <v>1016</v>
      </c>
      <c r="D916" s="2">
        <v>45682</v>
      </c>
      <c r="E916">
        <v>72</v>
      </c>
      <c r="F916" t="str" cm="1">
        <f t="array" ref="F916">_xlfn.IFS( Table1[[#This Row],[Age]]&lt;18, "&lt;18", Table1[[#This Row],[Age]]&lt;= 29, "18-29", Table1[[#This Row],[Age]]&lt;= 44, "30-44",  Table1[[#This Row],[Age]]&lt;=59, "45-59", TRUE, "60+")</f>
        <v>60+</v>
      </c>
      <c r="G916" t="s">
        <v>299</v>
      </c>
      <c r="H916" t="s">
        <v>36</v>
      </c>
      <c r="I916" t="s">
        <v>30</v>
      </c>
      <c r="J916">
        <v>4</v>
      </c>
      <c r="K916" t="s">
        <v>114</v>
      </c>
      <c r="L916" t="str" cm="1">
        <f t="array" ref="L916">_xlfn.IFS(Table1[[#This Row],[Customer Tenure in months]]&lt;=6, "0-6 months", Table1[[#This Row],[Customer Tenure in months]] &lt;=12, "7-12 months", Table1[[#This Row],[Customer Tenure in months]] &lt;=24, "1-2 years", TRUE, "2+ years")</f>
        <v>2+ years</v>
      </c>
      <c r="M916">
        <v>26</v>
      </c>
      <c r="N916" t="s">
        <v>105</v>
      </c>
      <c r="O916" s="1">
        <v>75000</v>
      </c>
      <c r="P916">
        <v>1</v>
      </c>
      <c r="Q916" s="1">
        <v>75000</v>
      </c>
      <c r="R916">
        <v>36.51</v>
      </c>
      <c r="S916" t="s">
        <v>1091</v>
      </c>
      <c r="T916" t="s">
        <v>39</v>
      </c>
    </row>
    <row r="917" spans="1:20" x14ac:dyDescent="0.35">
      <c r="A917" s="22" t="s">
        <v>1017</v>
      </c>
      <c r="B917" cm="1">
        <f t="array" ref="B917">IF(MATCH(Table1[[#This Row],[Customer ID]], Table1[Customer ID], 0) = ROW() - ROW(Table1[#Headers]), 1, 0)</f>
        <v>1</v>
      </c>
      <c r="C917" t="s">
        <v>1018</v>
      </c>
      <c r="D917" s="2">
        <v>45682</v>
      </c>
      <c r="E917">
        <v>56</v>
      </c>
      <c r="F917" t="str" cm="1">
        <f t="array" ref="F917">_xlfn.IFS( Table1[[#This Row],[Age]]&lt;18, "&lt;18", Table1[[#This Row],[Age]]&lt;= 29, "18-29", Table1[[#This Row],[Age]]&lt;= 44, "30-44",  Table1[[#This Row],[Age]]&lt;=59, "45-59", TRUE, "60+")</f>
        <v>45-59</v>
      </c>
      <c r="G917" t="s">
        <v>61</v>
      </c>
      <c r="H917" t="s">
        <v>20</v>
      </c>
      <c r="I917" t="s">
        <v>30</v>
      </c>
      <c r="J917">
        <v>1</v>
      </c>
      <c r="K917" t="s">
        <v>37</v>
      </c>
      <c r="L917" t="str" cm="1">
        <f t="array" ref="L917">_xlfn.IFS(Table1[[#This Row],[Customer Tenure in months]]&lt;=6, "0-6 months", Table1[[#This Row],[Customer Tenure in months]] &lt;=12, "7-12 months", Table1[[#This Row],[Customer Tenure in months]] &lt;=24, "1-2 years", TRUE, "2+ years")</f>
        <v>0-6 months</v>
      </c>
      <c r="M917">
        <v>6</v>
      </c>
      <c r="N917" t="s">
        <v>51</v>
      </c>
      <c r="O917" s="1">
        <v>9000</v>
      </c>
      <c r="P917">
        <v>5</v>
      </c>
      <c r="Q917" s="1">
        <v>45000</v>
      </c>
      <c r="R917">
        <v>153.78</v>
      </c>
      <c r="S917" t="s">
        <v>1091</v>
      </c>
      <c r="T917" t="s">
        <v>39</v>
      </c>
    </row>
    <row r="918" spans="1:20" x14ac:dyDescent="0.35">
      <c r="A918" s="22" t="s">
        <v>1017</v>
      </c>
      <c r="B918" cm="1">
        <f t="array" ref="B918">IF(MATCH(Table1[[#This Row],[Customer ID]], Table1[Customer ID], 0) = ROW() - ROW(Table1[#Headers]), 1, 0)</f>
        <v>0</v>
      </c>
      <c r="C918" t="s">
        <v>1018</v>
      </c>
      <c r="D918" s="2">
        <v>45682</v>
      </c>
      <c r="E918">
        <v>56</v>
      </c>
      <c r="F918" t="str" cm="1">
        <f t="array" ref="F918">_xlfn.IFS( Table1[[#This Row],[Age]]&lt;18, "&lt;18", Table1[[#This Row],[Age]]&lt;= 29, "18-29", Table1[[#This Row],[Age]]&lt;= 44, "30-44",  Table1[[#This Row],[Age]]&lt;=59, "45-59", TRUE, "60+")</f>
        <v>45-59</v>
      </c>
      <c r="G918" t="s">
        <v>61</v>
      </c>
      <c r="H918" t="s">
        <v>41</v>
      </c>
      <c r="I918" t="s">
        <v>30</v>
      </c>
      <c r="J918">
        <v>1</v>
      </c>
      <c r="K918" t="s">
        <v>37</v>
      </c>
      <c r="L918" t="str" cm="1">
        <f t="array" ref="L918">_xlfn.IFS(Table1[[#This Row],[Customer Tenure in months]]&lt;=6, "0-6 months", Table1[[#This Row],[Customer Tenure in months]] &lt;=12, "7-12 months", Table1[[#This Row],[Customer Tenure in months]] &lt;=24, "1-2 years", TRUE, "2+ years")</f>
        <v>0-6 months</v>
      </c>
      <c r="M918">
        <v>6</v>
      </c>
      <c r="N918" t="s">
        <v>65</v>
      </c>
      <c r="O918" s="1">
        <v>30000</v>
      </c>
      <c r="P918">
        <v>6</v>
      </c>
      <c r="Q918" s="1">
        <v>180000</v>
      </c>
      <c r="R918">
        <v>190.46</v>
      </c>
      <c r="S918" t="s">
        <v>1091</v>
      </c>
      <c r="T918" t="s">
        <v>39</v>
      </c>
    </row>
    <row r="919" spans="1:20" x14ac:dyDescent="0.35">
      <c r="A919" s="22" t="s">
        <v>1019</v>
      </c>
      <c r="B919" cm="1">
        <f t="array" ref="B919">IF(MATCH(Table1[[#This Row],[Customer ID]], Table1[Customer ID], 0) = ROW() - ROW(Table1[#Headers]), 1, 0)</f>
        <v>1</v>
      </c>
      <c r="C919" t="s">
        <v>1020</v>
      </c>
      <c r="D919" s="2">
        <v>45682</v>
      </c>
      <c r="E919">
        <v>57</v>
      </c>
      <c r="F919" t="str" cm="1">
        <f t="array" ref="F919">_xlfn.IFS( Table1[[#This Row],[Age]]&lt;18, "&lt;18", Table1[[#This Row],[Age]]&lt;= 29, "18-29", Table1[[#This Row],[Age]]&lt;= 44, "30-44",  Table1[[#This Row],[Age]]&lt;=59, "45-59", TRUE, "60+")</f>
        <v>45-59</v>
      </c>
      <c r="G919" t="s">
        <v>131</v>
      </c>
      <c r="H919" t="s">
        <v>20</v>
      </c>
      <c r="I919" t="s">
        <v>21</v>
      </c>
      <c r="J919">
        <v>3</v>
      </c>
      <c r="K919" t="s">
        <v>50</v>
      </c>
      <c r="L919" t="str" cm="1">
        <f t="array" ref="L919">_xlfn.IFS(Table1[[#This Row],[Customer Tenure in months]]&lt;=6, "0-6 months", Table1[[#This Row],[Customer Tenure in months]] &lt;=12, "7-12 months", Table1[[#This Row],[Customer Tenure in months]] &lt;=24, "1-2 years", TRUE, "2+ years")</f>
        <v>2+ years</v>
      </c>
      <c r="M919">
        <v>46</v>
      </c>
      <c r="N919" t="s">
        <v>51</v>
      </c>
      <c r="O919" s="1">
        <v>9000</v>
      </c>
      <c r="P919">
        <v>4</v>
      </c>
      <c r="Q919" s="1">
        <v>36000</v>
      </c>
      <c r="R919">
        <v>51.96</v>
      </c>
      <c r="S919" t="s">
        <v>1091</v>
      </c>
      <c r="T919" t="s">
        <v>39</v>
      </c>
    </row>
    <row r="920" spans="1:20" x14ac:dyDescent="0.35">
      <c r="A920" s="22" t="s">
        <v>1019</v>
      </c>
      <c r="B920" cm="1">
        <f t="array" ref="B920">IF(MATCH(Table1[[#This Row],[Customer ID]], Table1[Customer ID], 0) = ROW() - ROW(Table1[#Headers]), 1, 0)</f>
        <v>0</v>
      </c>
      <c r="C920" t="s">
        <v>1020</v>
      </c>
      <c r="D920" s="2">
        <v>45682</v>
      </c>
      <c r="E920">
        <v>57</v>
      </c>
      <c r="F920" t="str" cm="1">
        <f t="array" ref="F920">_xlfn.IFS( Table1[[#This Row],[Age]]&lt;18, "&lt;18", Table1[[#This Row],[Age]]&lt;= 29, "18-29", Table1[[#This Row],[Age]]&lt;= 44, "30-44",  Table1[[#This Row],[Age]]&lt;=59, "45-59", TRUE, "60+")</f>
        <v>45-59</v>
      </c>
      <c r="G920" t="s">
        <v>131</v>
      </c>
      <c r="H920" t="s">
        <v>29</v>
      </c>
      <c r="I920" t="s">
        <v>21</v>
      </c>
      <c r="J920">
        <v>3</v>
      </c>
      <c r="K920" t="s">
        <v>50</v>
      </c>
      <c r="L920" t="str" cm="1">
        <f t="array" ref="L920">_xlfn.IFS(Table1[[#This Row],[Customer Tenure in months]]&lt;=6, "0-6 months", Table1[[#This Row],[Customer Tenure in months]] &lt;=12, "7-12 months", Table1[[#This Row],[Customer Tenure in months]] &lt;=24, "1-2 years", TRUE, "2+ years")</f>
        <v>2+ years</v>
      </c>
      <c r="M920">
        <v>46</v>
      </c>
      <c r="N920" t="s">
        <v>102</v>
      </c>
      <c r="O920" s="1">
        <v>900</v>
      </c>
      <c r="P920">
        <v>20</v>
      </c>
      <c r="Q920" s="1">
        <v>18000</v>
      </c>
      <c r="R920">
        <v>40.909999999999997</v>
      </c>
      <c r="S920" t="s">
        <v>1091</v>
      </c>
      <c r="T920" t="s">
        <v>39</v>
      </c>
    </row>
    <row r="921" spans="1:20" x14ac:dyDescent="0.35">
      <c r="A921" s="22" t="s">
        <v>1021</v>
      </c>
      <c r="B921" cm="1">
        <f t="array" ref="B921">IF(MATCH(Table1[[#This Row],[Customer ID]], Table1[Customer ID], 0) = ROW() - ROW(Table1[#Headers]), 1, 0)</f>
        <v>1</v>
      </c>
      <c r="C921" t="s">
        <v>1022</v>
      </c>
      <c r="D921" s="2">
        <v>45741</v>
      </c>
      <c r="E921">
        <v>79</v>
      </c>
      <c r="F921" t="str" cm="1">
        <f t="array" ref="F921">_xlfn.IFS( Table1[[#This Row],[Age]]&lt;18, "&lt;18", Table1[[#This Row],[Age]]&lt;= 29, "18-29", Table1[[#This Row],[Age]]&lt;= 44, "30-44",  Table1[[#This Row],[Age]]&lt;=59, "45-59", TRUE, "60+")</f>
        <v>60+</v>
      </c>
      <c r="G921" t="s">
        <v>189</v>
      </c>
      <c r="H921" t="s">
        <v>29</v>
      </c>
      <c r="I921" t="s">
        <v>30</v>
      </c>
      <c r="J921">
        <v>1</v>
      </c>
      <c r="K921" t="s">
        <v>37</v>
      </c>
      <c r="L921" t="str" cm="1">
        <f t="array" ref="L921">_xlfn.IFS(Table1[[#This Row],[Customer Tenure in months]]&lt;=6, "0-6 months", Table1[[#This Row],[Customer Tenure in months]] &lt;=12, "7-12 months", Table1[[#This Row],[Customer Tenure in months]] &lt;=24, "1-2 years", TRUE, "2+ years")</f>
        <v>7-12 months</v>
      </c>
      <c r="M921">
        <v>8</v>
      </c>
      <c r="N921" t="s">
        <v>102</v>
      </c>
      <c r="O921" s="1">
        <v>900</v>
      </c>
      <c r="P921">
        <v>8</v>
      </c>
      <c r="Q921" s="1">
        <v>7200</v>
      </c>
      <c r="R921">
        <v>81.8</v>
      </c>
      <c r="S921" t="s">
        <v>1091</v>
      </c>
      <c r="T921" t="s">
        <v>39</v>
      </c>
    </row>
    <row r="922" spans="1:20" x14ac:dyDescent="0.35">
      <c r="A922" s="22" t="s">
        <v>1021</v>
      </c>
      <c r="B922" cm="1">
        <f t="array" ref="B922">IF(MATCH(Table1[[#This Row],[Customer ID]], Table1[Customer ID], 0) = ROW() - ROW(Table1[#Headers]), 1, 0)</f>
        <v>0</v>
      </c>
      <c r="C922" t="s">
        <v>1022</v>
      </c>
      <c r="D922" s="2">
        <v>45741</v>
      </c>
      <c r="E922">
        <v>79</v>
      </c>
      <c r="F922" t="str" cm="1">
        <f t="array" ref="F922">_xlfn.IFS( Table1[[#This Row],[Age]]&lt;18, "&lt;18", Table1[[#This Row],[Age]]&lt;= 29, "18-29", Table1[[#This Row],[Age]]&lt;= 44, "30-44",  Table1[[#This Row],[Age]]&lt;=59, "45-59", TRUE, "60+")</f>
        <v>60+</v>
      </c>
      <c r="G922" t="s">
        <v>189</v>
      </c>
      <c r="H922" t="s">
        <v>41</v>
      </c>
      <c r="I922" t="s">
        <v>30</v>
      </c>
      <c r="J922">
        <v>1</v>
      </c>
      <c r="K922" t="s">
        <v>37</v>
      </c>
      <c r="L922" t="str" cm="1">
        <f t="array" ref="L922">_xlfn.IFS(Table1[[#This Row],[Customer Tenure in months]]&lt;=6, "0-6 months", Table1[[#This Row],[Customer Tenure in months]] &lt;=12, "7-12 months", Table1[[#This Row],[Customer Tenure in months]] &lt;=24, "1-2 years", TRUE, "2+ years")</f>
        <v>7-12 months</v>
      </c>
      <c r="M922">
        <v>8</v>
      </c>
      <c r="N922" t="s">
        <v>42</v>
      </c>
      <c r="O922" s="1">
        <v>9000</v>
      </c>
      <c r="P922">
        <v>19</v>
      </c>
      <c r="Q922" s="1">
        <v>171000</v>
      </c>
      <c r="R922">
        <v>54.2</v>
      </c>
      <c r="S922" t="s">
        <v>1091</v>
      </c>
      <c r="T922" t="s">
        <v>39</v>
      </c>
    </row>
    <row r="923" spans="1:20" x14ac:dyDescent="0.35">
      <c r="A923" s="22" t="s">
        <v>1021</v>
      </c>
      <c r="B923" cm="1">
        <f t="array" ref="B923">IF(MATCH(Table1[[#This Row],[Customer ID]], Table1[Customer ID], 0) = ROW() - ROW(Table1[#Headers]), 1, 0)</f>
        <v>0</v>
      </c>
      <c r="C923" t="s">
        <v>1022</v>
      </c>
      <c r="D923" s="2">
        <v>45741</v>
      </c>
      <c r="E923">
        <v>79</v>
      </c>
      <c r="F923" t="str" cm="1">
        <f t="array" ref="F923">_xlfn.IFS( Table1[[#This Row],[Age]]&lt;18, "&lt;18", Table1[[#This Row],[Age]]&lt;= 29, "18-29", Table1[[#This Row],[Age]]&lt;= 44, "30-44",  Table1[[#This Row],[Age]]&lt;=59, "45-59", TRUE, "60+")</f>
        <v>60+</v>
      </c>
      <c r="G923" t="s">
        <v>189</v>
      </c>
      <c r="H923" t="s">
        <v>20</v>
      </c>
      <c r="I923" t="s">
        <v>30</v>
      </c>
      <c r="J923">
        <v>1</v>
      </c>
      <c r="K923" t="s">
        <v>37</v>
      </c>
      <c r="L923" t="str" cm="1">
        <f t="array" ref="L923">_xlfn.IFS(Table1[[#This Row],[Customer Tenure in months]]&lt;=6, "0-6 months", Table1[[#This Row],[Customer Tenure in months]] &lt;=12, "7-12 months", Table1[[#This Row],[Customer Tenure in months]] &lt;=24, "1-2 years", TRUE, "2+ years")</f>
        <v>7-12 months</v>
      </c>
      <c r="M923">
        <v>8</v>
      </c>
      <c r="N923" t="s">
        <v>58</v>
      </c>
      <c r="O923" s="1">
        <v>16000</v>
      </c>
      <c r="P923">
        <v>18</v>
      </c>
      <c r="Q923" s="1">
        <v>288000</v>
      </c>
      <c r="R923">
        <v>49.64</v>
      </c>
      <c r="S923" t="s">
        <v>1091</v>
      </c>
      <c r="T923" t="s">
        <v>39</v>
      </c>
    </row>
    <row r="924" spans="1:20" x14ac:dyDescent="0.35">
      <c r="A924" s="22" t="s">
        <v>1023</v>
      </c>
      <c r="B924" cm="1">
        <f t="array" ref="B924">IF(MATCH(Table1[[#This Row],[Customer ID]], Table1[Customer ID], 0) = ROW() - ROW(Table1[#Headers]), 1, 0)</f>
        <v>1</v>
      </c>
      <c r="C924" t="s">
        <v>1024</v>
      </c>
      <c r="D924" s="2">
        <v>45713</v>
      </c>
      <c r="E924">
        <v>54</v>
      </c>
      <c r="F924" t="str" cm="1">
        <f t="array" ref="F924">_xlfn.IFS( Table1[[#This Row],[Age]]&lt;18, "&lt;18", Table1[[#This Row],[Age]]&lt;= 29, "18-29", Table1[[#This Row],[Age]]&lt;= 44, "30-44",  Table1[[#This Row],[Age]]&lt;=59, "45-59", TRUE, "60+")</f>
        <v>45-59</v>
      </c>
      <c r="G924" t="s">
        <v>110</v>
      </c>
      <c r="H924" t="s">
        <v>20</v>
      </c>
      <c r="I924" t="s">
        <v>30</v>
      </c>
      <c r="J924">
        <v>2</v>
      </c>
      <c r="K924" t="s">
        <v>22</v>
      </c>
      <c r="L924" t="str" cm="1">
        <f t="array" ref="L924">_xlfn.IFS(Table1[[#This Row],[Customer Tenure in months]]&lt;=6, "0-6 months", Table1[[#This Row],[Customer Tenure in months]] &lt;=12, "7-12 months", Table1[[#This Row],[Customer Tenure in months]] &lt;=24, "1-2 years", TRUE, "2+ years")</f>
        <v>0-6 months</v>
      </c>
      <c r="M924">
        <v>6</v>
      </c>
      <c r="N924" t="s">
        <v>23</v>
      </c>
      <c r="O924" s="1">
        <v>35000</v>
      </c>
      <c r="P924">
        <v>18</v>
      </c>
      <c r="Q924" s="1">
        <v>630000</v>
      </c>
      <c r="R924">
        <v>192.29</v>
      </c>
      <c r="S924" t="s">
        <v>1091</v>
      </c>
      <c r="T924" t="s">
        <v>39</v>
      </c>
    </row>
    <row r="925" spans="1:20" x14ac:dyDescent="0.35">
      <c r="A925" s="22" t="s">
        <v>1025</v>
      </c>
      <c r="B925" cm="1">
        <f t="array" ref="B925">IF(MATCH(Table1[[#This Row],[Customer ID]], Table1[Customer ID], 0) = ROW() - ROW(Table1[#Headers]), 1, 0)</f>
        <v>1</v>
      </c>
      <c r="C925" t="s">
        <v>1026</v>
      </c>
      <c r="D925" s="2">
        <v>45741</v>
      </c>
      <c r="E925">
        <v>21</v>
      </c>
      <c r="F925" t="str" cm="1">
        <f t="array" ref="F925">_xlfn.IFS( Table1[[#This Row],[Age]]&lt;18, "&lt;18", Table1[[#This Row],[Age]]&lt;= 29, "18-29", Table1[[#This Row],[Age]]&lt;= 44, "30-44",  Table1[[#This Row],[Age]]&lt;=59, "45-59", TRUE, "60+")</f>
        <v>18-29</v>
      </c>
      <c r="G925" t="s">
        <v>452</v>
      </c>
      <c r="H925" t="s">
        <v>36</v>
      </c>
      <c r="I925" t="s">
        <v>30</v>
      </c>
      <c r="J925">
        <v>2</v>
      </c>
      <c r="K925" t="s">
        <v>22</v>
      </c>
      <c r="L925" t="str" cm="1">
        <f t="array" ref="L925">_xlfn.IFS(Table1[[#This Row],[Customer Tenure in months]]&lt;=6, "0-6 months", Table1[[#This Row],[Customer Tenure in months]] &lt;=12, "7-12 months", Table1[[#This Row],[Customer Tenure in months]] &lt;=24, "1-2 years", TRUE, "2+ years")</f>
        <v>2+ years</v>
      </c>
      <c r="M925">
        <v>54</v>
      </c>
      <c r="N925" t="s">
        <v>105</v>
      </c>
      <c r="O925" s="1">
        <v>75000</v>
      </c>
      <c r="P925">
        <v>7</v>
      </c>
      <c r="Q925" s="1">
        <v>525000</v>
      </c>
      <c r="R925">
        <v>199.85</v>
      </c>
      <c r="S925" t="s">
        <v>167</v>
      </c>
      <c r="T925" t="s">
        <v>24</v>
      </c>
    </row>
    <row r="926" spans="1:20" x14ac:dyDescent="0.35">
      <c r="A926" s="22" t="s">
        <v>1025</v>
      </c>
      <c r="B926" cm="1">
        <f t="array" ref="B926">IF(MATCH(Table1[[#This Row],[Customer ID]], Table1[Customer ID], 0) = ROW() - ROW(Table1[#Headers]), 1, 0)</f>
        <v>0</v>
      </c>
      <c r="C926" t="s">
        <v>1026</v>
      </c>
      <c r="D926" s="2">
        <v>45741</v>
      </c>
      <c r="E926">
        <v>21</v>
      </c>
      <c r="F926" t="str" cm="1">
        <f t="array" ref="F926">_xlfn.IFS( Table1[[#This Row],[Age]]&lt;18, "&lt;18", Table1[[#This Row],[Age]]&lt;= 29, "18-29", Table1[[#This Row],[Age]]&lt;= 44, "30-44",  Table1[[#This Row],[Age]]&lt;=59, "45-59", TRUE, "60+")</f>
        <v>18-29</v>
      </c>
      <c r="G926" t="s">
        <v>452</v>
      </c>
      <c r="H926" t="s">
        <v>29</v>
      </c>
      <c r="I926" t="s">
        <v>30</v>
      </c>
      <c r="J926">
        <v>2</v>
      </c>
      <c r="K926" t="s">
        <v>22</v>
      </c>
      <c r="L926" t="str" cm="1">
        <f t="array" ref="L926">_xlfn.IFS(Table1[[#This Row],[Customer Tenure in months]]&lt;=6, "0-6 months", Table1[[#This Row],[Customer Tenure in months]] &lt;=12, "7-12 months", Table1[[#This Row],[Customer Tenure in months]] &lt;=24, "1-2 years", TRUE, "2+ years")</f>
        <v>2+ years</v>
      </c>
      <c r="M926">
        <v>54</v>
      </c>
      <c r="N926" t="s">
        <v>193</v>
      </c>
      <c r="O926" s="1">
        <v>6500</v>
      </c>
      <c r="P926">
        <v>6</v>
      </c>
      <c r="Q926" s="1">
        <v>39000</v>
      </c>
      <c r="R926">
        <v>56.62</v>
      </c>
      <c r="S926" t="s">
        <v>167</v>
      </c>
      <c r="T926" t="s">
        <v>24</v>
      </c>
    </row>
    <row r="927" spans="1:20" x14ac:dyDescent="0.35">
      <c r="A927" s="22" t="s">
        <v>1027</v>
      </c>
      <c r="B927" cm="1">
        <f t="array" ref="B927">IF(MATCH(Table1[[#This Row],[Customer ID]], Table1[Customer ID], 0) = ROW() - ROW(Table1[#Headers]), 1, 0)</f>
        <v>1</v>
      </c>
      <c r="C927" t="s">
        <v>1028</v>
      </c>
      <c r="D927" s="2">
        <v>45682</v>
      </c>
      <c r="E927">
        <v>24</v>
      </c>
      <c r="F927" t="str" cm="1">
        <f t="array" ref="F927">_xlfn.IFS( Table1[[#This Row],[Age]]&lt;18, "&lt;18", Table1[[#This Row],[Age]]&lt;= 29, "18-29", Table1[[#This Row],[Age]]&lt;= 44, "30-44",  Table1[[#This Row],[Age]]&lt;=59, "45-59", TRUE, "60+")</f>
        <v>18-29</v>
      </c>
      <c r="G927" t="s">
        <v>149</v>
      </c>
      <c r="H927" t="s">
        <v>29</v>
      </c>
      <c r="I927" t="s">
        <v>21</v>
      </c>
      <c r="J927">
        <v>2</v>
      </c>
      <c r="K927" t="s">
        <v>22</v>
      </c>
      <c r="L927" t="str" cm="1">
        <f t="array" ref="L927">_xlfn.IFS(Table1[[#This Row],[Customer Tenure in months]]&lt;=6, "0-6 months", Table1[[#This Row],[Customer Tenure in months]] &lt;=12, "7-12 months", Table1[[#This Row],[Customer Tenure in months]] &lt;=24, "1-2 years", TRUE, "2+ years")</f>
        <v>2+ years</v>
      </c>
      <c r="M927">
        <v>26</v>
      </c>
      <c r="N927" t="s">
        <v>193</v>
      </c>
      <c r="O927" s="1">
        <v>6500</v>
      </c>
      <c r="P927">
        <v>11</v>
      </c>
      <c r="Q927" s="1">
        <v>71500</v>
      </c>
      <c r="R927">
        <v>191.5</v>
      </c>
      <c r="S927" t="s">
        <v>1091</v>
      </c>
      <c r="T927" t="s">
        <v>39</v>
      </c>
    </row>
    <row r="928" spans="1:20" x14ac:dyDescent="0.35">
      <c r="A928" s="22" t="s">
        <v>1027</v>
      </c>
      <c r="B928" cm="1">
        <f t="array" ref="B928">IF(MATCH(Table1[[#This Row],[Customer ID]], Table1[Customer ID], 0) = ROW() - ROW(Table1[#Headers]), 1, 0)</f>
        <v>0</v>
      </c>
      <c r="C928" t="s">
        <v>1028</v>
      </c>
      <c r="D928" s="2">
        <v>45682</v>
      </c>
      <c r="E928">
        <v>24</v>
      </c>
      <c r="F928" t="str" cm="1">
        <f t="array" ref="F928">_xlfn.IFS( Table1[[#This Row],[Age]]&lt;18, "&lt;18", Table1[[#This Row],[Age]]&lt;= 29, "18-29", Table1[[#This Row],[Age]]&lt;= 44, "30-44",  Table1[[#This Row],[Age]]&lt;=59, "45-59", TRUE, "60+")</f>
        <v>18-29</v>
      </c>
      <c r="G928" t="s">
        <v>149</v>
      </c>
      <c r="H928" t="s">
        <v>41</v>
      </c>
      <c r="I928" t="s">
        <v>21</v>
      </c>
      <c r="J928">
        <v>2</v>
      </c>
      <c r="K928" t="s">
        <v>22</v>
      </c>
      <c r="L928" t="str" cm="1">
        <f t="array" ref="L928">_xlfn.IFS(Table1[[#This Row],[Customer Tenure in months]]&lt;=6, "0-6 months", Table1[[#This Row],[Customer Tenure in months]] &lt;=12, "7-12 months", Table1[[#This Row],[Customer Tenure in months]] &lt;=24, "1-2 years", TRUE, "2+ years")</f>
        <v>2+ years</v>
      </c>
      <c r="M928">
        <v>26</v>
      </c>
      <c r="N928" t="s">
        <v>65</v>
      </c>
      <c r="O928" s="1">
        <v>30000</v>
      </c>
      <c r="P928">
        <v>15</v>
      </c>
      <c r="Q928" s="1">
        <v>450000</v>
      </c>
      <c r="R928">
        <v>127.22</v>
      </c>
      <c r="S928" t="s">
        <v>1091</v>
      </c>
      <c r="T928" t="s">
        <v>39</v>
      </c>
    </row>
    <row r="929" spans="1:20" x14ac:dyDescent="0.35">
      <c r="A929" s="22" t="s">
        <v>1029</v>
      </c>
      <c r="B929" cm="1">
        <f t="array" ref="B929">IF(MATCH(Table1[[#This Row],[Customer ID]], Table1[Customer ID], 0) = ROW() - ROW(Table1[#Headers]), 1, 0)</f>
        <v>1</v>
      </c>
      <c r="C929" t="s">
        <v>1030</v>
      </c>
      <c r="D929" s="2">
        <v>45682</v>
      </c>
      <c r="E929">
        <v>47</v>
      </c>
      <c r="F929" t="str" cm="1">
        <f t="array" ref="F929">_xlfn.IFS( Table1[[#This Row],[Age]]&lt;18, "&lt;18", Table1[[#This Row],[Age]]&lt;= 29, "18-29", Table1[[#This Row],[Age]]&lt;= 44, "30-44",  Table1[[#This Row],[Age]]&lt;=59, "45-59", TRUE, "60+")</f>
        <v>45-59</v>
      </c>
      <c r="G929" t="s">
        <v>258</v>
      </c>
      <c r="H929" t="s">
        <v>20</v>
      </c>
      <c r="I929" t="s">
        <v>30</v>
      </c>
      <c r="J929">
        <v>5</v>
      </c>
      <c r="K929" t="s">
        <v>55</v>
      </c>
      <c r="L929" t="str" cm="1">
        <f t="array" ref="L929">_xlfn.IFS(Table1[[#This Row],[Customer Tenure in months]]&lt;=6, "0-6 months", Table1[[#This Row],[Customer Tenure in months]] &lt;=12, "7-12 months", Table1[[#This Row],[Customer Tenure in months]] &lt;=24, "1-2 years", TRUE, "2+ years")</f>
        <v>1-2 years</v>
      </c>
      <c r="M929">
        <v>14</v>
      </c>
      <c r="N929" t="s">
        <v>23</v>
      </c>
      <c r="O929" s="1">
        <v>35000</v>
      </c>
      <c r="P929">
        <v>1</v>
      </c>
      <c r="Q929" s="1">
        <v>35000</v>
      </c>
      <c r="R929">
        <v>1.35</v>
      </c>
      <c r="S929" t="s">
        <v>1091</v>
      </c>
      <c r="T929" t="s">
        <v>39</v>
      </c>
    </row>
    <row r="930" spans="1:20" x14ac:dyDescent="0.35">
      <c r="A930" s="22" t="s">
        <v>1029</v>
      </c>
      <c r="B930" cm="1">
        <f t="array" ref="B930">IF(MATCH(Table1[[#This Row],[Customer ID]], Table1[Customer ID], 0) = ROW() - ROW(Table1[#Headers]), 1, 0)</f>
        <v>0</v>
      </c>
      <c r="C930" t="s">
        <v>1030</v>
      </c>
      <c r="D930" s="2">
        <v>45682</v>
      </c>
      <c r="E930">
        <v>47</v>
      </c>
      <c r="F930" t="str" cm="1">
        <f t="array" ref="F930">_xlfn.IFS( Table1[[#This Row],[Age]]&lt;18, "&lt;18", Table1[[#This Row],[Age]]&lt;= 29, "18-29", Table1[[#This Row],[Age]]&lt;= 44, "30-44",  Table1[[#This Row],[Age]]&lt;=59, "45-59", TRUE, "60+")</f>
        <v>45-59</v>
      </c>
      <c r="G930" t="s">
        <v>258</v>
      </c>
      <c r="H930" t="s">
        <v>36</v>
      </c>
      <c r="I930" t="s">
        <v>30</v>
      </c>
      <c r="J930">
        <v>5</v>
      </c>
      <c r="K930" t="s">
        <v>55</v>
      </c>
      <c r="L930" t="str" cm="1">
        <f t="array" ref="L930">_xlfn.IFS(Table1[[#This Row],[Customer Tenure in months]]&lt;=6, "0-6 months", Table1[[#This Row],[Customer Tenure in months]] &lt;=12, "7-12 months", Table1[[#This Row],[Customer Tenure in months]] &lt;=24, "1-2 years", TRUE, "2+ years")</f>
        <v>1-2 years</v>
      </c>
      <c r="M930">
        <v>14</v>
      </c>
      <c r="N930" t="s">
        <v>65</v>
      </c>
      <c r="O930" s="1">
        <v>30000</v>
      </c>
      <c r="P930">
        <v>16</v>
      </c>
      <c r="Q930" s="1">
        <v>480000</v>
      </c>
      <c r="R930">
        <v>82.93</v>
      </c>
      <c r="S930" t="s">
        <v>1091</v>
      </c>
      <c r="T930" t="s">
        <v>39</v>
      </c>
    </row>
    <row r="931" spans="1:20" x14ac:dyDescent="0.35">
      <c r="A931" s="22" t="s">
        <v>1029</v>
      </c>
      <c r="B931" cm="1">
        <f t="array" ref="B931">IF(MATCH(Table1[[#This Row],[Customer ID]], Table1[Customer ID], 0) = ROW() - ROW(Table1[#Headers]), 1, 0)</f>
        <v>0</v>
      </c>
      <c r="C931" t="s">
        <v>1030</v>
      </c>
      <c r="D931" s="2">
        <v>45682</v>
      </c>
      <c r="E931">
        <v>47</v>
      </c>
      <c r="F931" t="str" cm="1">
        <f t="array" ref="F931">_xlfn.IFS( Table1[[#This Row],[Age]]&lt;18, "&lt;18", Table1[[#This Row],[Age]]&lt;= 29, "18-29", Table1[[#This Row],[Age]]&lt;= 44, "30-44",  Table1[[#This Row],[Age]]&lt;=59, "45-59", TRUE, "60+")</f>
        <v>45-59</v>
      </c>
      <c r="G931" t="s">
        <v>258</v>
      </c>
      <c r="H931" t="s">
        <v>41</v>
      </c>
      <c r="I931" t="s">
        <v>30</v>
      </c>
      <c r="J931">
        <v>5</v>
      </c>
      <c r="K931" t="s">
        <v>55</v>
      </c>
      <c r="L931" t="str" cm="1">
        <f t="array" ref="L931">_xlfn.IFS(Table1[[#This Row],[Customer Tenure in months]]&lt;=6, "0-6 months", Table1[[#This Row],[Customer Tenure in months]] &lt;=12, "7-12 months", Table1[[#This Row],[Customer Tenure in months]] &lt;=24, "1-2 years", TRUE, "2+ years")</f>
        <v>1-2 years</v>
      </c>
      <c r="M931">
        <v>14</v>
      </c>
      <c r="N931" t="s">
        <v>71</v>
      </c>
      <c r="O931" s="1">
        <v>14500</v>
      </c>
      <c r="P931">
        <v>3</v>
      </c>
      <c r="Q931" s="1">
        <v>43500</v>
      </c>
      <c r="R931">
        <v>107.86</v>
      </c>
      <c r="S931" t="s">
        <v>1091</v>
      </c>
      <c r="T931" t="s">
        <v>39</v>
      </c>
    </row>
    <row r="932" spans="1:20" x14ac:dyDescent="0.35">
      <c r="A932" s="22" t="s">
        <v>1031</v>
      </c>
      <c r="B932" cm="1">
        <f t="array" ref="B932">IF(MATCH(Table1[[#This Row],[Customer ID]], Table1[Customer ID], 0) = ROW() - ROW(Table1[#Headers]), 1, 0)</f>
        <v>1</v>
      </c>
      <c r="C932" t="s">
        <v>1032</v>
      </c>
      <c r="D932" s="2">
        <v>45682</v>
      </c>
      <c r="E932">
        <v>75</v>
      </c>
      <c r="F932" t="str" cm="1">
        <f t="array" ref="F932">_xlfn.IFS( Table1[[#This Row],[Age]]&lt;18, "&lt;18", Table1[[#This Row],[Age]]&lt;= 29, "18-29", Table1[[#This Row],[Age]]&lt;= 44, "30-44",  Table1[[#This Row],[Age]]&lt;=59, "45-59", TRUE, "60+")</f>
        <v>60+</v>
      </c>
      <c r="G932" t="s">
        <v>45</v>
      </c>
      <c r="H932" t="s">
        <v>36</v>
      </c>
      <c r="I932" t="s">
        <v>21</v>
      </c>
      <c r="J932">
        <v>2</v>
      </c>
      <c r="K932" t="s">
        <v>22</v>
      </c>
      <c r="L932" t="str" cm="1">
        <f t="array" ref="L932">_xlfn.IFS(Table1[[#This Row],[Customer Tenure in months]]&lt;=6, "0-6 months", Table1[[#This Row],[Customer Tenure in months]] &lt;=12, "7-12 months", Table1[[#This Row],[Customer Tenure in months]] &lt;=24, "1-2 years", TRUE, "2+ years")</f>
        <v>2+ years</v>
      </c>
      <c r="M932">
        <v>29</v>
      </c>
      <c r="N932" t="s">
        <v>38</v>
      </c>
      <c r="O932" s="1">
        <v>20000</v>
      </c>
      <c r="P932">
        <v>10</v>
      </c>
      <c r="Q932" s="1">
        <v>200000</v>
      </c>
      <c r="R932">
        <v>163.35</v>
      </c>
      <c r="S932" t="s">
        <v>1091</v>
      </c>
      <c r="T932" t="s">
        <v>39</v>
      </c>
    </row>
    <row r="933" spans="1:20" x14ac:dyDescent="0.35">
      <c r="A933" s="22" t="s">
        <v>1031</v>
      </c>
      <c r="B933" cm="1">
        <f t="array" ref="B933">IF(MATCH(Table1[[#This Row],[Customer ID]], Table1[Customer ID], 0) = ROW() - ROW(Table1[#Headers]), 1, 0)</f>
        <v>0</v>
      </c>
      <c r="C933" t="s">
        <v>1032</v>
      </c>
      <c r="D933" s="2">
        <v>45682</v>
      </c>
      <c r="E933">
        <v>75</v>
      </c>
      <c r="F933" t="str" cm="1">
        <f t="array" ref="F933">_xlfn.IFS( Table1[[#This Row],[Age]]&lt;18, "&lt;18", Table1[[#This Row],[Age]]&lt;= 29, "18-29", Table1[[#This Row],[Age]]&lt;= 44, "30-44",  Table1[[#This Row],[Age]]&lt;=59, "45-59", TRUE, "60+")</f>
        <v>60+</v>
      </c>
      <c r="G933" t="s">
        <v>45</v>
      </c>
      <c r="H933" t="s">
        <v>41</v>
      </c>
      <c r="I933" t="s">
        <v>21</v>
      </c>
      <c r="J933">
        <v>2</v>
      </c>
      <c r="K933" t="s">
        <v>22</v>
      </c>
      <c r="L933" t="str" cm="1">
        <f t="array" ref="L933">_xlfn.IFS(Table1[[#This Row],[Customer Tenure in months]]&lt;=6, "0-6 months", Table1[[#This Row],[Customer Tenure in months]] &lt;=12, "7-12 months", Table1[[#This Row],[Customer Tenure in months]] &lt;=24, "1-2 years", TRUE, "2+ years")</f>
        <v>2+ years</v>
      </c>
      <c r="M933">
        <v>29</v>
      </c>
      <c r="N933" t="s">
        <v>38</v>
      </c>
      <c r="O933" s="1">
        <v>20000</v>
      </c>
      <c r="P933">
        <v>16</v>
      </c>
      <c r="Q933" s="1">
        <v>320000</v>
      </c>
      <c r="R933">
        <v>47.23</v>
      </c>
      <c r="S933" t="s">
        <v>1091</v>
      </c>
      <c r="T933" t="s">
        <v>39</v>
      </c>
    </row>
    <row r="934" spans="1:20" x14ac:dyDescent="0.35">
      <c r="A934" s="22" t="s">
        <v>1033</v>
      </c>
      <c r="B934" cm="1">
        <f t="array" ref="B934">IF(MATCH(Table1[[#This Row],[Customer ID]], Table1[Customer ID], 0) = ROW() - ROW(Table1[#Headers]), 1, 0)</f>
        <v>1</v>
      </c>
      <c r="C934" t="s">
        <v>1034</v>
      </c>
      <c r="D934" s="2">
        <v>45713</v>
      </c>
      <c r="E934">
        <v>20</v>
      </c>
      <c r="F934" t="str" cm="1">
        <f t="array" ref="F934">_xlfn.IFS( Table1[[#This Row],[Age]]&lt;18, "&lt;18", Table1[[#This Row],[Age]]&lt;= 29, "18-29", Table1[[#This Row],[Age]]&lt;= 44, "30-44",  Table1[[#This Row],[Age]]&lt;=59, "45-59", TRUE, "60+")</f>
        <v>18-29</v>
      </c>
      <c r="G934" t="s">
        <v>192</v>
      </c>
      <c r="H934" t="s">
        <v>29</v>
      </c>
      <c r="I934" t="s">
        <v>30</v>
      </c>
      <c r="J934">
        <v>1</v>
      </c>
      <c r="K934" t="s">
        <v>37</v>
      </c>
      <c r="L934" t="str" cm="1">
        <f t="array" ref="L934">_xlfn.IFS(Table1[[#This Row],[Customer Tenure in months]]&lt;=6, "0-6 months", Table1[[#This Row],[Customer Tenure in months]] &lt;=12, "7-12 months", Table1[[#This Row],[Customer Tenure in months]] &lt;=24, "1-2 years", TRUE, "2+ years")</f>
        <v>2+ years</v>
      </c>
      <c r="M934">
        <v>58</v>
      </c>
      <c r="N934" t="s">
        <v>193</v>
      </c>
      <c r="O934" s="1">
        <v>6500</v>
      </c>
      <c r="P934">
        <v>18</v>
      </c>
      <c r="Q934" s="1">
        <v>117000</v>
      </c>
      <c r="R934">
        <v>99.06</v>
      </c>
      <c r="S934" t="s">
        <v>32</v>
      </c>
      <c r="T934" t="s">
        <v>24</v>
      </c>
    </row>
    <row r="935" spans="1:20" x14ac:dyDescent="0.35">
      <c r="A935" s="22" t="s">
        <v>1033</v>
      </c>
      <c r="B935" cm="1">
        <f t="array" ref="B935">IF(MATCH(Table1[[#This Row],[Customer ID]], Table1[Customer ID], 0) = ROW() - ROW(Table1[#Headers]), 1, 0)</f>
        <v>0</v>
      </c>
      <c r="C935" t="s">
        <v>1034</v>
      </c>
      <c r="D935" s="2">
        <v>45713</v>
      </c>
      <c r="E935">
        <v>20</v>
      </c>
      <c r="F935" t="str" cm="1">
        <f t="array" ref="F935">_xlfn.IFS( Table1[[#This Row],[Age]]&lt;18, "&lt;18", Table1[[#This Row],[Age]]&lt;= 29, "18-29", Table1[[#This Row],[Age]]&lt;= 44, "30-44",  Table1[[#This Row],[Age]]&lt;=59, "45-59", TRUE, "60+")</f>
        <v>18-29</v>
      </c>
      <c r="G935" t="s">
        <v>192</v>
      </c>
      <c r="H935" t="s">
        <v>41</v>
      </c>
      <c r="I935" t="s">
        <v>30</v>
      </c>
      <c r="J935">
        <v>1</v>
      </c>
      <c r="K935" t="s">
        <v>37</v>
      </c>
      <c r="L935" t="str" cm="1">
        <f t="array" ref="L935">_xlfn.IFS(Table1[[#This Row],[Customer Tenure in months]]&lt;=6, "0-6 months", Table1[[#This Row],[Customer Tenure in months]] &lt;=12, "7-12 months", Table1[[#This Row],[Customer Tenure in months]] &lt;=24, "1-2 years", TRUE, "2+ years")</f>
        <v>2+ years</v>
      </c>
      <c r="M935">
        <v>58</v>
      </c>
      <c r="N935" t="s">
        <v>38</v>
      </c>
      <c r="O935" s="1">
        <v>20000</v>
      </c>
      <c r="P935">
        <v>19</v>
      </c>
      <c r="Q935" s="1">
        <v>380000</v>
      </c>
      <c r="R935">
        <v>132.13999999999999</v>
      </c>
      <c r="S935" t="s">
        <v>32</v>
      </c>
      <c r="T935" t="s">
        <v>24</v>
      </c>
    </row>
    <row r="936" spans="1:20" x14ac:dyDescent="0.35">
      <c r="A936" s="22" t="s">
        <v>1033</v>
      </c>
      <c r="B936" cm="1">
        <f t="array" ref="B936">IF(MATCH(Table1[[#This Row],[Customer ID]], Table1[Customer ID], 0) = ROW() - ROW(Table1[#Headers]), 1, 0)</f>
        <v>0</v>
      </c>
      <c r="C936" t="s">
        <v>1034</v>
      </c>
      <c r="D936" s="2">
        <v>45713</v>
      </c>
      <c r="E936">
        <v>20</v>
      </c>
      <c r="F936" t="str" cm="1">
        <f t="array" ref="F936">_xlfn.IFS( Table1[[#This Row],[Age]]&lt;18, "&lt;18", Table1[[#This Row],[Age]]&lt;= 29, "18-29", Table1[[#This Row],[Age]]&lt;= 44, "30-44",  Table1[[#This Row],[Age]]&lt;=59, "45-59", TRUE, "60+")</f>
        <v>18-29</v>
      </c>
      <c r="G936" t="s">
        <v>192</v>
      </c>
      <c r="H936" t="s">
        <v>20</v>
      </c>
      <c r="I936" t="s">
        <v>30</v>
      </c>
      <c r="J936">
        <v>1</v>
      </c>
      <c r="K936" t="s">
        <v>37</v>
      </c>
      <c r="L936" t="str" cm="1">
        <f t="array" ref="L936">_xlfn.IFS(Table1[[#This Row],[Customer Tenure in months]]&lt;=6, "0-6 months", Table1[[#This Row],[Customer Tenure in months]] &lt;=12, "7-12 months", Table1[[#This Row],[Customer Tenure in months]] &lt;=24, "1-2 years", TRUE, "2+ years")</f>
        <v>2+ years</v>
      </c>
      <c r="M936">
        <v>58</v>
      </c>
      <c r="N936" t="s">
        <v>46</v>
      </c>
      <c r="O936" s="1">
        <v>4500</v>
      </c>
      <c r="P936">
        <v>5</v>
      </c>
      <c r="Q936" s="1">
        <v>22500</v>
      </c>
      <c r="R936">
        <v>13.54</v>
      </c>
      <c r="S936" t="s">
        <v>32</v>
      </c>
      <c r="T936" t="s">
        <v>24</v>
      </c>
    </row>
    <row r="937" spans="1:20" x14ac:dyDescent="0.35">
      <c r="A937" s="22" t="s">
        <v>1035</v>
      </c>
      <c r="B937" cm="1">
        <f t="array" ref="B937">IF(MATCH(Table1[[#This Row],[Customer ID]], Table1[Customer ID], 0) = ROW() - ROW(Table1[#Headers]), 1, 0)</f>
        <v>1</v>
      </c>
      <c r="C937" t="s">
        <v>1036</v>
      </c>
      <c r="D937" s="2">
        <v>45741</v>
      </c>
      <c r="E937">
        <v>32</v>
      </c>
      <c r="F937" t="str" cm="1">
        <f t="array" ref="F937">_xlfn.IFS( Table1[[#This Row],[Age]]&lt;18, "&lt;18", Table1[[#This Row],[Age]]&lt;= 29, "18-29", Table1[[#This Row],[Age]]&lt;= 44, "30-44",  Table1[[#This Row],[Age]]&lt;=59, "45-59", TRUE, "60+")</f>
        <v>30-44</v>
      </c>
      <c r="G937" t="s">
        <v>143</v>
      </c>
      <c r="H937" t="s">
        <v>36</v>
      </c>
      <c r="I937" t="s">
        <v>21</v>
      </c>
      <c r="J937">
        <v>2</v>
      </c>
      <c r="K937" t="s">
        <v>22</v>
      </c>
      <c r="L937" t="str" cm="1">
        <f t="array" ref="L937">_xlfn.IFS(Table1[[#This Row],[Customer Tenure in months]]&lt;=6, "0-6 months", Table1[[#This Row],[Customer Tenure in months]] &lt;=12, "7-12 months", Table1[[#This Row],[Customer Tenure in months]] &lt;=24, "1-2 years", TRUE, "2+ years")</f>
        <v>2+ years</v>
      </c>
      <c r="M937">
        <v>57</v>
      </c>
      <c r="N937" t="s">
        <v>57</v>
      </c>
      <c r="O937" s="1">
        <v>150000</v>
      </c>
      <c r="P937">
        <v>14</v>
      </c>
      <c r="Q937" s="1">
        <v>2100000</v>
      </c>
      <c r="R937">
        <v>0.89</v>
      </c>
      <c r="S937" t="s">
        <v>1091</v>
      </c>
      <c r="T937" t="s">
        <v>39</v>
      </c>
    </row>
    <row r="938" spans="1:20" x14ac:dyDescent="0.35">
      <c r="A938" s="22" t="s">
        <v>1037</v>
      </c>
      <c r="B938" cm="1">
        <f t="array" ref="B938">IF(MATCH(Table1[[#This Row],[Customer ID]], Table1[Customer ID], 0) = ROW() - ROW(Table1[#Headers]), 1, 0)</f>
        <v>1</v>
      </c>
      <c r="C938" t="s">
        <v>1038</v>
      </c>
      <c r="D938" s="2">
        <v>45682</v>
      </c>
      <c r="E938">
        <v>57</v>
      </c>
      <c r="F938" t="str" cm="1">
        <f t="array" ref="F938">_xlfn.IFS( Table1[[#This Row],[Age]]&lt;18, "&lt;18", Table1[[#This Row],[Age]]&lt;= 29, "18-29", Table1[[#This Row],[Age]]&lt;= 44, "30-44",  Table1[[#This Row],[Age]]&lt;=59, "45-59", TRUE, "60+")</f>
        <v>45-59</v>
      </c>
      <c r="G938" t="s">
        <v>19</v>
      </c>
      <c r="H938" t="s">
        <v>41</v>
      </c>
      <c r="I938" t="s">
        <v>30</v>
      </c>
      <c r="J938">
        <v>5</v>
      </c>
      <c r="K938" t="s">
        <v>55</v>
      </c>
      <c r="L938" t="str" cm="1">
        <f t="array" ref="L938">_xlfn.IFS(Table1[[#This Row],[Customer Tenure in months]]&lt;=6, "0-6 months", Table1[[#This Row],[Customer Tenure in months]] &lt;=12, "7-12 months", Table1[[#This Row],[Customer Tenure in months]] &lt;=24, "1-2 years", TRUE, "2+ years")</f>
        <v>1-2 years</v>
      </c>
      <c r="M938">
        <v>18</v>
      </c>
      <c r="N938" t="s">
        <v>38</v>
      </c>
      <c r="O938" s="1">
        <v>20000</v>
      </c>
      <c r="P938">
        <v>14</v>
      </c>
      <c r="Q938" s="1">
        <v>280000</v>
      </c>
      <c r="R938">
        <v>9.8699999999999992</v>
      </c>
      <c r="S938" t="s">
        <v>1091</v>
      </c>
      <c r="T938" t="s">
        <v>39</v>
      </c>
    </row>
    <row r="939" spans="1:20" x14ac:dyDescent="0.35">
      <c r="A939" s="22" t="s">
        <v>1037</v>
      </c>
      <c r="B939" cm="1">
        <f t="array" ref="B939">IF(MATCH(Table1[[#This Row],[Customer ID]], Table1[Customer ID], 0) = ROW() - ROW(Table1[#Headers]), 1, 0)</f>
        <v>0</v>
      </c>
      <c r="C939" t="s">
        <v>1038</v>
      </c>
      <c r="D939" s="2">
        <v>45682</v>
      </c>
      <c r="E939">
        <v>57</v>
      </c>
      <c r="F939" t="str" cm="1">
        <f t="array" ref="F939">_xlfn.IFS( Table1[[#This Row],[Age]]&lt;18, "&lt;18", Table1[[#This Row],[Age]]&lt;= 29, "18-29", Table1[[#This Row],[Age]]&lt;= 44, "30-44",  Table1[[#This Row],[Age]]&lt;=59, "45-59", TRUE, "60+")</f>
        <v>45-59</v>
      </c>
      <c r="G939" t="s">
        <v>19</v>
      </c>
      <c r="H939" t="s">
        <v>36</v>
      </c>
      <c r="I939" t="s">
        <v>30</v>
      </c>
      <c r="J939">
        <v>5</v>
      </c>
      <c r="K939" t="s">
        <v>55</v>
      </c>
      <c r="L939" t="str" cm="1">
        <f t="array" ref="L939">_xlfn.IFS(Table1[[#This Row],[Customer Tenure in months]]&lt;=6, "0-6 months", Table1[[#This Row],[Customer Tenure in months]] &lt;=12, "7-12 months", Table1[[#This Row],[Customer Tenure in months]] &lt;=24, "1-2 years", TRUE, "2+ years")</f>
        <v>1-2 years</v>
      </c>
      <c r="M939">
        <v>18</v>
      </c>
      <c r="N939" t="s">
        <v>57</v>
      </c>
      <c r="O939" s="1">
        <v>150000</v>
      </c>
      <c r="P939">
        <v>13</v>
      </c>
      <c r="Q939" s="1">
        <v>1950000</v>
      </c>
      <c r="R939">
        <v>63.59</v>
      </c>
      <c r="S939" t="s">
        <v>1091</v>
      </c>
      <c r="T939" t="s">
        <v>39</v>
      </c>
    </row>
    <row r="940" spans="1:20" x14ac:dyDescent="0.35">
      <c r="A940" s="22" t="s">
        <v>1039</v>
      </c>
      <c r="B940" cm="1">
        <f t="array" ref="B940">IF(MATCH(Table1[[#This Row],[Customer ID]], Table1[Customer ID], 0) = ROW() - ROW(Table1[#Headers]), 1, 0)</f>
        <v>1</v>
      </c>
      <c r="C940" t="s">
        <v>796</v>
      </c>
      <c r="D940" s="2">
        <v>45713</v>
      </c>
      <c r="E940">
        <v>58</v>
      </c>
      <c r="F940" t="str" cm="1">
        <f t="array" ref="F940">_xlfn.IFS( Table1[[#This Row],[Age]]&lt;18, "&lt;18", Table1[[#This Row],[Age]]&lt;= 29, "18-29", Table1[[#This Row],[Age]]&lt;= 44, "30-44",  Table1[[#This Row],[Age]]&lt;=59, "45-59", TRUE, "60+")</f>
        <v>45-59</v>
      </c>
      <c r="G940" t="s">
        <v>299</v>
      </c>
      <c r="H940" t="s">
        <v>20</v>
      </c>
      <c r="I940" t="s">
        <v>21</v>
      </c>
      <c r="J940">
        <v>4</v>
      </c>
      <c r="K940" t="s">
        <v>114</v>
      </c>
      <c r="L940" t="str" cm="1">
        <f t="array" ref="L940">_xlfn.IFS(Table1[[#This Row],[Customer Tenure in months]]&lt;=6, "0-6 months", Table1[[#This Row],[Customer Tenure in months]] &lt;=12, "7-12 months", Table1[[#This Row],[Customer Tenure in months]] &lt;=24, "1-2 years", TRUE, "2+ years")</f>
        <v>2+ years</v>
      </c>
      <c r="M940">
        <v>48</v>
      </c>
      <c r="N940" t="s">
        <v>46</v>
      </c>
      <c r="O940" s="1">
        <v>4500</v>
      </c>
      <c r="P940">
        <v>3</v>
      </c>
      <c r="Q940" s="1">
        <v>13500</v>
      </c>
      <c r="R940">
        <v>66.180000000000007</v>
      </c>
      <c r="S940" t="s">
        <v>1091</v>
      </c>
      <c r="T940" t="s">
        <v>39</v>
      </c>
    </row>
    <row r="941" spans="1:20" x14ac:dyDescent="0.35">
      <c r="A941" s="22" t="s">
        <v>1040</v>
      </c>
      <c r="B941" cm="1">
        <f t="array" ref="B941">IF(MATCH(Table1[[#This Row],[Customer ID]], Table1[Customer ID], 0) = ROW() - ROW(Table1[#Headers]), 1, 0)</f>
        <v>1</v>
      </c>
      <c r="C941" t="s">
        <v>1041</v>
      </c>
      <c r="D941" s="2">
        <v>45682</v>
      </c>
      <c r="E941">
        <v>76</v>
      </c>
      <c r="F941" t="str" cm="1">
        <f t="array" ref="F941">_xlfn.IFS( Table1[[#This Row],[Age]]&lt;18, "&lt;18", Table1[[#This Row],[Age]]&lt;= 29, "18-29", Table1[[#This Row],[Age]]&lt;= 44, "30-44",  Table1[[#This Row],[Age]]&lt;=59, "45-59", TRUE, "60+")</f>
        <v>60+</v>
      </c>
      <c r="G941" t="s">
        <v>70</v>
      </c>
      <c r="H941" t="s">
        <v>41</v>
      </c>
      <c r="I941" t="s">
        <v>30</v>
      </c>
      <c r="J941">
        <v>3</v>
      </c>
      <c r="K941" t="s">
        <v>50</v>
      </c>
      <c r="L941" t="str" cm="1">
        <f t="array" ref="L941">_xlfn.IFS(Table1[[#This Row],[Customer Tenure in months]]&lt;=6, "0-6 months", Table1[[#This Row],[Customer Tenure in months]] &lt;=12, "7-12 months", Table1[[#This Row],[Customer Tenure in months]] &lt;=24, "1-2 years", TRUE, "2+ years")</f>
        <v>2+ years</v>
      </c>
      <c r="M941">
        <v>54</v>
      </c>
      <c r="N941" t="s">
        <v>62</v>
      </c>
      <c r="O941" s="1">
        <v>24000</v>
      </c>
      <c r="P941">
        <v>4</v>
      </c>
      <c r="Q941" s="1">
        <v>96000</v>
      </c>
      <c r="R941">
        <v>124.1</v>
      </c>
      <c r="S941" t="s">
        <v>1091</v>
      </c>
      <c r="T941" t="s">
        <v>39</v>
      </c>
    </row>
    <row r="942" spans="1:20" x14ac:dyDescent="0.35">
      <c r="A942" s="22" t="s">
        <v>1042</v>
      </c>
      <c r="B942" cm="1">
        <f t="array" ref="B942">IF(MATCH(Table1[[#This Row],[Customer ID]], Table1[Customer ID], 0) = ROW() - ROW(Table1[#Headers]), 1, 0)</f>
        <v>1</v>
      </c>
      <c r="C942" t="s">
        <v>1043</v>
      </c>
      <c r="D942" s="2">
        <v>45682</v>
      </c>
      <c r="E942">
        <v>31</v>
      </c>
      <c r="F942" t="str" cm="1">
        <f t="array" ref="F942">_xlfn.IFS( Table1[[#This Row],[Age]]&lt;18, "&lt;18", Table1[[#This Row],[Age]]&lt;= 29, "18-29", Table1[[#This Row],[Age]]&lt;= 44, "30-44",  Table1[[#This Row],[Age]]&lt;=59, "45-59", TRUE, "60+")</f>
        <v>30-44</v>
      </c>
      <c r="G942" t="s">
        <v>299</v>
      </c>
      <c r="H942" t="s">
        <v>41</v>
      </c>
      <c r="I942" t="s">
        <v>21</v>
      </c>
      <c r="J942">
        <v>4</v>
      </c>
      <c r="K942" t="s">
        <v>114</v>
      </c>
      <c r="L942" t="str" cm="1">
        <f t="array" ref="L942">_xlfn.IFS(Table1[[#This Row],[Customer Tenure in months]]&lt;=6, "0-6 months", Table1[[#This Row],[Customer Tenure in months]] &lt;=12, "7-12 months", Table1[[#This Row],[Customer Tenure in months]] &lt;=24, "1-2 years", TRUE, "2+ years")</f>
        <v>2+ years</v>
      </c>
      <c r="M942">
        <v>59</v>
      </c>
      <c r="N942" t="s">
        <v>71</v>
      </c>
      <c r="O942" s="1">
        <v>14500</v>
      </c>
      <c r="P942">
        <v>20</v>
      </c>
      <c r="Q942" s="1">
        <v>290000</v>
      </c>
      <c r="R942">
        <v>11.43</v>
      </c>
      <c r="S942" t="s">
        <v>1091</v>
      </c>
      <c r="T942" t="s">
        <v>39</v>
      </c>
    </row>
    <row r="943" spans="1:20" x14ac:dyDescent="0.35">
      <c r="A943" s="22" t="s">
        <v>1042</v>
      </c>
      <c r="B943" cm="1">
        <f t="array" ref="B943">IF(MATCH(Table1[[#This Row],[Customer ID]], Table1[Customer ID], 0) = ROW() - ROW(Table1[#Headers]), 1, 0)</f>
        <v>0</v>
      </c>
      <c r="C943" t="s">
        <v>1043</v>
      </c>
      <c r="D943" s="2">
        <v>45682</v>
      </c>
      <c r="E943">
        <v>31</v>
      </c>
      <c r="F943" t="str" cm="1">
        <f t="array" ref="F943">_xlfn.IFS( Table1[[#This Row],[Age]]&lt;18, "&lt;18", Table1[[#This Row],[Age]]&lt;= 29, "18-29", Table1[[#This Row],[Age]]&lt;= 44, "30-44",  Table1[[#This Row],[Age]]&lt;=59, "45-59", TRUE, "60+")</f>
        <v>30-44</v>
      </c>
      <c r="G943" t="s">
        <v>299</v>
      </c>
      <c r="H943" t="s">
        <v>29</v>
      </c>
      <c r="I943" t="s">
        <v>21</v>
      </c>
      <c r="J943">
        <v>4</v>
      </c>
      <c r="K943" t="s">
        <v>114</v>
      </c>
      <c r="L943" t="str" cm="1">
        <f t="array" ref="L943">_xlfn.IFS(Table1[[#This Row],[Customer Tenure in months]]&lt;=6, "0-6 months", Table1[[#This Row],[Customer Tenure in months]] &lt;=12, "7-12 months", Table1[[#This Row],[Customer Tenure in months]] &lt;=24, "1-2 years", TRUE, "2+ years")</f>
        <v>2+ years</v>
      </c>
      <c r="M943">
        <v>59</v>
      </c>
      <c r="N943" t="s">
        <v>87</v>
      </c>
      <c r="O943" s="1">
        <v>7500</v>
      </c>
      <c r="P943">
        <v>2</v>
      </c>
      <c r="Q943" s="1">
        <v>15000</v>
      </c>
      <c r="R943">
        <v>13.63</v>
      </c>
      <c r="S943" t="s">
        <v>1091</v>
      </c>
      <c r="T943" t="s">
        <v>39</v>
      </c>
    </row>
    <row r="944" spans="1:20" x14ac:dyDescent="0.35">
      <c r="A944" s="22" t="s">
        <v>1042</v>
      </c>
      <c r="B944" cm="1">
        <f t="array" ref="B944">IF(MATCH(Table1[[#This Row],[Customer ID]], Table1[Customer ID], 0) = ROW() - ROW(Table1[#Headers]), 1, 0)</f>
        <v>0</v>
      </c>
      <c r="C944" t="s">
        <v>1043</v>
      </c>
      <c r="D944" s="2">
        <v>45682</v>
      </c>
      <c r="E944">
        <v>31</v>
      </c>
      <c r="F944" t="str" cm="1">
        <f t="array" ref="F944">_xlfn.IFS( Table1[[#This Row],[Age]]&lt;18, "&lt;18", Table1[[#This Row],[Age]]&lt;= 29, "18-29", Table1[[#This Row],[Age]]&lt;= 44, "30-44",  Table1[[#This Row],[Age]]&lt;=59, "45-59", TRUE, "60+")</f>
        <v>30-44</v>
      </c>
      <c r="G944" t="s">
        <v>299</v>
      </c>
      <c r="H944" t="s">
        <v>36</v>
      </c>
      <c r="I944" t="s">
        <v>21</v>
      </c>
      <c r="J944">
        <v>4</v>
      </c>
      <c r="K944" t="s">
        <v>114</v>
      </c>
      <c r="L944" t="str" cm="1">
        <f t="array" ref="L944">_xlfn.IFS(Table1[[#This Row],[Customer Tenure in months]]&lt;=6, "0-6 months", Table1[[#This Row],[Customer Tenure in months]] &lt;=12, "7-12 months", Table1[[#This Row],[Customer Tenure in months]] &lt;=24, "1-2 years", TRUE, "2+ years")</f>
        <v>2+ years</v>
      </c>
      <c r="M944">
        <v>59</v>
      </c>
      <c r="N944" t="s">
        <v>42</v>
      </c>
      <c r="O944" s="1">
        <v>9000</v>
      </c>
      <c r="P944">
        <v>13</v>
      </c>
      <c r="Q944" s="1">
        <v>117000</v>
      </c>
      <c r="R944">
        <v>59.34</v>
      </c>
      <c r="S944" t="s">
        <v>1091</v>
      </c>
      <c r="T944" t="s">
        <v>39</v>
      </c>
    </row>
    <row r="945" spans="1:20" x14ac:dyDescent="0.35">
      <c r="A945" s="22" t="s">
        <v>1044</v>
      </c>
      <c r="B945" cm="1">
        <f t="array" ref="B945">IF(MATCH(Table1[[#This Row],[Customer ID]], Table1[Customer ID], 0) = ROW() - ROW(Table1[#Headers]), 1, 0)</f>
        <v>1</v>
      </c>
      <c r="C945" t="s">
        <v>1045</v>
      </c>
      <c r="D945" s="2">
        <v>45682</v>
      </c>
      <c r="E945">
        <v>28</v>
      </c>
      <c r="F945" t="str" cm="1">
        <f t="array" ref="F945">_xlfn.IFS( Table1[[#This Row],[Age]]&lt;18, "&lt;18", Table1[[#This Row],[Age]]&lt;= 29, "18-29", Table1[[#This Row],[Age]]&lt;= 44, "30-44",  Table1[[#This Row],[Age]]&lt;=59, "45-59", TRUE, "60+")</f>
        <v>18-29</v>
      </c>
      <c r="G945" t="s">
        <v>110</v>
      </c>
      <c r="H945" t="s">
        <v>41</v>
      </c>
      <c r="I945" t="s">
        <v>21</v>
      </c>
      <c r="J945">
        <v>4</v>
      </c>
      <c r="K945" t="s">
        <v>114</v>
      </c>
      <c r="L945" t="str" cm="1">
        <f t="array" ref="L945">_xlfn.IFS(Table1[[#This Row],[Customer Tenure in months]]&lt;=6, "0-6 months", Table1[[#This Row],[Customer Tenure in months]] &lt;=12, "7-12 months", Table1[[#This Row],[Customer Tenure in months]] &lt;=24, "1-2 years", TRUE, "2+ years")</f>
        <v>2+ years</v>
      </c>
      <c r="M945">
        <v>56</v>
      </c>
      <c r="N945" t="s">
        <v>42</v>
      </c>
      <c r="O945" s="1">
        <v>9000</v>
      </c>
      <c r="P945">
        <v>11</v>
      </c>
      <c r="Q945" s="1">
        <v>99000</v>
      </c>
      <c r="R945">
        <v>91.09</v>
      </c>
      <c r="S945" t="s">
        <v>1091</v>
      </c>
      <c r="T945" t="s">
        <v>39</v>
      </c>
    </row>
    <row r="946" spans="1:20" x14ac:dyDescent="0.35">
      <c r="A946" s="22" t="s">
        <v>1044</v>
      </c>
      <c r="B946" cm="1">
        <f t="array" ref="B946">IF(MATCH(Table1[[#This Row],[Customer ID]], Table1[Customer ID], 0) = ROW() - ROW(Table1[#Headers]), 1, 0)</f>
        <v>0</v>
      </c>
      <c r="C946" t="s">
        <v>1045</v>
      </c>
      <c r="D946" s="2">
        <v>45682</v>
      </c>
      <c r="E946">
        <v>28</v>
      </c>
      <c r="F946" t="str" cm="1">
        <f t="array" ref="F946">_xlfn.IFS( Table1[[#This Row],[Age]]&lt;18, "&lt;18", Table1[[#This Row],[Age]]&lt;= 29, "18-29", Table1[[#This Row],[Age]]&lt;= 44, "30-44",  Table1[[#This Row],[Age]]&lt;=59, "45-59", TRUE, "60+")</f>
        <v>18-29</v>
      </c>
      <c r="G946" t="s">
        <v>110</v>
      </c>
      <c r="H946" t="s">
        <v>20</v>
      </c>
      <c r="I946" t="s">
        <v>21</v>
      </c>
      <c r="J946">
        <v>4</v>
      </c>
      <c r="K946" t="s">
        <v>114</v>
      </c>
      <c r="L946" t="str" cm="1">
        <f t="array" ref="L946">_xlfn.IFS(Table1[[#This Row],[Customer Tenure in months]]&lt;=6, "0-6 months", Table1[[#This Row],[Customer Tenure in months]] &lt;=12, "7-12 months", Table1[[#This Row],[Customer Tenure in months]] &lt;=24, "1-2 years", TRUE, "2+ years")</f>
        <v>2+ years</v>
      </c>
      <c r="M946">
        <v>56</v>
      </c>
      <c r="N946" t="s">
        <v>46</v>
      </c>
      <c r="O946" s="1">
        <v>4500</v>
      </c>
      <c r="P946">
        <v>1</v>
      </c>
      <c r="Q946" s="1">
        <v>4500</v>
      </c>
      <c r="R946">
        <v>22.05</v>
      </c>
      <c r="S946" t="s">
        <v>1091</v>
      </c>
      <c r="T946" t="s">
        <v>39</v>
      </c>
    </row>
    <row r="947" spans="1:20" x14ac:dyDescent="0.35">
      <c r="A947" s="22" t="s">
        <v>1046</v>
      </c>
      <c r="B947" cm="1">
        <f t="array" ref="B947">IF(MATCH(Table1[[#This Row],[Customer ID]], Table1[Customer ID], 0) = ROW() - ROW(Table1[#Headers]), 1, 0)</f>
        <v>1</v>
      </c>
      <c r="C947" t="s">
        <v>1047</v>
      </c>
      <c r="D947" s="2">
        <v>45682</v>
      </c>
      <c r="E947">
        <v>40</v>
      </c>
      <c r="F947" t="str" cm="1">
        <f t="array" ref="F947">_xlfn.IFS( Table1[[#This Row],[Age]]&lt;18, "&lt;18", Table1[[#This Row],[Age]]&lt;= 29, "18-29", Table1[[#This Row],[Age]]&lt;= 44, "30-44",  Table1[[#This Row],[Age]]&lt;=59, "45-59", TRUE, "60+")</f>
        <v>30-44</v>
      </c>
      <c r="G947" t="s">
        <v>140</v>
      </c>
      <c r="H947" t="s">
        <v>20</v>
      </c>
      <c r="I947" t="s">
        <v>30</v>
      </c>
      <c r="J947">
        <v>4</v>
      </c>
      <c r="K947" t="s">
        <v>114</v>
      </c>
      <c r="L947" t="str" cm="1">
        <f t="array" ref="L947">_xlfn.IFS(Table1[[#This Row],[Customer Tenure in months]]&lt;=6, "0-6 months", Table1[[#This Row],[Customer Tenure in months]] &lt;=12, "7-12 months", Table1[[#This Row],[Customer Tenure in months]] &lt;=24, "1-2 years", TRUE, "2+ years")</f>
        <v>1-2 years</v>
      </c>
      <c r="M947">
        <v>23</v>
      </c>
      <c r="N947" t="s">
        <v>46</v>
      </c>
      <c r="O947" s="1">
        <v>4500</v>
      </c>
      <c r="P947">
        <v>2</v>
      </c>
      <c r="Q947" s="1">
        <v>9000</v>
      </c>
      <c r="R947">
        <v>159.51</v>
      </c>
      <c r="S947" t="s">
        <v>1091</v>
      </c>
      <c r="T947" t="s">
        <v>39</v>
      </c>
    </row>
    <row r="948" spans="1:20" x14ac:dyDescent="0.35">
      <c r="A948" s="22" t="s">
        <v>1046</v>
      </c>
      <c r="B948" cm="1">
        <f t="array" ref="B948">IF(MATCH(Table1[[#This Row],[Customer ID]], Table1[Customer ID], 0) = ROW() - ROW(Table1[#Headers]), 1, 0)</f>
        <v>0</v>
      </c>
      <c r="C948" t="s">
        <v>1047</v>
      </c>
      <c r="D948" s="2">
        <v>45682</v>
      </c>
      <c r="E948">
        <v>40</v>
      </c>
      <c r="F948" t="str" cm="1">
        <f t="array" ref="F948">_xlfn.IFS( Table1[[#This Row],[Age]]&lt;18, "&lt;18", Table1[[#This Row],[Age]]&lt;= 29, "18-29", Table1[[#This Row],[Age]]&lt;= 44, "30-44",  Table1[[#This Row],[Age]]&lt;=59, "45-59", TRUE, "60+")</f>
        <v>30-44</v>
      </c>
      <c r="G948" t="s">
        <v>140</v>
      </c>
      <c r="H948" t="s">
        <v>41</v>
      </c>
      <c r="I948" t="s">
        <v>30</v>
      </c>
      <c r="J948">
        <v>4</v>
      </c>
      <c r="K948" t="s">
        <v>114</v>
      </c>
      <c r="L948" t="str" cm="1">
        <f t="array" ref="L948">_xlfn.IFS(Table1[[#This Row],[Customer Tenure in months]]&lt;=6, "0-6 months", Table1[[#This Row],[Customer Tenure in months]] &lt;=12, "7-12 months", Table1[[#This Row],[Customer Tenure in months]] &lt;=24, "1-2 years", TRUE, "2+ years")</f>
        <v>1-2 years</v>
      </c>
      <c r="M948">
        <v>23</v>
      </c>
      <c r="N948" t="s">
        <v>38</v>
      </c>
      <c r="O948" s="1">
        <v>20000</v>
      </c>
      <c r="P948">
        <v>14</v>
      </c>
      <c r="Q948" s="1">
        <v>280000</v>
      </c>
      <c r="R948">
        <v>62.68</v>
      </c>
      <c r="S948" t="s">
        <v>1091</v>
      </c>
      <c r="T948" t="s">
        <v>39</v>
      </c>
    </row>
    <row r="949" spans="1:20" x14ac:dyDescent="0.35">
      <c r="A949" s="22" t="s">
        <v>1048</v>
      </c>
      <c r="B949" cm="1">
        <f t="array" ref="B949">IF(MATCH(Table1[[#This Row],[Customer ID]], Table1[Customer ID], 0) = ROW() - ROW(Table1[#Headers]), 1, 0)</f>
        <v>1</v>
      </c>
      <c r="C949" t="s">
        <v>577</v>
      </c>
      <c r="D949" s="2">
        <v>45682</v>
      </c>
      <c r="E949">
        <v>61</v>
      </c>
      <c r="F949" t="str" cm="1">
        <f t="array" ref="F949">_xlfn.IFS( Table1[[#This Row],[Age]]&lt;18, "&lt;18", Table1[[#This Row],[Age]]&lt;= 29, "18-29", Table1[[#This Row],[Age]]&lt;= 44, "30-44",  Table1[[#This Row],[Age]]&lt;=59, "45-59", TRUE, "60+")</f>
        <v>60+</v>
      </c>
      <c r="G949" t="s">
        <v>149</v>
      </c>
      <c r="H949" t="s">
        <v>36</v>
      </c>
      <c r="I949" t="s">
        <v>21</v>
      </c>
      <c r="J949">
        <v>3</v>
      </c>
      <c r="K949" t="s">
        <v>50</v>
      </c>
      <c r="L949" t="str" cm="1">
        <f t="array" ref="L949">_xlfn.IFS(Table1[[#This Row],[Customer Tenure in months]]&lt;=6, "0-6 months", Table1[[#This Row],[Customer Tenure in months]] &lt;=12, "7-12 months", Table1[[#This Row],[Customer Tenure in months]] &lt;=24, "1-2 years", TRUE, "2+ years")</f>
        <v>7-12 months</v>
      </c>
      <c r="M949">
        <v>10</v>
      </c>
      <c r="N949" t="s">
        <v>65</v>
      </c>
      <c r="O949" s="1">
        <v>30000</v>
      </c>
      <c r="P949">
        <v>17</v>
      </c>
      <c r="Q949" s="1">
        <v>510000</v>
      </c>
      <c r="R949">
        <v>11.93</v>
      </c>
      <c r="S949" t="s">
        <v>1091</v>
      </c>
      <c r="T949" t="s">
        <v>39</v>
      </c>
    </row>
    <row r="950" spans="1:20" x14ac:dyDescent="0.35">
      <c r="A950" s="22" t="s">
        <v>1048</v>
      </c>
      <c r="B950" cm="1">
        <f t="array" ref="B950">IF(MATCH(Table1[[#This Row],[Customer ID]], Table1[Customer ID], 0) = ROW() - ROW(Table1[#Headers]), 1, 0)</f>
        <v>0</v>
      </c>
      <c r="C950" t="s">
        <v>577</v>
      </c>
      <c r="D950" s="2">
        <v>45682</v>
      </c>
      <c r="E950">
        <v>61</v>
      </c>
      <c r="F950" t="str" cm="1">
        <f t="array" ref="F950">_xlfn.IFS( Table1[[#This Row],[Age]]&lt;18, "&lt;18", Table1[[#This Row],[Age]]&lt;= 29, "18-29", Table1[[#This Row],[Age]]&lt;= 44, "30-44",  Table1[[#This Row],[Age]]&lt;=59, "45-59", TRUE, "60+")</f>
        <v>60+</v>
      </c>
      <c r="G950" t="s">
        <v>149</v>
      </c>
      <c r="H950" t="s">
        <v>41</v>
      </c>
      <c r="I950" t="s">
        <v>21</v>
      </c>
      <c r="J950">
        <v>3</v>
      </c>
      <c r="K950" t="s">
        <v>50</v>
      </c>
      <c r="L950" t="str" cm="1">
        <f t="array" ref="L950">_xlfn.IFS(Table1[[#This Row],[Customer Tenure in months]]&lt;=6, "0-6 months", Table1[[#This Row],[Customer Tenure in months]] &lt;=12, "7-12 months", Table1[[#This Row],[Customer Tenure in months]] &lt;=24, "1-2 years", TRUE, "2+ years")</f>
        <v>7-12 months</v>
      </c>
      <c r="M950">
        <v>10</v>
      </c>
      <c r="N950" t="s">
        <v>62</v>
      </c>
      <c r="O950" s="1">
        <v>24000</v>
      </c>
      <c r="P950">
        <v>14</v>
      </c>
      <c r="Q950" s="1">
        <v>336000</v>
      </c>
      <c r="R950">
        <v>171.81</v>
      </c>
      <c r="S950" t="s">
        <v>1091</v>
      </c>
      <c r="T950" t="s">
        <v>39</v>
      </c>
    </row>
    <row r="951" spans="1:20" x14ac:dyDescent="0.35">
      <c r="A951" s="22" t="s">
        <v>1049</v>
      </c>
      <c r="B951" cm="1">
        <f t="array" ref="B951">IF(MATCH(Table1[[#This Row],[Customer ID]], Table1[Customer ID], 0) = ROW() - ROW(Table1[#Headers]), 1, 0)</f>
        <v>1</v>
      </c>
      <c r="C951" t="s">
        <v>1050</v>
      </c>
      <c r="D951" s="2">
        <v>45682</v>
      </c>
      <c r="E951">
        <v>41</v>
      </c>
      <c r="F951" t="str" cm="1">
        <f t="array" ref="F951">_xlfn.IFS( Table1[[#This Row],[Age]]&lt;18, "&lt;18", Table1[[#This Row],[Age]]&lt;= 29, "18-29", Table1[[#This Row],[Age]]&lt;= 44, "30-44",  Table1[[#This Row],[Age]]&lt;=59, "45-59", TRUE, "60+")</f>
        <v>30-44</v>
      </c>
      <c r="G951" t="s">
        <v>121</v>
      </c>
      <c r="H951" t="s">
        <v>29</v>
      </c>
      <c r="I951" t="s">
        <v>21</v>
      </c>
      <c r="J951">
        <v>3</v>
      </c>
      <c r="K951" t="s">
        <v>50</v>
      </c>
      <c r="L951" t="str" cm="1">
        <f t="array" ref="L951">_xlfn.IFS(Table1[[#This Row],[Customer Tenure in months]]&lt;=6, "0-6 months", Table1[[#This Row],[Customer Tenure in months]] &lt;=12, "7-12 months", Table1[[#This Row],[Customer Tenure in months]] &lt;=24, "1-2 years", TRUE, "2+ years")</f>
        <v>2+ years</v>
      </c>
      <c r="M951">
        <v>51</v>
      </c>
      <c r="N951" t="s">
        <v>56</v>
      </c>
      <c r="O951" s="1">
        <v>3500</v>
      </c>
      <c r="P951">
        <v>14</v>
      </c>
      <c r="Q951" s="1">
        <v>49000</v>
      </c>
      <c r="R951">
        <v>123.41</v>
      </c>
      <c r="S951" t="s">
        <v>167</v>
      </c>
      <c r="T951" t="s">
        <v>24</v>
      </c>
    </row>
    <row r="952" spans="1:20" x14ac:dyDescent="0.35">
      <c r="A952" s="22" t="s">
        <v>1049</v>
      </c>
      <c r="B952" cm="1">
        <f t="array" ref="B952">IF(MATCH(Table1[[#This Row],[Customer ID]], Table1[Customer ID], 0) = ROW() - ROW(Table1[#Headers]), 1, 0)</f>
        <v>0</v>
      </c>
      <c r="C952" t="s">
        <v>1050</v>
      </c>
      <c r="D952" s="2">
        <v>45682</v>
      </c>
      <c r="E952">
        <v>41</v>
      </c>
      <c r="F952" t="str" cm="1">
        <f t="array" ref="F952">_xlfn.IFS( Table1[[#This Row],[Age]]&lt;18, "&lt;18", Table1[[#This Row],[Age]]&lt;= 29, "18-29", Table1[[#This Row],[Age]]&lt;= 44, "30-44",  Table1[[#This Row],[Age]]&lt;=59, "45-59", TRUE, "60+")</f>
        <v>30-44</v>
      </c>
      <c r="G952" t="s">
        <v>121</v>
      </c>
      <c r="H952" t="s">
        <v>36</v>
      </c>
      <c r="I952" t="s">
        <v>21</v>
      </c>
      <c r="J952">
        <v>3</v>
      </c>
      <c r="K952" t="s">
        <v>50</v>
      </c>
      <c r="L952" t="str" cm="1">
        <f t="array" ref="L952">_xlfn.IFS(Table1[[#This Row],[Customer Tenure in months]]&lt;=6, "0-6 months", Table1[[#This Row],[Customer Tenure in months]] &lt;=12, "7-12 months", Table1[[#This Row],[Customer Tenure in months]] &lt;=24, "1-2 years", TRUE, "2+ years")</f>
        <v>2+ years</v>
      </c>
      <c r="M952">
        <v>51</v>
      </c>
      <c r="N952" t="s">
        <v>115</v>
      </c>
      <c r="O952" s="1">
        <v>25000</v>
      </c>
      <c r="P952">
        <v>15</v>
      </c>
      <c r="Q952" s="1">
        <v>375000</v>
      </c>
      <c r="R952">
        <v>32.869999999999997</v>
      </c>
      <c r="S952" t="s">
        <v>167</v>
      </c>
      <c r="T952" t="s">
        <v>24</v>
      </c>
    </row>
    <row r="953" spans="1:20" x14ac:dyDescent="0.35">
      <c r="A953" s="22" t="s">
        <v>1049</v>
      </c>
      <c r="B953" cm="1">
        <f t="array" ref="B953">IF(MATCH(Table1[[#This Row],[Customer ID]], Table1[Customer ID], 0) = ROW() - ROW(Table1[#Headers]), 1, 0)</f>
        <v>0</v>
      </c>
      <c r="C953" t="s">
        <v>1050</v>
      </c>
      <c r="D953" s="2">
        <v>45682</v>
      </c>
      <c r="E953">
        <v>41</v>
      </c>
      <c r="F953" t="str" cm="1">
        <f t="array" ref="F953">_xlfn.IFS( Table1[[#This Row],[Age]]&lt;18, "&lt;18", Table1[[#This Row],[Age]]&lt;= 29, "18-29", Table1[[#This Row],[Age]]&lt;= 44, "30-44",  Table1[[#This Row],[Age]]&lt;=59, "45-59", TRUE, "60+")</f>
        <v>30-44</v>
      </c>
      <c r="G953" t="s">
        <v>121</v>
      </c>
      <c r="H953" t="s">
        <v>20</v>
      </c>
      <c r="I953" t="s">
        <v>21</v>
      </c>
      <c r="J953">
        <v>3</v>
      </c>
      <c r="K953" t="s">
        <v>50</v>
      </c>
      <c r="L953" t="str" cm="1">
        <f t="array" ref="L953">_xlfn.IFS(Table1[[#This Row],[Customer Tenure in months]]&lt;=6, "0-6 months", Table1[[#This Row],[Customer Tenure in months]] &lt;=12, "7-12 months", Table1[[#This Row],[Customer Tenure in months]] &lt;=24, "1-2 years", TRUE, "2+ years")</f>
        <v>2+ years</v>
      </c>
      <c r="M953">
        <v>51</v>
      </c>
      <c r="N953" t="s">
        <v>58</v>
      </c>
      <c r="O953" s="1">
        <v>16000</v>
      </c>
      <c r="P953">
        <v>1</v>
      </c>
      <c r="Q953" s="1">
        <v>16000</v>
      </c>
      <c r="R953">
        <v>99.44</v>
      </c>
      <c r="S953" t="s">
        <v>167</v>
      </c>
      <c r="T953" t="s">
        <v>24</v>
      </c>
    </row>
    <row r="954" spans="1:20" x14ac:dyDescent="0.35">
      <c r="A954" s="22" t="s">
        <v>1051</v>
      </c>
      <c r="B954" cm="1">
        <f t="array" ref="B954">IF(MATCH(Table1[[#This Row],[Customer ID]], Table1[Customer ID], 0) = ROW() - ROW(Table1[#Headers]), 1, 0)</f>
        <v>1</v>
      </c>
      <c r="C954" t="s">
        <v>1052</v>
      </c>
      <c r="D954" s="2">
        <v>45682</v>
      </c>
      <c r="E954">
        <v>45</v>
      </c>
      <c r="F954" t="str" cm="1">
        <f t="array" ref="F954">_xlfn.IFS( Table1[[#This Row],[Age]]&lt;18, "&lt;18", Table1[[#This Row],[Age]]&lt;= 29, "18-29", Table1[[#This Row],[Age]]&lt;= 44, "30-44",  Table1[[#This Row],[Age]]&lt;=59, "45-59", TRUE, "60+")</f>
        <v>45-59</v>
      </c>
      <c r="G954" t="s">
        <v>35</v>
      </c>
      <c r="H954" t="s">
        <v>20</v>
      </c>
      <c r="I954" t="s">
        <v>21</v>
      </c>
      <c r="J954">
        <v>3</v>
      </c>
      <c r="K954" t="s">
        <v>50</v>
      </c>
      <c r="L954" t="str" cm="1">
        <f t="array" ref="L954">_xlfn.IFS(Table1[[#This Row],[Customer Tenure in months]]&lt;=6, "0-6 months", Table1[[#This Row],[Customer Tenure in months]] &lt;=12, "7-12 months", Table1[[#This Row],[Customer Tenure in months]] &lt;=24, "1-2 years", TRUE, "2+ years")</f>
        <v>1-2 years</v>
      </c>
      <c r="M954">
        <v>16</v>
      </c>
      <c r="N954" t="s">
        <v>46</v>
      </c>
      <c r="O954" s="1">
        <v>4500</v>
      </c>
      <c r="P954">
        <v>1</v>
      </c>
      <c r="Q954" s="1">
        <v>4500</v>
      </c>
      <c r="R954">
        <v>165.3</v>
      </c>
      <c r="S954" t="s">
        <v>1091</v>
      </c>
      <c r="T954" t="s">
        <v>39</v>
      </c>
    </row>
    <row r="955" spans="1:20" x14ac:dyDescent="0.35">
      <c r="A955" s="22" t="s">
        <v>1051</v>
      </c>
      <c r="B955" cm="1">
        <f t="array" ref="B955">IF(MATCH(Table1[[#This Row],[Customer ID]], Table1[Customer ID], 0) = ROW() - ROW(Table1[#Headers]), 1, 0)</f>
        <v>0</v>
      </c>
      <c r="C955" t="s">
        <v>1052</v>
      </c>
      <c r="D955" s="2">
        <v>45682</v>
      </c>
      <c r="E955">
        <v>45</v>
      </c>
      <c r="F955" t="str" cm="1">
        <f t="array" ref="F955">_xlfn.IFS( Table1[[#This Row],[Age]]&lt;18, "&lt;18", Table1[[#This Row],[Age]]&lt;= 29, "18-29", Table1[[#This Row],[Age]]&lt;= 44, "30-44",  Table1[[#This Row],[Age]]&lt;=59, "45-59", TRUE, "60+")</f>
        <v>45-59</v>
      </c>
      <c r="G955" t="s">
        <v>35</v>
      </c>
      <c r="H955" t="s">
        <v>29</v>
      </c>
      <c r="I955" t="s">
        <v>21</v>
      </c>
      <c r="J955">
        <v>3</v>
      </c>
      <c r="K955" t="s">
        <v>50</v>
      </c>
      <c r="L955" t="str" cm="1">
        <f t="array" ref="L955">_xlfn.IFS(Table1[[#This Row],[Customer Tenure in months]]&lt;=6, "0-6 months", Table1[[#This Row],[Customer Tenure in months]] &lt;=12, "7-12 months", Table1[[#This Row],[Customer Tenure in months]] &lt;=24, "1-2 years", TRUE, "2+ years")</f>
        <v>1-2 years</v>
      </c>
      <c r="M955">
        <v>16</v>
      </c>
      <c r="N955" t="s">
        <v>56</v>
      </c>
      <c r="O955" s="1">
        <v>3500</v>
      </c>
      <c r="P955">
        <v>12</v>
      </c>
      <c r="Q955" s="1">
        <v>42000</v>
      </c>
      <c r="R955">
        <v>2.4700000000000002</v>
      </c>
      <c r="S955" t="s">
        <v>1091</v>
      </c>
      <c r="T955" t="s">
        <v>39</v>
      </c>
    </row>
    <row r="956" spans="1:20" x14ac:dyDescent="0.35">
      <c r="A956" s="22" t="s">
        <v>1053</v>
      </c>
      <c r="B956" cm="1">
        <f t="array" ref="B956">IF(MATCH(Table1[[#This Row],[Customer ID]], Table1[Customer ID], 0) = ROW() - ROW(Table1[#Headers]), 1, 0)</f>
        <v>1</v>
      </c>
      <c r="C956" t="s">
        <v>1054</v>
      </c>
      <c r="D956" s="2">
        <v>45713</v>
      </c>
      <c r="E956">
        <v>30</v>
      </c>
      <c r="F956" t="str" cm="1">
        <f t="array" ref="F956">_xlfn.IFS( Table1[[#This Row],[Age]]&lt;18, "&lt;18", Table1[[#This Row],[Age]]&lt;= 29, "18-29", Table1[[#This Row],[Age]]&lt;= 44, "30-44",  Table1[[#This Row],[Age]]&lt;=59, "45-59", TRUE, "60+")</f>
        <v>30-44</v>
      </c>
      <c r="G956" t="s">
        <v>54</v>
      </c>
      <c r="H956" t="s">
        <v>41</v>
      </c>
      <c r="I956" t="s">
        <v>30</v>
      </c>
      <c r="J956">
        <v>5</v>
      </c>
      <c r="K956" t="s">
        <v>55</v>
      </c>
      <c r="L956" t="str" cm="1">
        <f t="array" ref="L956">_xlfn.IFS(Table1[[#This Row],[Customer Tenure in months]]&lt;=6, "0-6 months", Table1[[#This Row],[Customer Tenure in months]] &lt;=12, "7-12 months", Table1[[#This Row],[Customer Tenure in months]] &lt;=24, "1-2 years", TRUE, "2+ years")</f>
        <v>2+ years</v>
      </c>
      <c r="M956">
        <v>29</v>
      </c>
      <c r="N956" t="s">
        <v>38</v>
      </c>
      <c r="O956" s="1">
        <v>20000</v>
      </c>
      <c r="P956">
        <v>6</v>
      </c>
      <c r="Q956" s="1">
        <v>120000</v>
      </c>
      <c r="R956">
        <v>39.97</v>
      </c>
      <c r="S956" t="s">
        <v>1091</v>
      </c>
      <c r="T956" t="s">
        <v>39</v>
      </c>
    </row>
    <row r="957" spans="1:20" x14ac:dyDescent="0.35">
      <c r="A957" s="22" t="s">
        <v>1053</v>
      </c>
      <c r="B957" cm="1">
        <f t="array" ref="B957">IF(MATCH(Table1[[#This Row],[Customer ID]], Table1[Customer ID], 0) = ROW() - ROW(Table1[#Headers]), 1, 0)</f>
        <v>0</v>
      </c>
      <c r="C957" t="s">
        <v>1054</v>
      </c>
      <c r="D957" s="2">
        <v>45713</v>
      </c>
      <c r="E957">
        <v>30</v>
      </c>
      <c r="F957" t="str" cm="1">
        <f t="array" ref="F957">_xlfn.IFS( Table1[[#This Row],[Age]]&lt;18, "&lt;18", Table1[[#This Row],[Age]]&lt;= 29, "18-29", Table1[[#This Row],[Age]]&lt;= 44, "30-44",  Table1[[#This Row],[Age]]&lt;=59, "45-59", TRUE, "60+")</f>
        <v>30-44</v>
      </c>
      <c r="G957" t="s">
        <v>54</v>
      </c>
      <c r="H957" t="s">
        <v>29</v>
      </c>
      <c r="I957" t="s">
        <v>30</v>
      </c>
      <c r="J957">
        <v>5</v>
      </c>
      <c r="K957" t="s">
        <v>55</v>
      </c>
      <c r="L957" t="str" cm="1">
        <f t="array" ref="L957">_xlfn.IFS(Table1[[#This Row],[Customer Tenure in months]]&lt;=6, "0-6 months", Table1[[#This Row],[Customer Tenure in months]] &lt;=12, "7-12 months", Table1[[#This Row],[Customer Tenure in months]] &lt;=24, "1-2 years", TRUE, "2+ years")</f>
        <v>2+ years</v>
      </c>
      <c r="M957">
        <v>29</v>
      </c>
      <c r="N957" t="s">
        <v>72</v>
      </c>
      <c r="O957" s="1">
        <v>350</v>
      </c>
      <c r="P957">
        <v>6</v>
      </c>
      <c r="Q957" s="1">
        <v>2100</v>
      </c>
      <c r="R957">
        <v>177.13</v>
      </c>
      <c r="S957" t="s">
        <v>1091</v>
      </c>
      <c r="T957" t="s">
        <v>39</v>
      </c>
    </row>
    <row r="958" spans="1:20" x14ac:dyDescent="0.35">
      <c r="A958" s="22" t="s">
        <v>1055</v>
      </c>
      <c r="B958" cm="1">
        <f t="array" ref="B958">IF(MATCH(Table1[[#This Row],[Customer ID]], Table1[Customer ID], 0) = ROW() - ROW(Table1[#Headers]), 1, 0)</f>
        <v>1</v>
      </c>
      <c r="C958" t="s">
        <v>1056</v>
      </c>
      <c r="D958" s="2">
        <v>45713</v>
      </c>
      <c r="E958">
        <v>47</v>
      </c>
      <c r="F958" t="str" cm="1">
        <f t="array" ref="F958">_xlfn.IFS( Table1[[#This Row],[Age]]&lt;18, "&lt;18", Table1[[#This Row],[Age]]&lt;= 29, "18-29", Table1[[#This Row],[Age]]&lt;= 44, "30-44",  Table1[[#This Row],[Age]]&lt;=59, "45-59", TRUE, "60+")</f>
        <v>45-59</v>
      </c>
      <c r="G958" t="s">
        <v>131</v>
      </c>
      <c r="H958" t="s">
        <v>20</v>
      </c>
      <c r="I958" t="s">
        <v>21</v>
      </c>
      <c r="J958">
        <v>3</v>
      </c>
      <c r="K958" t="s">
        <v>50</v>
      </c>
      <c r="L958" t="str" cm="1">
        <f t="array" ref="L958">_xlfn.IFS(Table1[[#This Row],[Customer Tenure in months]]&lt;=6, "0-6 months", Table1[[#This Row],[Customer Tenure in months]] &lt;=12, "7-12 months", Table1[[#This Row],[Customer Tenure in months]] &lt;=24, "1-2 years", TRUE, "2+ years")</f>
        <v>0-6 months</v>
      </c>
      <c r="M958">
        <v>2</v>
      </c>
      <c r="N958" t="s">
        <v>23</v>
      </c>
      <c r="O958" s="1">
        <v>35000</v>
      </c>
      <c r="P958">
        <v>4</v>
      </c>
      <c r="Q958" s="1">
        <v>140000</v>
      </c>
      <c r="R958">
        <v>131.15</v>
      </c>
      <c r="S958" t="s">
        <v>1091</v>
      </c>
      <c r="T958" t="s">
        <v>39</v>
      </c>
    </row>
    <row r="959" spans="1:20" x14ac:dyDescent="0.35">
      <c r="A959" s="22" t="s">
        <v>1057</v>
      </c>
      <c r="B959" cm="1">
        <f t="array" ref="B959">IF(MATCH(Table1[[#This Row],[Customer ID]], Table1[Customer ID], 0) = ROW() - ROW(Table1[#Headers]), 1, 0)</f>
        <v>1</v>
      </c>
      <c r="C959" t="s">
        <v>1058</v>
      </c>
      <c r="D959" s="2">
        <v>45741</v>
      </c>
      <c r="E959">
        <v>42</v>
      </c>
      <c r="F959" t="str" cm="1">
        <f t="array" ref="F959">_xlfn.IFS( Table1[[#This Row],[Age]]&lt;18, "&lt;18", Table1[[#This Row],[Age]]&lt;= 29, "18-29", Table1[[#This Row],[Age]]&lt;= 44, "30-44",  Table1[[#This Row],[Age]]&lt;=59, "45-59", TRUE, "60+")</f>
        <v>30-44</v>
      </c>
      <c r="G959" t="s">
        <v>149</v>
      </c>
      <c r="H959" t="s">
        <v>29</v>
      </c>
      <c r="I959" t="s">
        <v>30</v>
      </c>
      <c r="J959">
        <v>3</v>
      </c>
      <c r="K959" t="s">
        <v>50</v>
      </c>
      <c r="L959" t="str" cm="1">
        <f t="array" ref="L959">_xlfn.IFS(Table1[[#This Row],[Customer Tenure in months]]&lt;=6, "0-6 months", Table1[[#This Row],[Customer Tenure in months]] &lt;=12, "7-12 months", Table1[[#This Row],[Customer Tenure in months]] &lt;=24, "1-2 years", TRUE, "2+ years")</f>
        <v>1-2 years</v>
      </c>
      <c r="M959">
        <v>16</v>
      </c>
      <c r="N959" t="s">
        <v>83</v>
      </c>
      <c r="O959" s="1">
        <v>1000</v>
      </c>
      <c r="P959">
        <v>5</v>
      </c>
      <c r="Q959" s="1">
        <v>5000</v>
      </c>
      <c r="R959">
        <v>29.31</v>
      </c>
      <c r="S959" t="s">
        <v>1091</v>
      </c>
      <c r="T959" t="s">
        <v>39</v>
      </c>
    </row>
    <row r="960" spans="1:20" x14ac:dyDescent="0.35">
      <c r="A960" s="22" t="s">
        <v>1057</v>
      </c>
      <c r="B960" cm="1">
        <f t="array" ref="B960">IF(MATCH(Table1[[#This Row],[Customer ID]], Table1[Customer ID], 0) = ROW() - ROW(Table1[#Headers]), 1, 0)</f>
        <v>0</v>
      </c>
      <c r="C960" t="s">
        <v>1058</v>
      </c>
      <c r="D960" s="2">
        <v>45741</v>
      </c>
      <c r="E960">
        <v>42</v>
      </c>
      <c r="F960" t="str" cm="1">
        <f t="array" ref="F960">_xlfn.IFS( Table1[[#This Row],[Age]]&lt;18, "&lt;18", Table1[[#This Row],[Age]]&lt;= 29, "18-29", Table1[[#This Row],[Age]]&lt;= 44, "30-44",  Table1[[#This Row],[Age]]&lt;=59, "45-59", TRUE, "60+")</f>
        <v>30-44</v>
      </c>
      <c r="G960" t="s">
        <v>149</v>
      </c>
      <c r="H960" t="s">
        <v>36</v>
      </c>
      <c r="I960" t="s">
        <v>30</v>
      </c>
      <c r="J960">
        <v>3</v>
      </c>
      <c r="K960" t="s">
        <v>50</v>
      </c>
      <c r="L960" t="str" cm="1">
        <f t="array" ref="L960">_xlfn.IFS(Table1[[#This Row],[Customer Tenure in months]]&lt;=6, "0-6 months", Table1[[#This Row],[Customer Tenure in months]] &lt;=12, "7-12 months", Table1[[#This Row],[Customer Tenure in months]] &lt;=24, "1-2 years", TRUE, "2+ years")</f>
        <v>1-2 years</v>
      </c>
      <c r="M960">
        <v>16</v>
      </c>
      <c r="N960" t="s">
        <v>71</v>
      </c>
      <c r="O960" s="1">
        <v>14500</v>
      </c>
      <c r="P960">
        <v>13</v>
      </c>
      <c r="Q960" s="1">
        <v>188500</v>
      </c>
      <c r="R960">
        <v>38.74</v>
      </c>
      <c r="S960" t="s">
        <v>1091</v>
      </c>
      <c r="T960" t="s">
        <v>39</v>
      </c>
    </row>
    <row r="961" spans="1:20" x14ac:dyDescent="0.35">
      <c r="A961" s="22" t="s">
        <v>1057</v>
      </c>
      <c r="B961" cm="1">
        <f t="array" ref="B961">IF(MATCH(Table1[[#This Row],[Customer ID]], Table1[Customer ID], 0) = ROW() - ROW(Table1[#Headers]), 1, 0)</f>
        <v>0</v>
      </c>
      <c r="C961" t="s">
        <v>1058</v>
      </c>
      <c r="D961" s="2">
        <v>45741</v>
      </c>
      <c r="E961">
        <v>42</v>
      </c>
      <c r="F961" t="str" cm="1">
        <f t="array" ref="F961">_xlfn.IFS( Table1[[#This Row],[Age]]&lt;18, "&lt;18", Table1[[#This Row],[Age]]&lt;= 29, "18-29", Table1[[#This Row],[Age]]&lt;= 44, "30-44",  Table1[[#This Row],[Age]]&lt;=59, "45-59", TRUE, "60+")</f>
        <v>30-44</v>
      </c>
      <c r="G961" t="s">
        <v>149</v>
      </c>
      <c r="H961" t="s">
        <v>41</v>
      </c>
      <c r="I961" t="s">
        <v>30</v>
      </c>
      <c r="J961">
        <v>3</v>
      </c>
      <c r="K961" t="s">
        <v>50</v>
      </c>
      <c r="L961" t="str" cm="1">
        <f t="array" ref="L961">_xlfn.IFS(Table1[[#This Row],[Customer Tenure in months]]&lt;=6, "0-6 months", Table1[[#This Row],[Customer Tenure in months]] &lt;=12, "7-12 months", Table1[[#This Row],[Customer Tenure in months]] &lt;=24, "1-2 years", TRUE, "2+ years")</f>
        <v>1-2 years</v>
      </c>
      <c r="M961">
        <v>16</v>
      </c>
      <c r="N961" t="s">
        <v>65</v>
      </c>
      <c r="O961" s="1">
        <v>30000</v>
      </c>
      <c r="P961">
        <v>14</v>
      </c>
      <c r="Q961" s="1">
        <v>420000</v>
      </c>
      <c r="R961">
        <v>63.93</v>
      </c>
      <c r="S961" t="s">
        <v>1091</v>
      </c>
      <c r="T961" t="s">
        <v>39</v>
      </c>
    </row>
    <row r="962" spans="1:20" x14ac:dyDescent="0.35">
      <c r="A962" s="22" t="s">
        <v>1059</v>
      </c>
      <c r="B962" cm="1">
        <f t="array" ref="B962">IF(MATCH(Table1[[#This Row],[Customer ID]], Table1[Customer ID], 0) = ROW() - ROW(Table1[#Headers]), 1, 0)</f>
        <v>1</v>
      </c>
      <c r="C962" t="s">
        <v>1060</v>
      </c>
      <c r="D962" s="2">
        <v>45713</v>
      </c>
      <c r="E962">
        <v>21</v>
      </c>
      <c r="F962" t="str" cm="1">
        <f t="array" ref="F962">_xlfn.IFS( Table1[[#This Row],[Age]]&lt;18, "&lt;18", Table1[[#This Row],[Age]]&lt;= 29, "18-29", Table1[[#This Row],[Age]]&lt;= 44, "30-44",  Table1[[#This Row],[Age]]&lt;=59, "45-59", TRUE, "60+")</f>
        <v>18-29</v>
      </c>
      <c r="G962" t="s">
        <v>121</v>
      </c>
      <c r="H962" t="s">
        <v>20</v>
      </c>
      <c r="I962" t="s">
        <v>30</v>
      </c>
      <c r="J962">
        <v>3</v>
      </c>
      <c r="K962" t="s">
        <v>50</v>
      </c>
      <c r="L962" t="str" cm="1">
        <f t="array" ref="L962">_xlfn.IFS(Table1[[#This Row],[Customer Tenure in months]]&lt;=6, "0-6 months", Table1[[#This Row],[Customer Tenure in months]] &lt;=12, "7-12 months", Table1[[#This Row],[Customer Tenure in months]] &lt;=24, "1-2 years", TRUE, "2+ years")</f>
        <v>2+ years</v>
      </c>
      <c r="M962">
        <v>51</v>
      </c>
      <c r="N962" t="s">
        <v>23</v>
      </c>
      <c r="O962" s="1">
        <v>35000</v>
      </c>
      <c r="P962">
        <v>3</v>
      </c>
      <c r="Q962" s="1">
        <v>105000</v>
      </c>
      <c r="R962">
        <v>42.24</v>
      </c>
      <c r="S962" t="s">
        <v>284</v>
      </c>
      <c r="T962" t="s">
        <v>24</v>
      </c>
    </row>
    <row r="963" spans="1:20" x14ac:dyDescent="0.35">
      <c r="A963" s="22" t="s">
        <v>1059</v>
      </c>
      <c r="B963" cm="1">
        <f t="array" ref="B963">IF(MATCH(Table1[[#This Row],[Customer ID]], Table1[Customer ID], 0) = ROW() - ROW(Table1[#Headers]), 1, 0)</f>
        <v>0</v>
      </c>
      <c r="C963" t="s">
        <v>1060</v>
      </c>
      <c r="D963" s="2">
        <v>45713</v>
      </c>
      <c r="E963">
        <v>21</v>
      </c>
      <c r="F963" t="str" cm="1">
        <f t="array" ref="F963">_xlfn.IFS( Table1[[#This Row],[Age]]&lt;18, "&lt;18", Table1[[#This Row],[Age]]&lt;= 29, "18-29", Table1[[#This Row],[Age]]&lt;= 44, "30-44",  Table1[[#This Row],[Age]]&lt;=59, "45-59", TRUE, "60+")</f>
        <v>18-29</v>
      </c>
      <c r="G963" t="s">
        <v>121</v>
      </c>
      <c r="H963" t="s">
        <v>36</v>
      </c>
      <c r="I963" t="s">
        <v>30</v>
      </c>
      <c r="J963">
        <v>3</v>
      </c>
      <c r="K963" t="s">
        <v>50</v>
      </c>
      <c r="L963" t="str" cm="1">
        <f t="array" ref="L963">_xlfn.IFS(Table1[[#This Row],[Customer Tenure in months]]&lt;=6, "0-6 months", Table1[[#This Row],[Customer Tenure in months]] &lt;=12, "7-12 months", Table1[[#This Row],[Customer Tenure in months]] &lt;=24, "1-2 years", TRUE, "2+ years")</f>
        <v>2+ years</v>
      </c>
      <c r="M963">
        <v>51</v>
      </c>
      <c r="N963" t="s">
        <v>57</v>
      </c>
      <c r="O963" s="1">
        <v>150000</v>
      </c>
      <c r="P963">
        <v>20</v>
      </c>
      <c r="Q963" s="1">
        <v>3000000</v>
      </c>
      <c r="R963">
        <v>158.30000000000001</v>
      </c>
      <c r="S963" t="s">
        <v>284</v>
      </c>
      <c r="T963" t="s">
        <v>24</v>
      </c>
    </row>
    <row r="964" spans="1:20" x14ac:dyDescent="0.35">
      <c r="A964" s="22" t="s">
        <v>1061</v>
      </c>
      <c r="B964" cm="1">
        <f t="array" ref="B964">IF(MATCH(Table1[[#This Row],[Customer ID]], Table1[Customer ID], 0) = ROW() - ROW(Table1[#Headers]), 1, 0)</f>
        <v>1</v>
      </c>
      <c r="C964" t="s">
        <v>1062</v>
      </c>
      <c r="D964" s="2">
        <v>45741</v>
      </c>
      <c r="E964">
        <v>37</v>
      </c>
      <c r="F964" t="str" cm="1">
        <f t="array" ref="F964">_xlfn.IFS( Table1[[#This Row],[Age]]&lt;18, "&lt;18", Table1[[#This Row],[Age]]&lt;= 29, "18-29", Table1[[#This Row],[Age]]&lt;= 44, "30-44",  Table1[[#This Row],[Age]]&lt;=59, "45-59", TRUE, "60+")</f>
        <v>30-44</v>
      </c>
      <c r="G964" t="s">
        <v>189</v>
      </c>
      <c r="H964" t="s">
        <v>36</v>
      </c>
      <c r="I964" t="s">
        <v>30</v>
      </c>
      <c r="J964">
        <v>4</v>
      </c>
      <c r="K964" t="s">
        <v>114</v>
      </c>
      <c r="L964" t="str" cm="1">
        <f t="array" ref="L964">_xlfn.IFS(Table1[[#This Row],[Customer Tenure in months]]&lt;=6, "0-6 months", Table1[[#This Row],[Customer Tenure in months]] &lt;=12, "7-12 months", Table1[[#This Row],[Customer Tenure in months]] &lt;=24, "1-2 years", TRUE, "2+ years")</f>
        <v>2+ years</v>
      </c>
      <c r="M964">
        <v>49</v>
      </c>
      <c r="N964" t="s">
        <v>115</v>
      </c>
      <c r="O964" s="1">
        <v>25000</v>
      </c>
      <c r="P964">
        <v>16</v>
      </c>
      <c r="Q964" s="1">
        <v>400000</v>
      </c>
      <c r="R964">
        <v>105.33</v>
      </c>
      <c r="S964" t="s">
        <v>1091</v>
      </c>
      <c r="T964" t="s">
        <v>39</v>
      </c>
    </row>
    <row r="965" spans="1:20" x14ac:dyDescent="0.35">
      <c r="A965" s="22" t="s">
        <v>1063</v>
      </c>
      <c r="B965" cm="1">
        <f t="array" ref="B965">IF(MATCH(Table1[[#This Row],[Customer ID]], Table1[Customer ID], 0) = ROW() - ROW(Table1[#Headers]), 1, 0)</f>
        <v>1</v>
      </c>
      <c r="C965" t="s">
        <v>1064</v>
      </c>
      <c r="D965" s="2">
        <v>45682</v>
      </c>
      <c r="E965">
        <v>76</v>
      </c>
      <c r="F965" t="str" cm="1">
        <f t="array" ref="F965">_xlfn.IFS( Table1[[#This Row],[Age]]&lt;18, "&lt;18", Table1[[#This Row],[Age]]&lt;= 29, "18-29", Table1[[#This Row],[Age]]&lt;= 44, "30-44",  Table1[[#This Row],[Age]]&lt;=59, "45-59", TRUE, "60+")</f>
        <v>60+</v>
      </c>
      <c r="G965" t="s">
        <v>192</v>
      </c>
      <c r="H965" t="s">
        <v>20</v>
      </c>
      <c r="I965" t="s">
        <v>30</v>
      </c>
      <c r="J965">
        <v>2</v>
      </c>
      <c r="K965" t="s">
        <v>22</v>
      </c>
      <c r="L965" t="str" cm="1">
        <f t="array" ref="L965">_xlfn.IFS(Table1[[#This Row],[Customer Tenure in months]]&lt;=6, "0-6 months", Table1[[#This Row],[Customer Tenure in months]] &lt;=12, "7-12 months", Table1[[#This Row],[Customer Tenure in months]] &lt;=24, "1-2 years", TRUE, "2+ years")</f>
        <v>2+ years</v>
      </c>
      <c r="M965">
        <v>41</v>
      </c>
      <c r="N965" t="s">
        <v>46</v>
      </c>
      <c r="O965" s="1">
        <v>4500</v>
      </c>
      <c r="P965">
        <v>13</v>
      </c>
      <c r="Q965" s="1">
        <v>58500</v>
      </c>
      <c r="R965">
        <v>61.55</v>
      </c>
      <c r="S965" t="s">
        <v>265</v>
      </c>
      <c r="T965" t="s">
        <v>24</v>
      </c>
    </row>
    <row r="966" spans="1:20" x14ac:dyDescent="0.35">
      <c r="A966" s="22" t="s">
        <v>1063</v>
      </c>
      <c r="B966" cm="1">
        <f t="array" ref="B966">IF(MATCH(Table1[[#This Row],[Customer ID]], Table1[Customer ID], 0) = ROW() - ROW(Table1[#Headers]), 1, 0)</f>
        <v>0</v>
      </c>
      <c r="C966" t="s">
        <v>1064</v>
      </c>
      <c r="D966" s="2">
        <v>45682</v>
      </c>
      <c r="E966">
        <v>76</v>
      </c>
      <c r="F966" t="str" cm="1">
        <f t="array" ref="F966">_xlfn.IFS( Table1[[#This Row],[Age]]&lt;18, "&lt;18", Table1[[#This Row],[Age]]&lt;= 29, "18-29", Table1[[#This Row],[Age]]&lt;= 44, "30-44",  Table1[[#This Row],[Age]]&lt;=59, "45-59", TRUE, "60+")</f>
        <v>60+</v>
      </c>
      <c r="G966" t="s">
        <v>192</v>
      </c>
      <c r="H966" t="s">
        <v>29</v>
      </c>
      <c r="I966" t="s">
        <v>30</v>
      </c>
      <c r="J966">
        <v>2</v>
      </c>
      <c r="K966" t="s">
        <v>22</v>
      </c>
      <c r="L966" t="str" cm="1">
        <f t="array" ref="L966">_xlfn.IFS(Table1[[#This Row],[Customer Tenure in months]]&lt;=6, "0-6 months", Table1[[#This Row],[Customer Tenure in months]] &lt;=12, "7-12 months", Table1[[#This Row],[Customer Tenure in months]] &lt;=24, "1-2 years", TRUE, "2+ years")</f>
        <v>2+ years</v>
      </c>
      <c r="M966">
        <v>41</v>
      </c>
      <c r="N966" t="s">
        <v>164</v>
      </c>
      <c r="O966" s="1">
        <v>600</v>
      </c>
      <c r="P966">
        <v>12</v>
      </c>
      <c r="Q966" s="1">
        <v>7200</v>
      </c>
      <c r="R966">
        <v>187.13</v>
      </c>
      <c r="S966" t="s">
        <v>265</v>
      </c>
      <c r="T966" t="s">
        <v>24</v>
      </c>
    </row>
    <row r="967" spans="1:20" x14ac:dyDescent="0.35">
      <c r="A967" s="22" t="s">
        <v>1065</v>
      </c>
      <c r="B967" cm="1">
        <f t="array" ref="B967">IF(MATCH(Table1[[#This Row],[Customer ID]], Table1[Customer ID], 0) = ROW() - ROW(Table1[#Headers]), 1, 0)</f>
        <v>1</v>
      </c>
      <c r="C967" t="s">
        <v>1066</v>
      </c>
      <c r="D967" s="2">
        <v>45682</v>
      </c>
      <c r="E967">
        <v>26</v>
      </c>
      <c r="F967" t="str" cm="1">
        <f t="array" ref="F967">_xlfn.IFS( Table1[[#This Row],[Age]]&lt;18, "&lt;18", Table1[[#This Row],[Age]]&lt;= 29, "18-29", Table1[[#This Row],[Age]]&lt;= 44, "30-44",  Table1[[#This Row],[Age]]&lt;=59, "45-59", TRUE, "60+")</f>
        <v>18-29</v>
      </c>
      <c r="G967" t="s">
        <v>140</v>
      </c>
      <c r="H967" t="s">
        <v>41</v>
      </c>
      <c r="I967" t="s">
        <v>21</v>
      </c>
      <c r="J967">
        <v>5</v>
      </c>
      <c r="K967" t="s">
        <v>55</v>
      </c>
      <c r="L967" t="str" cm="1">
        <f t="array" ref="L967">_xlfn.IFS(Table1[[#This Row],[Customer Tenure in months]]&lt;=6, "0-6 months", Table1[[#This Row],[Customer Tenure in months]] &lt;=12, "7-12 months", Table1[[#This Row],[Customer Tenure in months]] &lt;=24, "1-2 years", TRUE, "2+ years")</f>
        <v>1-2 years</v>
      </c>
      <c r="M967">
        <v>19</v>
      </c>
      <c r="N967" t="s">
        <v>71</v>
      </c>
      <c r="O967" s="1">
        <v>14500</v>
      </c>
      <c r="P967">
        <v>14</v>
      </c>
      <c r="Q967" s="1">
        <v>203000</v>
      </c>
      <c r="R967">
        <v>90.5</v>
      </c>
      <c r="S967" t="s">
        <v>1091</v>
      </c>
      <c r="T967" t="s">
        <v>39</v>
      </c>
    </row>
    <row r="968" spans="1:20" x14ac:dyDescent="0.35">
      <c r="A968" s="22" t="s">
        <v>1065</v>
      </c>
      <c r="B968" cm="1">
        <f t="array" ref="B968">IF(MATCH(Table1[[#This Row],[Customer ID]], Table1[Customer ID], 0) = ROW() - ROW(Table1[#Headers]), 1, 0)</f>
        <v>0</v>
      </c>
      <c r="C968" t="s">
        <v>1066</v>
      </c>
      <c r="D968" s="2">
        <v>45682</v>
      </c>
      <c r="E968">
        <v>26</v>
      </c>
      <c r="F968" t="str" cm="1">
        <f t="array" ref="F968">_xlfn.IFS( Table1[[#This Row],[Age]]&lt;18, "&lt;18", Table1[[#This Row],[Age]]&lt;= 29, "18-29", Table1[[#This Row],[Age]]&lt;= 44, "30-44",  Table1[[#This Row],[Age]]&lt;=59, "45-59", TRUE, "60+")</f>
        <v>18-29</v>
      </c>
      <c r="G968" t="s">
        <v>140</v>
      </c>
      <c r="H968" t="s">
        <v>20</v>
      </c>
      <c r="I968" t="s">
        <v>21</v>
      </c>
      <c r="J968">
        <v>5</v>
      </c>
      <c r="K968" t="s">
        <v>55</v>
      </c>
      <c r="L968" t="str" cm="1">
        <f t="array" ref="L968">_xlfn.IFS(Table1[[#This Row],[Customer Tenure in months]]&lt;=6, "0-6 months", Table1[[#This Row],[Customer Tenure in months]] &lt;=12, "7-12 months", Table1[[#This Row],[Customer Tenure in months]] &lt;=24, "1-2 years", TRUE, "2+ years")</f>
        <v>1-2 years</v>
      </c>
      <c r="M968">
        <v>19</v>
      </c>
      <c r="N968" t="s">
        <v>23</v>
      </c>
      <c r="O968" s="1">
        <v>35000</v>
      </c>
      <c r="P968">
        <v>16</v>
      </c>
      <c r="Q968" s="1">
        <v>560000</v>
      </c>
      <c r="R968">
        <v>73.819999999999993</v>
      </c>
      <c r="S968" t="s">
        <v>1091</v>
      </c>
      <c r="T968" t="s">
        <v>39</v>
      </c>
    </row>
    <row r="969" spans="1:20" x14ac:dyDescent="0.35">
      <c r="A969" s="22" t="s">
        <v>1065</v>
      </c>
      <c r="B969" cm="1">
        <f t="array" ref="B969">IF(MATCH(Table1[[#This Row],[Customer ID]], Table1[Customer ID], 0) = ROW() - ROW(Table1[#Headers]), 1, 0)</f>
        <v>0</v>
      </c>
      <c r="C969" t="s">
        <v>1066</v>
      </c>
      <c r="D969" s="2">
        <v>45682</v>
      </c>
      <c r="E969">
        <v>26</v>
      </c>
      <c r="F969" t="str" cm="1">
        <f t="array" ref="F969">_xlfn.IFS( Table1[[#This Row],[Age]]&lt;18, "&lt;18", Table1[[#This Row],[Age]]&lt;= 29, "18-29", Table1[[#This Row],[Age]]&lt;= 44, "30-44",  Table1[[#This Row],[Age]]&lt;=59, "45-59", TRUE, "60+")</f>
        <v>18-29</v>
      </c>
      <c r="G969" t="s">
        <v>140</v>
      </c>
      <c r="H969" t="s">
        <v>36</v>
      </c>
      <c r="I969" t="s">
        <v>21</v>
      </c>
      <c r="J969">
        <v>5</v>
      </c>
      <c r="K969" t="s">
        <v>55</v>
      </c>
      <c r="L969" t="str" cm="1">
        <f t="array" ref="L969">_xlfn.IFS(Table1[[#This Row],[Customer Tenure in months]]&lt;=6, "0-6 months", Table1[[#This Row],[Customer Tenure in months]] &lt;=12, "7-12 months", Table1[[#This Row],[Customer Tenure in months]] &lt;=24, "1-2 years", TRUE, "2+ years")</f>
        <v>1-2 years</v>
      </c>
      <c r="M969">
        <v>19</v>
      </c>
      <c r="N969" t="s">
        <v>115</v>
      </c>
      <c r="O969" s="1">
        <v>25000</v>
      </c>
      <c r="P969">
        <v>1</v>
      </c>
      <c r="Q969" s="1">
        <v>25000</v>
      </c>
      <c r="R969">
        <v>54.97</v>
      </c>
      <c r="S969" t="s">
        <v>1091</v>
      </c>
      <c r="T969" t="s">
        <v>39</v>
      </c>
    </row>
    <row r="970" spans="1:20" x14ac:dyDescent="0.35">
      <c r="A970" s="22" t="s">
        <v>1067</v>
      </c>
      <c r="B970" cm="1">
        <f t="array" ref="B970">IF(MATCH(Table1[[#This Row],[Customer ID]], Table1[Customer ID], 0) = ROW() - ROW(Table1[#Headers]), 1, 0)</f>
        <v>1</v>
      </c>
      <c r="C970" t="s">
        <v>1068</v>
      </c>
      <c r="D970" s="2">
        <v>45682</v>
      </c>
      <c r="E970">
        <v>72</v>
      </c>
      <c r="F970" t="str" cm="1">
        <f t="array" ref="F970">_xlfn.IFS( Table1[[#This Row],[Age]]&lt;18, "&lt;18", Table1[[#This Row],[Age]]&lt;= 29, "18-29", Table1[[#This Row],[Age]]&lt;= 44, "30-44",  Table1[[#This Row],[Age]]&lt;=59, "45-59", TRUE, "60+")</f>
        <v>60+</v>
      </c>
      <c r="G970" t="s">
        <v>113</v>
      </c>
      <c r="H970" t="s">
        <v>41</v>
      </c>
      <c r="I970" t="s">
        <v>30</v>
      </c>
      <c r="J970">
        <v>3</v>
      </c>
      <c r="K970" t="s">
        <v>50</v>
      </c>
      <c r="L970" t="str" cm="1">
        <f t="array" ref="L970">_xlfn.IFS(Table1[[#This Row],[Customer Tenure in months]]&lt;=6, "0-6 months", Table1[[#This Row],[Customer Tenure in months]] &lt;=12, "7-12 months", Table1[[#This Row],[Customer Tenure in months]] &lt;=24, "1-2 years", TRUE, "2+ years")</f>
        <v>2+ years</v>
      </c>
      <c r="M970">
        <v>42</v>
      </c>
      <c r="N970" t="s">
        <v>38</v>
      </c>
      <c r="O970" s="1">
        <v>20000</v>
      </c>
      <c r="P970">
        <v>3</v>
      </c>
      <c r="Q970" s="1">
        <v>60000</v>
      </c>
      <c r="R970">
        <v>20.13</v>
      </c>
      <c r="S970" t="s">
        <v>1091</v>
      </c>
      <c r="T970" t="s">
        <v>39</v>
      </c>
    </row>
    <row r="971" spans="1:20" x14ac:dyDescent="0.35">
      <c r="A971" s="22" t="s">
        <v>1067</v>
      </c>
      <c r="B971" cm="1">
        <f t="array" ref="B971">IF(MATCH(Table1[[#This Row],[Customer ID]], Table1[Customer ID], 0) = ROW() - ROW(Table1[#Headers]), 1, 0)</f>
        <v>0</v>
      </c>
      <c r="C971" t="s">
        <v>1068</v>
      </c>
      <c r="D971" s="2">
        <v>45682</v>
      </c>
      <c r="E971">
        <v>72</v>
      </c>
      <c r="F971" t="str" cm="1">
        <f t="array" ref="F971">_xlfn.IFS( Table1[[#This Row],[Age]]&lt;18, "&lt;18", Table1[[#This Row],[Age]]&lt;= 29, "18-29", Table1[[#This Row],[Age]]&lt;= 44, "30-44",  Table1[[#This Row],[Age]]&lt;=59, "45-59", TRUE, "60+")</f>
        <v>60+</v>
      </c>
      <c r="G971" t="s">
        <v>113</v>
      </c>
      <c r="H971" t="s">
        <v>20</v>
      </c>
      <c r="I971" t="s">
        <v>30</v>
      </c>
      <c r="J971">
        <v>3</v>
      </c>
      <c r="K971" t="s">
        <v>50</v>
      </c>
      <c r="L971" t="str" cm="1">
        <f t="array" ref="L971">_xlfn.IFS(Table1[[#This Row],[Customer Tenure in months]]&lt;=6, "0-6 months", Table1[[#This Row],[Customer Tenure in months]] &lt;=12, "7-12 months", Table1[[#This Row],[Customer Tenure in months]] &lt;=24, "1-2 years", TRUE, "2+ years")</f>
        <v>2+ years</v>
      </c>
      <c r="M971">
        <v>42</v>
      </c>
      <c r="N971" t="s">
        <v>51</v>
      </c>
      <c r="O971" s="1">
        <v>9000</v>
      </c>
      <c r="P971">
        <v>7</v>
      </c>
      <c r="Q971" s="1">
        <v>63000</v>
      </c>
      <c r="R971">
        <v>8.14</v>
      </c>
      <c r="S971" t="s">
        <v>1091</v>
      </c>
      <c r="T971" t="s">
        <v>39</v>
      </c>
    </row>
    <row r="972" spans="1:20" x14ac:dyDescent="0.35">
      <c r="A972" s="22" t="s">
        <v>1069</v>
      </c>
      <c r="B972" cm="1">
        <f t="array" ref="B972">IF(MATCH(Table1[[#This Row],[Customer ID]], Table1[Customer ID], 0) = ROW() - ROW(Table1[#Headers]), 1, 0)</f>
        <v>1</v>
      </c>
      <c r="C972" t="s">
        <v>1070</v>
      </c>
      <c r="D972" s="2">
        <v>45741</v>
      </c>
      <c r="E972">
        <v>41</v>
      </c>
      <c r="F972" t="str" cm="1">
        <f t="array" ref="F972">_xlfn.IFS( Table1[[#This Row],[Age]]&lt;18, "&lt;18", Table1[[#This Row],[Age]]&lt;= 29, "18-29", Table1[[#This Row],[Age]]&lt;= 44, "30-44",  Table1[[#This Row],[Age]]&lt;=59, "45-59", TRUE, "60+")</f>
        <v>30-44</v>
      </c>
      <c r="G972" t="s">
        <v>157</v>
      </c>
      <c r="H972" t="s">
        <v>36</v>
      </c>
      <c r="I972" t="s">
        <v>30</v>
      </c>
      <c r="J972">
        <v>2</v>
      </c>
      <c r="K972" t="s">
        <v>22</v>
      </c>
      <c r="L972" t="str" cm="1">
        <f t="array" ref="L972">_xlfn.IFS(Table1[[#This Row],[Customer Tenure in months]]&lt;=6, "0-6 months", Table1[[#This Row],[Customer Tenure in months]] &lt;=12, "7-12 months", Table1[[#This Row],[Customer Tenure in months]] &lt;=24, "1-2 years", TRUE, "2+ years")</f>
        <v>1-2 years</v>
      </c>
      <c r="M972">
        <v>20</v>
      </c>
      <c r="N972" t="s">
        <v>42</v>
      </c>
      <c r="O972" s="1">
        <v>9000</v>
      </c>
      <c r="P972">
        <v>10</v>
      </c>
      <c r="Q972" s="1">
        <v>90000</v>
      </c>
      <c r="R972">
        <v>154.13</v>
      </c>
      <c r="S972" t="s">
        <v>1091</v>
      </c>
      <c r="T972" t="s">
        <v>39</v>
      </c>
    </row>
    <row r="973" spans="1:20" x14ac:dyDescent="0.35">
      <c r="A973" s="22" t="s">
        <v>1071</v>
      </c>
      <c r="B973" cm="1">
        <f t="array" ref="B973">IF(MATCH(Table1[[#This Row],[Customer ID]], Table1[Customer ID], 0) = ROW() - ROW(Table1[#Headers]), 1, 0)</f>
        <v>1</v>
      </c>
      <c r="C973" t="s">
        <v>1072</v>
      </c>
      <c r="D973" s="2">
        <v>45713</v>
      </c>
      <c r="E973">
        <v>67</v>
      </c>
      <c r="F973" t="str" cm="1">
        <f t="array" ref="F973">_xlfn.IFS( Table1[[#This Row],[Age]]&lt;18, "&lt;18", Table1[[#This Row],[Age]]&lt;= 29, "18-29", Table1[[#This Row],[Age]]&lt;= 44, "30-44",  Table1[[#This Row],[Age]]&lt;=59, "45-59", TRUE, "60+")</f>
        <v>60+</v>
      </c>
      <c r="G973" t="s">
        <v>82</v>
      </c>
      <c r="H973" t="s">
        <v>20</v>
      </c>
      <c r="I973" t="s">
        <v>21</v>
      </c>
      <c r="J973">
        <v>4</v>
      </c>
      <c r="K973" t="s">
        <v>114</v>
      </c>
      <c r="L973" t="str" cm="1">
        <f t="array" ref="L973">_xlfn.IFS(Table1[[#This Row],[Customer Tenure in months]]&lt;=6, "0-6 months", Table1[[#This Row],[Customer Tenure in months]] &lt;=12, "7-12 months", Table1[[#This Row],[Customer Tenure in months]] &lt;=24, "1-2 years", TRUE, "2+ years")</f>
        <v>2+ years</v>
      </c>
      <c r="M973">
        <v>31</v>
      </c>
      <c r="N973" t="s">
        <v>23</v>
      </c>
      <c r="O973" s="1">
        <v>35000</v>
      </c>
      <c r="P973">
        <v>15</v>
      </c>
      <c r="Q973" s="1">
        <v>525000</v>
      </c>
      <c r="R973">
        <v>144.63999999999999</v>
      </c>
      <c r="S973" t="s">
        <v>284</v>
      </c>
      <c r="T973" t="s">
        <v>24</v>
      </c>
    </row>
    <row r="974" spans="1:20" x14ac:dyDescent="0.35">
      <c r="A974" s="22" t="s">
        <v>1071</v>
      </c>
      <c r="B974" cm="1">
        <f t="array" ref="B974">IF(MATCH(Table1[[#This Row],[Customer ID]], Table1[Customer ID], 0) = ROW() - ROW(Table1[#Headers]), 1, 0)</f>
        <v>0</v>
      </c>
      <c r="C974" t="s">
        <v>1072</v>
      </c>
      <c r="D974" s="2">
        <v>45713</v>
      </c>
      <c r="E974">
        <v>67</v>
      </c>
      <c r="F974" t="str" cm="1">
        <f t="array" ref="F974">_xlfn.IFS( Table1[[#This Row],[Age]]&lt;18, "&lt;18", Table1[[#This Row],[Age]]&lt;= 29, "18-29", Table1[[#This Row],[Age]]&lt;= 44, "30-44",  Table1[[#This Row],[Age]]&lt;=59, "45-59", TRUE, "60+")</f>
        <v>60+</v>
      </c>
      <c r="G974" t="s">
        <v>82</v>
      </c>
      <c r="H974" t="s">
        <v>29</v>
      </c>
      <c r="I974" t="s">
        <v>21</v>
      </c>
      <c r="J974">
        <v>4</v>
      </c>
      <c r="K974" t="s">
        <v>114</v>
      </c>
      <c r="L974" t="str" cm="1">
        <f t="array" ref="L974">_xlfn.IFS(Table1[[#This Row],[Customer Tenure in months]]&lt;=6, "0-6 months", Table1[[#This Row],[Customer Tenure in months]] &lt;=12, "7-12 months", Table1[[#This Row],[Customer Tenure in months]] &lt;=24, "1-2 years", TRUE, "2+ years")</f>
        <v>2+ years</v>
      </c>
      <c r="M974">
        <v>31</v>
      </c>
      <c r="N974" t="s">
        <v>56</v>
      </c>
      <c r="O974" s="1">
        <v>3500</v>
      </c>
      <c r="P974">
        <v>11</v>
      </c>
      <c r="Q974" s="1">
        <v>38500</v>
      </c>
      <c r="R974">
        <v>158.49</v>
      </c>
      <c r="S974" t="s">
        <v>284</v>
      </c>
      <c r="T974" t="s">
        <v>24</v>
      </c>
    </row>
    <row r="975" spans="1:20" x14ac:dyDescent="0.35">
      <c r="A975" s="22" t="s">
        <v>1071</v>
      </c>
      <c r="B975" cm="1">
        <f t="array" ref="B975">IF(MATCH(Table1[[#This Row],[Customer ID]], Table1[Customer ID], 0) = ROW() - ROW(Table1[#Headers]), 1, 0)</f>
        <v>0</v>
      </c>
      <c r="C975" t="s">
        <v>1072</v>
      </c>
      <c r="D975" s="2">
        <v>45713</v>
      </c>
      <c r="E975">
        <v>67</v>
      </c>
      <c r="F975" t="str" cm="1">
        <f t="array" ref="F975">_xlfn.IFS( Table1[[#This Row],[Age]]&lt;18, "&lt;18", Table1[[#This Row],[Age]]&lt;= 29, "18-29", Table1[[#This Row],[Age]]&lt;= 44, "30-44",  Table1[[#This Row],[Age]]&lt;=59, "45-59", TRUE, "60+")</f>
        <v>60+</v>
      </c>
      <c r="G975" t="s">
        <v>82</v>
      </c>
      <c r="H975" t="s">
        <v>41</v>
      </c>
      <c r="I975" t="s">
        <v>21</v>
      </c>
      <c r="J975">
        <v>4</v>
      </c>
      <c r="K975" t="s">
        <v>114</v>
      </c>
      <c r="L975" t="str" cm="1">
        <f t="array" ref="L975">_xlfn.IFS(Table1[[#This Row],[Customer Tenure in months]]&lt;=6, "0-6 months", Table1[[#This Row],[Customer Tenure in months]] &lt;=12, "7-12 months", Table1[[#This Row],[Customer Tenure in months]] &lt;=24, "1-2 years", TRUE, "2+ years")</f>
        <v>2+ years</v>
      </c>
      <c r="M975">
        <v>31</v>
      </c>
      <c r="N975" t="s">
        <v>38</v>
      </c>
      <c r="O975" s="1">
        <v>20000</v>
      </c>
      <c r="P975">
        <v>14</v>
      </c>
      <c r="Q975" s="1">
        <v>280000</v>
      </c>
      <c r="R975">
        <v>86.04</v>
      </c>
      <c r="S975" t="s">
        <v>284</v>
      </c>
      <c r="T975" t="s">
        <v>24</v>
      </c>
    </row>
  </sheetData>
  <dataConsolid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86F8-419C-4038-801F-4CDA825CF3AE}">
  <dimension ref="A1:I143"/>
  <sheetViews>
    <sheetView showGridLines="0" topLeftCell="A28" workbookViewId="0">
      <selection activeCell="C42" sqref="C42:C46"/>
    </sheetView>
  </sheetViews>
  <sheetFormatPr defaultRowHeight="14.5" x14ac:dyDescent="0.35"/>
  <cols>
    <col min="1" max="1" width="12.453125" bestFit="1" customWidth="1"/>
    <col min="2" max="2" width="18.90625" bestFit="1" customWidth="1"/>
    <col min="3" max="3" width="23.81640625" bestFit="1" customWidth="1"/>
    <col min="4" max="4" width="22.81640625" bestFit="1" customWidth="1"/>
    <col min="5" max="5" width="28.453125" bestFit="1" customWidth="1"/>
    <col min="6" max="6" width="18.90625" bestFit="1" customWidth="1"/>
    <col min="7" max="7" width="23.81640625" bestFit="1" customWidth="1"/>
    <col min="8" max="8" width="22.81640625" bestFit="1" customWidth="1"/>
    <col min="9" max="9" width="10.453125" customWidth="1"/>
  </cols>
  <sheetData>
    <row r="1" spans="1:9" x14ac:dyDescent="0.35">
      <c r="A1" s="4" t="s">
        <v>1077</v>
      </c>
      <c r="B1" s="3"/>
      <c r="C1" s="3"/>
      <c r="D1" s="3"/>
      <c r="E1" s="3"/>
      <c r="F1" s="3"/>
      <c r="G1" s="3"/>
      <c r="H1" s="3"/>
      <c r="I1" s="3"/>
    </row>
    <row r="2" spans="1:9" x14ac:dyDescent="0.35">
      <c r="A2" s="11"/>
      <c r="B2" s="3"/>
      <c r="C2" s="3"/>
      <c r="D2" s="3"/>
      <c r="E2" s="3"/>
      <c r="F2" s="3"/>
      <c r="G2" s="3"/>
      <c r="H2" s="3"/>
      <c r="I2" s="3"/>
    </row>
    <row r="3" spans="1:9" x14ac:dyDescent="0.35">
      <c r="A3" s="5" t="s">
        <v>1080</v>
      </c>
      <c r="F3" s="5" t="s">
        <v>1079</v>
      </c>
    </row>
    <row r="4" spans="1:9" x14ac:dyDescent="0.35">
      <c r="A4" s="9" t="s">
        <v>1075</v>
      </c>
      <c r="B4" t="s">
        <v>1105</v>
      </c>
      <c r="C4" t="s">
        <v>1106</v>
      </c>
      <c r="F4" s="9" t="s">
        <v>1105</v>
      </c>
    </row>
    <row r="5" spans="1:9" x14ac:dyDescent="0.35">
      <c r="A5" s="7" t="s">
        <v>39</v>
      </c>
      <c r="B5" s="8">
        <v>350</v>
      </c>
      <c r="C5" s="10">
        <v>0.70564516129032262</v>
      </c>
      <c r="F5" s="8">
        <v>496</v>
      </c>
    </row>
    <row r="6" spans="1:9" x14ac:dyDescent="0.35">
      <c r="A6" s="7" t="s">
        <v>24</v>
      </c>
      <c r="B6" s="8">
        <v>146</v>
      </c>
      <c r="C6" s="10">
        <v>0.29435483870967744</v>
      </c>
    </row>
    <row r="8" spans="1:9" x14ac:dyDescent="0.35">
      <c r="A8" s="5" t="s">
        <v>1078</v>
      </c>
    </row>
    <row r="9" spans="1:9" x14ac:dyDescent="0.35">
      <c r="A9" s="9" t="s">
        <v>1105</v>
      </c>
      <c r="B9" s="9" t="s">
        <v>1081</v>
      </c>
      <c r="D9" s="5" t="s">
        <v>1093</v>
      </c>
    </row>
    <row r="10" spans="1:9" x14ac:dyDescent="0.35">
      <c r="A10" s="9" t="s">
        <v>1075</v>
      </c>
      <c r="B10" s="9" t="s">
        <v>24</v>
      </c>
      <c r="D10" s="6" t="s">
        <v>1075</v>
      </c>
      <c r="E10" t="s">
        <v>1105</v>
      </c>
      <c r="F10" t="s">
        <v>1106</v>
      </c>
    </row>
    <row r="11" spans="1:9" x14ac:dyDescent="0.35">
      <c r="A11" s="7" t="s">
        <v>164</v>
      </c>
      <c r="B11" s="8">
        <v>4</v>
      </c>
      <c r="D11" s="7" t="s">
        <v>32</v>
      </c>
      <c r="E11" s="8">
        <v>29</v>
      </c>
      <c r="F11" s="10">
        <v>0.19863013698630136</v>
      </c>
      <c r="G11" s="7" t="s">
        <v>1095</v>
      </c>
      <c r="H11" s="8" t="s">
        <v>1096</v>
      </c>
      <c r="I11" s="10" t="s">
        <v>1094</v>
      </c>
    </row>
    <row r="12" spans="1:9" x14ac:dyDescent="0.35">
      <c r="A12" s="7" t="s">
        <v>57</v>
      </c>
      <c r="B12" s="8">
        <v>1</v>
      </c>
      <c r="D12" s="7" t="s">
        <v>284</v>
      </c>
      <c r="E12" s="8">
        <v>26</v>
      </c>
      <c r="F12" s="10">
        <v>0.37671232876712329</v>
      </c>
      <c r="G12" s="7" t="s">
        <v>284</v>
      </c>
      <c r="H12" s="8">
        <v>54</v>
      </c>
      <c r="I12" s="10">
        <v>0.19014084507042253</v>
      </c>
    </row>
    <row r="13" spans="1:9" x14ac:dyDescent="0.35">
      <c r="A13" s="7" t="s">
        <v>46</v>
      </c>
      <c r="B13" s="8">
        <v>10</v>
      </c>
      <c r="D13" s="7" t="s">
        <v>76</v>
      </c>
      <c r="E13" s="8">
        <v>20</v>
      </c>
      <c r="F13" s="10">
        <v>0.51369863013698636</v>
      </c>
      <c r="G13" s="7" t="s">
        <v>32</v>
      </c>
      <c r="H13" s="8">
        <v>52</v>
      </c>
      <c r="I13" s="10">
        <v>0.37323943661971831</v>
      </c>
    </row>
    <row r="14" spans="1:9" x14ac:dyDescent="0.35">
      <c r="A14" s="7" t="s">
        <v>31</v>
      </c>
      <c r="B14" s="8">
        <v>7</v>
      </c>
      <c r="D14" s="7" t="s">
        <v>96</v>
      </c>
      <c r="E14" s="8">
        <v>20</v>
      </c>
      <c r="F14" s="10">
        <v>0.65068493150684936</v>
      </c>
      <c r="G14" s="7" t="s">
        <v>76</v>
      </c>
      <c r="H14" s="8">
        <v>45</v>
      </c>
      <c r="I14" s="10">
        <v>0.53169014084507038</v>
      </c>
    </row>
    <row r="15" spans="1:9" x14ac:dyDescent="0.35">
      <c r="A15" s="7" t="s">
        <v>62</v>
      </c>
      <c r="B15" s="8">
        <v>5</v>
      </c>
      <c r="D15" s="7" t="s">
        <v>167</v>
      </c>
      <c r="E15" s="8">
        <v>18</v>
      </c>
      <c r="F15" s="10">
        <v>0.77397260273972601</v>
      </c>
      <c r="G15" s="7" t="s">
        <v>96</v>
      </c>
      <c r="H15" s="8">
        <v>40</v>
      </c>
      <c r="I15" s="10">
        <v>0.67253521126760563</v>
      </c>
    </row>
    <row r="16" spans="1:9" x14ac:dyDescent="0.35">
      <c r="A16" s="7" t="s">
        <v>38</v>
      </c>
      <c r="B16" s="8">
        <v>10</v>
      </c>
      <c r="D16" s="7" t="s">
        <v>265</v>
      </c>
      <c r="E16" s="8">
        <v>18</v>
      </c>
      <c r="F16" s="10">
        <v>0.89726027397260277</v>
      </c>
      <c r="G16" s="7" t="s">
        <v>265</v>
      </c>
      <c r="H16" s="8">
        <v>34</v>
      </c>
      <c r="I16" s="10">
        <v>0.79225352112676062</v>
      </c>
    </row>
    <row r="17" spans="1:9" x14ac:dyDescent="0.35">
      <c r="A17" s="7" t="s">
        <v>193</v>
      </c>
      <c r="B17" s="8">
        <v>5</v>
      </c>
      <c r="D17" s="7" t="s">
        <v>25</v>
      </c>
      <c r="E17" s="8">
        <v>15</v>
      </c>
      <c r="F17" s="10">
        <v>1</v>
      </c>
      <c r="G17" s="7" t="s">
        <v>167</v>
      </c>
      <c r="H17" s="8">
        <v>32</v>
      </c>
      <c r="I17" s="10">
        <v>0.90492957746478875</v>
      </c>
    </row>
    <row r="18" spans="1:9" x14ac:dyDescent="0.35">
      <c r="A18" s="7" t="s">
        <v>23</v>
      </c>
      <c r="B18" s="8">
        <v>13</v>
      </c>
      <c r="G18" s="7" t="s">
        <v>25</v>
      </c>
      <c r="H18" s="8">
        <v>27</v>
      </c>
      <c r="I18" s="10">
        <v>1</v>
      </c>
    </row>
    <row r="19" spans="1:9" x14ac:dyDescent="0.35">
      <c r="A19" s="7" t="s">
        <v>40</v>
      </c>
      <c r="B19" s="8">
        <v>5</v>
      </c>
    </row>
    <row r="20" spans="1:9" x14ac:dyDescent="0.35">
      <c r="A20" s="7" t="s">
        <v>102</v>
      </c>
      <c r="B20" s="8">
        <v>8</v>
      </c>
    </row>
    <row r="21" spans="1:9" x14ac:dyDescent="0.35">
      <c r="A21" s="7" t="s">
        <v>115</v>
      </c>
      <c r="B21" s="8">
        <v>7</v>
      </c>
    </row>
    <row r="22" spans="1:9" x14ac:dyDescent="0.35">
      <c r="A22" s="7" t="s">
        <v>87</v>
      </c>
      <c r="B22" s="8">
        <v>3</v>
      </c>
    </row>
    <row r="23" spans="1:9" x14ac:dyDescent="0.35">
      <c r="A23" s="7" t="s">
        <v>51</v>
      </c>
      <c r="B23" s="8">
        <v>9</v>
      </c>
    </row>
    <row r="24" spans="1:9" x14ac:dyDescent="0.35">
      <c r="A24" s="7" t="s">
        <v>83</v>
      </c>
      <c r="B24" s="8">
        <v>10</v>
      </c>
    </row>
    <row r="25" spans="1:9" x14ac:dyDescent="0.35">
      <c r="A25" s="7" t="s">
        <v>65</v>
      </c>
      <c r="B25" s="8">
        <v>12</v>
      </c>
    </row>
    <row r="26" spans="1:9" x14ac:dyDescent="0.35">
      <c r="A26" s="7" t="s">
        <v>42</v>
      </c>
      <c r="B26" s="8">
        <v>6</v>
      </c>
    </row>
    <row r="27" spans="1:9" x14ac:dyDescent="0.35">
      <c r="A27" s="7" t="s">
        <v>105</v>
      </c>
      <c r="B27" s="8">
        <v>3</v>
      </c>
    </row>
    <row r="28" spans="1:9" x14ac:dyDescent="0.35">
      <c r="A28" s="7" t="s">
        <v>72</v>
      </c>
      <c r="B28" s="8">
        <v>5</v>
      </c>
    </row>
    <row r="29" spans="1:9" x14ac:dyDescent="0.35">
      <c r="A29" s="7" t="s">
        <v>71</v>
      </c>
      <c r="B29" s="8">
        <v>8</v>
      </c>
    </row>
    <row r="30" spans="1:9" x14ac:dyDescent="0.35">
      <c r="A30" s="7" t="s">
        <v>58</v>
      </c>
      <c r="B30" s="8">
        <v>11</v>
      </c>
    </row>
    <row r="31" spans="1:9" x14ac:dyDescent="0.35">
      <c r="A31" s="7" t="s">
        <v>56</v>
      </c>
      <c r="B31" s="8">
        <v>4</v>
      </c>
    </row>
    <row r="32" spans="1:9" x14ac:dyDescent="0.35">
      <c r="E32" s="6" t="s">
        <v>1107</v>
      </c>
      <c r="F32" t="s">
        <v>1108</v>
      </c>
    </row>
    <row r="33" spans="1:8" x14ac:dyDescent="0.35">
      <c r="A33" s="5" t="s">
        <v>1082</v>
      </c>
      <c r="E33" s="5" t="s">
        <v>1082</v>
      </c>
    </row>
    <row r="34" spans="1:8" x14ac:dyDescent="0.35">
      <c r="A34" s="9" t="s">
        <v>1075</v>
      </c>
      <c r="B34" s="9" t="s">
        <v>1083</v>
      </c>
      <c r="E34" s="9" t="s">
        <v>1075</v>
      </c>
      <c r="F34" t="s">
        <v>1083</v>
      </c>
      <c r="G34" t="s">
        <v>1106</v>
      </c>
      <c r="H34" t="s">
        <v>1105</v>
      </c>
    </row>
    <row r="35" spans="1:8" x14ac:dyDescent="0.35">
      <c r="A35" s="7" t="s">
        <v>39</v>
      </c>
      <c r="B35" s="12">
        <v>141348000</v>
      </c>
      <c r="E35" s="7" t="s">
        <v>39</v>
      </c>
      <c r="F35" s="12">
        <v>49584200</v>
      </c>
      <c r="G35" s="12">
        <v>103</v>
      </c>
      <c r="H35" s="10">
        <v>0.75735294117647056</v>
      </c>
    </row>
    <row r="36" spans="1:8" x14ac:dyDescent="0.35">
      <c r="A36" s="7" t="s">
        <v>24</v>
      </c>
      <c r="B36" s="18">
        <v>58000200</v>
      </c>
      <c r="E36" s="7" t="s">
        <v>24</v>
      </c>
      <c r="F36" s="23">
        <v>13782300</v>
      </c>
      <c r="G36" s="23">
        <v>33</v>
      </c>
      <c r="H36" s="10">
        <v>0.24264705882352941</v>
      </c>
    </row>
    <row r="38" spans="1:8" x14ac:dyDescent="0.35">
      <c r="A38" s="5" t="s">
        <v>1092</v>
      </c>
    </row>
    <row r="39" spans="1:8" x14ac:dyDescent="0.35">
      <c r="A39" s="9"/>
      <c r="B39" s="9" t="s">
        <v>1081</v>
      </c>
    </row>
    <row r="40" spans="1:8" x14ac:dyDescent="0.35">
      <c r="A40" s="9"/>
      <c r="B40" s="9" t="s">
        <v>24</v>
      </c>
      <c r="C40" s="9"/>
    </row>
    <row r="41" spans="1:8" x14ac:dyDescent="0.35">
      <c r="A41" s="9" t="s">
        <v>1075</v>
      </c>
      <c r="B41" t="s">
        <v>1076</v>
      </c>
      <c r="C41" t="s">
        <v>1083</v>
      </c>
    </row>
    <row r="42" spans="1:8" x14ac:dyDescent="0.35">
      <c r="A42" s="13" t="s">
        <v>1085</v>
      </c>
      <c r="B42" s="19">
        <v>0.28521126760563381</v>
      </c>
      <c r="C42" s="20">
        <v>19108900</v>
      </c>
    </row>
    <row r="43" spans="1:8" x14ac:dyDescent="0.35">
      <c r="A43" s="13" t="s">
        <v>1088</v>
      </c>
      <c r="B43" s="19">
        <v>0.19718309859154928</v>
      </c>
      <c r="C43" s="20">
        <v>15410350</v>
      </c>
    </row>
    <row r="44" spans="1:8" x14ac:dyDescent="0.35">
      <c r="A44" s="13" t="s">
        <v>1086</v>
      </c>
      <c r="B44" s="19">
        <v>0.28169014084507044</v>
      </c>
      <c r="C44" s="20">
        <v>12650100</v>
      </c>
    </row>
    <row r="45" spans="1:8" x14ac:dyDescent="0.35">
      <c r="A45" s="13" t="s">
        <v>1087</v>
      </c>
      <c r="B45" s="19">
        <v>0.22183098591549297</v>
      </c>
      <c r="C45" s="20">
        <v>10731350</v>
      </c>
    </row>
    <row r="46" spans="1:8" x14ac:dyDescent="0.35">
      <c r="A46" s="13" t="s">
        <v>1089</v>
      </c>
      <c r="B46" s="19">
        <v>1.4084507042253521E-2</v>
      </c>
      <c r="C46" s="20">
        <v>99500</v>
      </c>
    </row>
    <row r="47" spans="1:8" x14ac:dyDescent="0.35">
      <c r="A47" s="13"/>
      <c r="B47" s="14"/>
      <c r="C47" s="14"/>
    </row>
    <row r="48" spans="1:8" x14ac:dyDescent="0.35">
      <c r="A48" s="15">
        <v>5</v>
      </c>
      <c r="B48" s="14"/>
      <c r="C48" s="14"/>
    </row>
    <row r="49" spans="1:3" x14ac:dyDescent="0.35">
      <c r="A49" s="9"/>
      <c r="B49" s="9" t="s">
        <v>1081</v>
      </c>
    </row>
    <row r="50" spans="1:3" x14ac:dyDescent="0.35">
      <c r="A50" s="9"/>
      <c r="B50" s="9" t="s">
        <v>24</v>
      </c>
      <c r="C50" s="9"/>
    </row>
    <row r="51" spans="1:3" x14ac:dyDescent="0.35">
      <c r="A51" s="6" t="s">
        <v>1075</v>
      </c>
      <c r="B51" t="s">
        <v>1105</v>
      </c>
      <c r="C51" t="s">
        <v>1106</v>
      </c>
    </row>
    <row r="52" spans="1:3" x14ac:dyDescent="0.35">
      <c r="A52" s="7" t="s">
        <v>114</v>
      </c>
      <c r="B52" s="8">
        <v>32</v>
      </c>
      <c r="C52" s="10">
        <v>0.21917808219178081</v>
      </c>
    </row>
    <row r="53" spans="1:3" x14ac:dyDescent="0.35">
      <c r="A53" s="7" t="s">
        <v>55</v>
      </c>
      <c r="B53" s="8">
        <v>31</v>
      </c>
      <c r="C53" s="10">
        <v>0.21232876712328766</v>
      </c>
    </row>
    <row r="54" spans="1:3" x14ac:dyDescent="0.35">
      <c r="A54" s="7" t="s">
        <v>22</v>
      </c>
      <c r="B54" s="8">
        <v>30</v>
      </c>
      <c r="C54" s="10">
        <v>0.20547945205479451</v>
      </c>
    </row>
    <row r="55" spans="1:3" x14ac:dyDescent="0.35">
      <c r="A55" s="7" t="s">
        <v>50</v>
      </c>
      <c r="B55" s="8">
        <v>27</v>
      </c>
      <c r="C55" s="10">
        <v>0.18493150684931506</v>
      </c>
    </row>
    <row r="56" spans="1:3" x14ac:dyDescent="0.35">
      <c r="A56" s="7" t="s">
        <v>37</v>
      </c>
      <c r="B56" s="8">
        <v>26</v>
      </c>
      <c r="C56" s="10">
        <v>0.17808219178082191</v>
      </c>
    </row>
    <row r="57" spans="1:3" x14ac:dyDescent="0.35">
      <c r="A57" s="5" t="s">
        <v>1084</v>
      </c>
    </row>
    <row r="58" spans="1:3" x14ac:dyDescent="0.35">
      <c r="A58" s="9" t="s">
        <v>1105</v>
      </c>
      <c r="B58" s="9" t="s">
        <v>1081</v>
      </c>
    </row>
    <row r="59" spans="1:3" x14ac:dyDescent="0.35">
      <c r="A59" s="9" t="s">
        <v>1075</v>
      </c>
      <c r="B59" s="9" t="s">
        <v>24</v>
      </c>
    </row>
    <row r="60" spans="1:3" x14ac:dyDescent="0.35">
      <c r="A60" s="7" t="s">
        <v>20</v>
      </c>
      <c r="B60" s="8">
        <v>37</v>
      </c>
    </row>
    <row r="61" spans="1:3" x14ac:dyDescent="0.35">
      <c r="A61" s="7" t="s">
        <v>36</v>
      </c>
      <c r="B61" s="8">
        <v>27</v>
      </c>
    </row>
    <row r="62" spans="1:3" x14ac:dyDescent="0.35">
      <c r="A62" s="7" t="s">
        <v>41</v>
      </c>
      <c r="B62" s="8">
        <v>25</v>
      </c>
    </row>
    <row r="63" spans="1:3" x14ac:dyDescent="0.35">
      <c r="A63" s="7" t="s">
        <v>29</v>
      </c>
      <c r="B63" s="8">
        <v>57</v>
      </c>
    </row>
    <row r="65" spans="1:7" x14ac:dyDescent="0.35">
      <c r="A65" s="5" t="s">
        <v>1090</v>
      </c>
    </row>
    <row r="66" spans="1:7" x14ac:dyDescent="0.35">
      <c r="A66" s="9" t="s">
        <v>1076</v>
      </c>
      <c r="B66" s="9" t="s">
        <v>1081</v>
      </c>
      <c r="F66" s="5" t="s">
        <v>1090</v>
      </c>
    </row>
    <row r="67" spans="1:7" x14ac:dyDescent="0.35">
      <c r="A67" s="6" t="s">
        <v>1075</v>
      </c>
      <c r="B67" s="9" t="s">
        <v>24</v>
      </c>
      <c r="F67" s="9" t="s">
        <v>1105</v>
      </c>
      <c r="G67" s="9" t="s">
        <v>1081</v>
      </c>
    </row>
    <row r="68" spans="1:7" x14ac:dyDescent="0.35">
      <c r="A68" s="7" t="s">
        <v>70</v>
      </c>
      <c r="B68" s="8">
        <v>15</v>
      </c>
      <c r="F68" s="6" t="s">
        <v>1075</v>
      </c>
      <c r="G68" s="9" t="s">
        <v>24</v>
      </c>
    </row>
    <row r="69" spans="1:7" x14ac:dyDescent="0.35">
      <c r="A69" s="7" t="s">
        <v>28</v>
      </c>
      <c r="B69" s="8">
        <v>15</v>
      </c>
      <c r="F69" s="7" t="s">
        <v>149</v>
      </c>
      <c r="G69" s="8">
        <v>6</v>
      </c>
    </row>
    <row r="70" spans="1:7" x14ac:dyDescent="0.35">
      <c r="A70" s="7" t="s">
        <v>82</v>
      </c>
      <c r="B70" s="8">
        <v>14</v>
      </c>
      <c r="F70" s="7" t="s">
        <v>28</v>
      </c>
      <c r="G70" s="8">
        <v>6</v>
      </c>
    </row>
    <row r="71" spans="1:7" x14ac:dyDescent="0.35">
      <c r="A71" s="7" t="s">
        <v>90</v>
      </c>
      <c r="B71" s="8">
        <v>13</v>
      </c>
      <c r="F71" s="7" t="s">
        <v>86</v>
      </c>
      <c r="G71" s="8">
        <v>7</v>
      </c>
    </row>
    <row r="72" spans="1:7" x14ac:dyDescent="0.35">
      <c r="A72" s="7" t="s">
        <v>121</v>
      </c>
      <c r="B72" s="8">
        <v>13</v>
      </c>
      <c r="F72" s="7" t="s">
        <v>192</v>
      </c>
      <c r="G72" s="8">
        <v>4</v>
      </c>
    </row>
    <row r="73" spans="1:7" x14ac:dyDescent="0.35">
      <c r="A73" s="7" t="s">
        <v>258</v>
      </c>
      <c r="B73" s="8">
        <v>11</v>
      </c>
      <c r="F73" s="7" t="s">
        <v>95</v>
      </c>
      <c r="G73" s="8">
        <v>6</v>
      </c>
    </row>
    <row r="74" spans="1:7" x14ac:dyDescent="0.35">
      <c r="A74" s="7" t="s">
        <v>143</v>
      </c>
      <c r="B74" s="8">
        <v>11</v>
      </c>
      <c r="F74" s="7" t="s">
        <v>75</v>
      </c>
      <c r="G74" s="8">
        <v>3</v>
      </c>
    </row>
    <row r="75" spans="1:7" x14ac:dyDescent="0.35">
      <c r="A75" s="7" t="s">
        <v>86</v>
      </c>
      <c r="B75" s="8">
        <v>11</v>
      </c>
      <c r="F75" s="7" t="s">
        <v>157</v>
      </c>
      <c r="G75" s="8">
        <v>2</v>
      </c>
    </row>
    <row r="76" spans="1:7" x14ac:dyDescent="0.35">
      <c r="A76" s="7" t="s">
        <v>192</v>
      </c>
      <c r="B76" s="8">
        <v>11</v>
      </c>
      <c r="F76" s="7" t="s">
        <v>121</v>
      </c>
      <c r="G76" s="8">
        <v>7</v>
      </c>
    </row>
    <row r="77" spans="1:7" x14ac:dyDescent="0.35">
      <c r="A77" s="7" t="s">
        <v>95</v>
      </c>
      <c r="B77" s="8">
        <v>11</v>
      </c>
      <c r="D77" s="9" t="s">
        <v>15</v>
      </c>
      <c r="E77" t="s">
        <v>24</v>
      </c>
      <c r="F77" s="7" t="s">
        <v>140</v>
      </c>
      <c r="G77" s="8">
        <v>2</v>
      </c>
    </row>
    <row r="78" spans="1:7" x14ac:dyDescent="0.35">
      <c r="A78" s="9" t="s">
        <v>15</v>
      </c>
      <c r="B78" t="s">
        <v>24</v>
      </c>
      <c r="D78" s="5" t="s">
        <v>1103</v>
      </c>
      <c r="F78" s="7" t="s">
        <v>101</v>
      </c>
      <c r="G78" s="8">
        <v>3</v>
      </c>
    </row>
    <row r="79" spans="1:7" x14ac:dyDescent="0.35">
      <c r="D79" s="6" t="s">
        <v>1075</v>
      </c>
      <c r="E79" s="9" t="s">
        <v>1105</v>
      </c>
      <c r="F79" s="7" t="s">
        <v>176</v>
      </c>
      <c r="G79" s="8">
        <v>2</v>
      </c>
    </row>
    <row r="80" spans="1:7" x14ac:dyDescent="0.35">
      <c r="D80" s="7" t="s">
        <v>30</v>
      </c>
      <c r="E80" s="10">
        <v>0.5273972602739726</v>
      </c>
      <c r="F80" s="7" t="s">
        <v>143</v>
      </c>
      <c r="G80" s="8">
        <v>6</v>
      </c>
    </row>
    <row r="81" spans="1:7" x14ac:dyDescent="0.35">
      <c r="D81" s="7" t="s">
        <v>21</v>
      </c>
      <c r="E81" s="10">
        <v>0.4726027397260274</v>
      </c>
      <c r="F81" s="7" t="s">
        <v>152</v>
      </c>
      <c r="G81" s="8">
        <v>4</v>
      </c>
    </row>
    <row r="82" spans="1:7" x14ac:dyDescent="0.35">
      <c r="F82" s="7" t="s">
        <v>131</v>
      </c>
      <c r="G82" s="8">
        <v>4</v>
      </c>
    </row>
    <row r="83" spans="1:7" x14ac:dyDescent="0.35">
      <c r="F83" s="7" t="s">
        <v>45</v>
      </c>
      <c r="G83" s="8">
        <v>4</v>
      </c>
    </row>
    <row r="84" spans="1:7" x14ac:dyDescent="0.35">
      <c r="D84" s="6" t="s">
        <v>1105</v>
      </c>
      <c r="E84" s="9" t="s">
        <v>1081</v>
      </c>
      <c r="F84" s="7" t="s">
        <v>70</v>
      </c>
      <c r="G84" s="8">
        <v>9</v>
      </c>
    </row>
    <row r="85" spans="1:7" x14ac:dyDescent="0.35">
      <c r="D85" s="6" t="s">
        <v>1075</v>
      </c>
      <c r="E85" t="s">
        <v>24</v>
      </c>
      <c r="F85" s="7" t="s">
        <v>61</v>
      </c>
      <c r="G85" s="8">
        <v>4</v>
      </c>
    </row>
    <row r="86" spans="1:7" x14ac:dyDescent="0.35">
      <c r="A86" s="6" t="s">
        <v>1105</v>
      </c>
      <c r="B86" s="9" t="s">
        <v>1081</v>
      </c>
      <c r="D86" s="7" t="s">
        <v>20</v>
      </c>
      <c r="E86" s="10">
        <v>0.25342465753424659</v>
      </c>
      <c r="F86" s="7" t="s">
        <v>146</v>
      </c>
      <c r="G86" s="8">
        <v>1</v>
      </c>
    </row>
    <row r="87" spans="1:7" x14ac:dyDescent="0.35">
      <c r="A87" s="6" t="s">
        <v>1075</v>
      </c>
      <c r="B87" t="s">
        <v>24</v>
      </c>
      <c r="D87" s="7" t="s">
        <v>36</v>
      </c>
      <c r="E87" s="10">
        <v>0.18493150684931506</v>
      </c>
      <c r="F87" s="7" t="s">
        <v>118</v>
      </c>
      <c r="G87" s="8">
        <v>3</v>
      </c>
    </row>
    <row r="88" spans="1:7" x14ac:dyDescent="0.35">
      <c r="A88" s="7" t="s">
        <v>1097</v>
      </c>
      <c r="B88" s="8">
        <v>10</v>
      </c>
      <c r="D88" s="7" t="s">
        <v>41</v>
      </c>
      <c r="E88" s="10">
        <v>0.17123287671232876</v>
      </c>
      <c r="F88" s="7" t="s">
        <v>299</v>
      </c>
      <c r="G88" s="8">
        <v>4</v>
      </c>
    </row>
    <row r="89" spans="1:7" x14ac:dyDescent="0.35">
      <c r="A89" s="7" t="s">
        <v>1098</v>
      </c>
      <c r="B89" s="8">
        <v>17</v>
      </c>
      <c r="D89" s="7" t="s">
        <v>29</v>
      </c>
      <c r="E89" s="10">
        <v>0.3904109589041096</v>
      </c>
      <c r="F89" s="7" t="s">
        <v>82</v>
      </c>
      <c r="G89" s="8">
        <v>7</v>
      </c>
    </row>
    <row r="90" spans="1:7" x14ac:dyDescent="0.35">
      <c r="A90" s="7" t="s">
        <v>1099</v>
      </c>
      <c r="B90" s="8">
        <v>24</v>
      </c>
      <c r="F90" s="7" t="s">
        <v>110</v>
      </c>
      <c r="G90" s="8">
        <v>5</v>
      </c>
    </row>
    <row r="91" spans="1:7" x14ac:dyDescent="0.35">
      <c r="A91" s="7" t="s">
        <v>1100</v>
      </c>
      <c r="B91" s="8">
        <v>95</v>
      </c>
      <c r="F91" s="7" t="s">
        <v>19</v>
      </c>
      <c r="G91" s="8">
        <v>4</v>
      </c>
    </row>
    <row r="92" spans="1:7" x14ac:dyDescent="0.35">
      <c r="F92" s="7" t="s">
        <v>452</v>
      </c>
      <c r="G92" s="8">
        <v>3</v>
      </c>
    </row>
    <row r="93" spans="1:7" x14ac:dyDescent="0.35">
      <c r="F93" s="7" t="s">
        <v>198</v>
      </c>
      <c r="G93" s="8">
        <v>5</v>
      </c>
    </row>
    <row r="94" spans="1:7" x14ac:dyDescent="0.35">
      <c r="A94" s="9" t="s">
        <v>15</v>
      </c>
      <c r="B94" t="s">
        <v>24</v>
      </c>
      <c r="F94" s="7" t="s">
        <v>258</v>
      </c>
      <c r="G94" s="8">
        <v>5</v>
      </c>
    </row>
    <row r="95" spans="1:7" x14ac:dyDescent="0.35">
      <c r="F95" s="7" t="s">
        <v>79</v>
      </c>
      <c r="G95" s="8">
        <v>1</v>
      </c>
    </row>
    <row r="96" spans="1:7" x14ac:dyDescent="0.35">
      <c r="A96" s="6" t="s">
        <v>1075</v>
      </c>
      <c r="B96" s="9" t="s">
        <v>1083</v>
      </c>
      <c r="F96" s="7" t="s">
        <v>113</v>
      </c>
      <c r="G96" s="8">
        <v>3</v>
      </c>
    </row>
    <row r="97" spans="1:7" x14ac:dyDescent="0.35">
      <c r="A97" s="7" t="s">
        <v>115</v>
      </c>
      <c r="B97" s="18">
        <v>4100000</v>
      </c>
      <c r="C97" s="21"/>
      <c r="F97" s="7" t="s">
        <v>49</v>
      </c>
      <c r="G97" s="8">
        <v>5</v>
      </c>
    </row>
    <row r="98" spans="1:7" x14ac:dyDescent="0.35">
      <c r="A98" s="7" t="s">
        <v>105</v>
      </c>
      <c r="B98" s="18">
        <v>4425000</v>
      </c>
      <c r="C98" s="21"/>
      <c r="F98" s="7" t="s">
        <v>54</v>
      </c>
      <c r="G98" s="8">
        <v>2</v>
      </c>
    </row>
    <row r="99" spans="1:7" x14ac:dyDescent="0.35">
      <c r="A99" s="7" t="s">
        <v>65</v>
      </c>
      <c r="B99" s="18">
        <v>6900000</v>
      </c>
      <c r="C99" s="21"/>
      <c r="F99" s="7" t="s">
        <v>128</v>
      </c>
      <c r="G99" s="8">
        <v>2</v>
      </c>
    </row>
    <row r="100" spans="1:7" x14ac:dyDescent="0.35">
      <c r="A100" s="7" t="s">
        <v>23</v>
      </c>
      <c r="B100" s="18">
        <v>7595000</v>
      </c>
      <c r="C100" s="21"/>
      <c r="F100" s="7" t="s">
        <v>35</v>
      </c>
      <c r="G100" s="8">
        <v>3</v>
      </c>
    </row>
    <row r="101" spans="1:7" x14ac:dyDescent="0.35">
      <c r="A101" s="7" t="s">
        <v>57</v>
      </c>
      <c r="B101" s="18">
        <v>15300000</v>
      </c>
      <c r="C101" s="21"/>
      <c r="F101" s="7" t="s">
        <v>213</v>
      </c>
      <c r="G101" s="8">
        <v>3</v>
      </c>
    </row>
    <row r="102" spans="1:7" x14ac:dyDescent="0.35">
      <c r="C102" s="21"/>
      <c r="F102" s="7" t="s">
        <v>90</v>
      </c>
      <c r="G102" s="8">
        <v>7</v>
      </c>
    </row>
    <row r="103" spans="1:7" x14ac:dyDescent="0.35">
      <c r="C103" s="21"/>
      <c r="F103" s="7" t="s">
        <v>189</v>
      </c>
      <c r="G103" s="8">
        <v>4</v>
      </c>
    </row>
    <row r="104" spans="1:7" x14ac:dyDescent="0.35">
      <c r="C104" s="21"/>
    </row>
    <row r="105" spans="1:7" x14ac:dyDescent="0.35">
      <c r="C105" s="21"/>
    </row>
    <row r="106" spans="1:7" x14ac:dyDescent="0.35">
      <c r="C106" s="21"/>
    </row>
    <row r="107" spans="1:7" x14ac:dyDescent="0.35">
      <c r="C107" s="21"/>
    </row>
    <row r="108" spans="1:7" x14ac:dyDescent="0.35">
      <c r="C108" s="21"/>
      <c r="D108" t="s">
        <v>1101</v>
      </c>
      <c r="E108" t="s">
        <v>1102</v>
      </c>
    </row>
    <row r="109" spans="1:7" x14ac:dyDescent="0.35">
      <c r="C109" s="21"/>
      <c r="D109" s="7" t="s">
        <v>79</v>
      </c>
      <c r="E109" s="8">
        <v>6</v>
      </c>
    </row>
    <row r="110" spans="1:7" x14ac:dyDescent="0.35">
      <c r="C110" s="21"/>
      <c r="D110" s="7" t="s">
        <v>146</v>
      </c>
      <c r="E110" s="8">
        <v>6</v>
      </c>
    </row>
    <row r="111" spans="1:7" x14ac:dyDescent="0.35">
      <c r="C111" s="21"/>
      <c r="D111" s="7" t="s">
        <v>54</v>
      </c>
      <c r="E111" s="8">
        <v>7</v>
      </c>
    </row>
    <row r="112" spans="1:7" x14ac:dyDescent="0.35">
      <c r="C112" s="21"/>
      <c r="D112" s="7" t="s">
        <v>176</v>
      </c>
      <c r="E112" s="8">
        <v>4</v>
      </c>
    </row>
    <row r="113" spans="2:5" x14ac:dyDescent="0.35">
      <c r="C113" s="21"/>
      <c r="D113" s="7" t="s">
        <v>452</v>
      </c>
      <c r="E113" s="8">
        <v>6</v>
      </c>
    </row>
    <row r="114" spans="2:5" x14ac:dyDescent="0.35">
      <c r="C114" s="21"/>
      <c r="D114" s="7" t="s">
        <v>140</v>
      </c>
      <c r="E114" s="8">
        <v>3</v>
      </c>
    </row>
    <row r="115" spans="2:5" x14ac:dyDescent="0.35">
      <c r="C115" s="21"/>
      <c r="D115" s="7" t="s">
        <v>157</v>
      </c>
      <c r="E115" s="8">
        <v>2</v>
      </c>
    </row>
    <row r="116" spans="2:5" x14ac:dyDescent="0.35">
      <c r="C116" s="21"/>
      <c r="D116" s="7" t="s">
        <v>213</v>
      </c>
      <c r="E116" s="8">
        <v>7</v>
      </c>
    </row>
    <row r="117" spans="2:5" x14ac:dyDescent="0.35">
      <c r="C117" s="21"/>
      <c r="D117" s="7" t="s">
        <v>128</v>
      </c>
      <c r="E117" s="8">
        <v>2</v>
      </c>
    </row>
    <row r="118" spans="2:5" x14ac:dyDescent="0.35">
      <c r="B118" s="21"/>
      <c r="C118" s="21"/>
      <c r="D118" s="7" t="s">
        <v>35</v>
      </c>
      <c r="E118" s="8">
        <v>3</v>
      </c>
    </row>
    <row r="119" spans="2:5" x14ac:dyDescent="0.35">
      <c r="B119" s="21"/>
      <c r="C119" s="21"/>
      <c r="D119" s="7" t="s">
        <v>198</v>
      </c>
      <c r="E119" s="8">
        <v>2</v>
      </c>
    </row>
    <row r="120" spans="2:5" x14ac:dyDescent="0.35">
      <c r="D120" s="7" t="s">
        <v>189</v>
      </c>
      <c r="E120" s="8">
        <v>6</v>
      </c>
    </row>
    <row r="121" spans="2:5" x14ac:dyDescent="0.35">
      <c r="D121" s="7" t="s">
        <v>118</v>
      </c>
      <c r="E121" s="8">
        <v>4</v>
      </c>
    </row>
    <row r="122" spans="2:5" x14ac:dyDescent="0.35">
      <c r="D122" s="7" t="s">
        <v>299</v>
      </c>
      <c r="E122" s="8">
        <v>4</v>
      </c>
    </row>
    <row r="123" spans="2:5" x14ac:dyDescent="0.35">
      <c r="D123" s="7" t="s">
        <v>152</v>
      </c>
      <c r="E123" s="8">
        <v>4</v>
      </c>
    </row>
    <row r="124" spans="2:5" x14ac:dyDescent="0.35">
      <c r="D124" s="7" t="s">
        <v>75</v>
      </c>
      <c r="E124" s="8">
        <v>9</v>
      </c>
    </row>
    <row r="125" spans="2:5" x14ac:dyDescent="0.35">
      <c r="D125" s="7" t="s">
        <v>19</v>
      </c>
      <c r="E125" s="8">
        <v>4</v>
      </c>
    </row>
    <row r="126" spans="2:5" x14ac:dyDescent="0.35">
      <c r="D126" s="7" t="s">
        <v>110</v>
      </c>
      <c r="E126" s="8">
        <v>1</v>
      </c>
    </row>
    <row r="127" spans="2:5" x14ac:dyDescent="0.35">
      <c r="D127" s="7" t="s">
        <v>113</v>
      </c>
      <c r="E127" s="8">
        <v>3</v>
      </c>
    </row>
    <row r="128" spans="2:5" x14ac:dyDescent="0.35">
      <c r="D128" s="7" t="s">
        <v>149</v>
      </c>
      <c r="E128" s="8">
        <v>4</v>
      </c>
    </row>
    <row r="129" spans="4:5" x14ac:dyDescent="0.35">
      <c r="D129" s="7" t="s">
        <v>61</v>
      </c>
      <c r="E129" s="8">
        <v>7</v>
      </c>
    </row>
    <row r="130" spans="4:5" x14ac:dyDescent="0.35">
      <c r="D130" s="7" t="s">
        <v>45</v>
      </c>
      <c r="E130" s="8">
        <v>5</v>
      </c>
    </row>
    <row r="131" spans="4:5" x14ac:dyDescent="0.35">
      <c r="D131" s="7" t="s">
        <v>101</v>
      </c>
      <c r="E131" s="8">
        <v>4</v>
      </c>
    </row>
    <row r="132" spans="4:5" x14ac:dyDescent="0.35">
      <c r="D132" s="7" t="s">
        <v>49</v>
      </c>
      <c r="E132" s="8">
        <v>3</v>
      </c>
    </row>
    <row r="133" spans="4:5" x14ac:dyDescent="0.35">
      <c r="D133" s="7" t="s">
        <v>131</v>
      </c>
      <c r="E133" s="8">
        <v>5</v>
      </c>
    </row>
    <row r="134" spans="4:5" x14ac:dyDescent="0.35">
      <c r="D134" s="7" t="s">
        <v>192</v>
      </c>
      <c r="E134" s="8">
        <v>5</v>
      </c>
    </row>
    <row r="135" spans="4:5" x14ac:dyDescent="0.35">
      <c r="D135" s="7" t="s">
        <v>95</v>
      </c>
      <c r="E135" s="8">
        <v>1</v>
      </c>
    </row>
    <row r="136" spans="4:5" x14ac:dyDescent="0.35">
      <c r="D136" s="7" t="s">
        <v>258</v>
      </c>
      <c r="E136" s="8">
        <v>3</v>
      </c>
    </row>
    <row r="137" spans="4:5" x14ac:dyDescent="0.35">
      <c r="D137" s="7" t="s">
        <v>143</v>
      </c>
      <c r="E137" s="8">
        <v>5</v>
      </c>
    </row>
    <row r="138" spans="4:5" x14ac:dyDescent="0.35">
      <c r="D138" s="7" t="s">
        <v>86</v>
      </c>
      <c r="E138" s="8">
        <v>2</v>
      </c>
    </row>
    <row r="139" spans="4:5" x14ac:dyDescent="0.35">
      <c r="D139" s="7" t="s">
        <v>121</v>
      </c>
      <c r="E139" s="8">
        <v>2</v>
      </c>
    </row>
    <row r="140" spans="4:5" x14ac:dyDescent="0.35">
      <c r="D140" s="7" t="s">
        <v>90</v>
      </c>
      <c r="E140" s="8">
        <v>3</v>
      </c>
    </row>
    <row r="141" spans="4:5" x14ac:dyDescent="0.35">
      <c r="D141" s="7" t="s">
        <v>82</v>
      </c>
      <c r="E141" s="8">
        <v>3</v>
      </c>
    </row>
    <row r="142" spans="4:5" x14ac:dyDescent="0.35">
      <c r="D142" s="7" t="s">
        <v>70</v>
      </c>
      <c r="E142" s="8">
        <v>7</v>
      </c>
    </row>
    <row r="143" spans="4:5" x14ac:dyDescent="0.35">
      <c r="D143" s="7" t="s">
        <v>28</v>
      </c>
      <c r="E143" s="8">
        <v>4</v>
      </c>
    </row>
  </sheetData>
  <pageMargins left="0.7" right="0.7" top="0.75" bottom="0.75" header="0.3" footer="0.3"/>
  <tableParts count="1">
    <tablePart r:id="rId1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B64D1-95E6-4F0A-98CA-836CE10558E1}">
  <dimension ref="A2:AC78"/>
  <sheetViews>
    <sheetView showGridLines="0" tabSelected="1" zoomScale="40" zoomScaleNormal="40" workbookViewId="0">
      <selection activeCell="AI14" sqref="AI14"/>
    </sheetView>
  </sheetViews>
  <sheetFormatPr defaultRowHeight="14.5" x14ac:dyDescent="0.35"/>
  <cols>
    <col min="1" max="1" width="6" customWidth="1"/>
    <col min="6" max="6" width="8.7265625" customWidth="1"/>
    <col min="34" max="34" width="22.90625" customWidth="1"/>
  </cols>
  <sheetData>
    <row r="2" spans="1:29" x14ac:dyDescent="0.35">
      <c r="A2" s="16"/>
      <c r="B2" s="16"/>
    </row>
    <row r="3" spans="1:29" x14ac:dyDescent="0.35">
      <c r="A3" s="16"/>
      <c r="B3" s="16"/>
    </row>
    <row r="4" spans="1:29" x14ac:dyDescent="0.35">
      <c r="A4" s="16"/>
      <c r="B4" s="16"/>
      <c r="F4" t="e" vm="1">
        <v>#VALUE!</v>
      </c>
    </row>
    <row r="5" spans="1:29" x14ac:dyDescent="0.35">
      <c r="A5" s="16"/>
      <c r="B5" s="16"/>
    </row>
    <row r="6" spans="1:29" x14ac:dyDescent="0.35">
      <c r="A6" s="16"/>
      <c r="B6" s="16"/>
      <c r="C6" s="17"/>
      <c r="D6" s="17"/>
      <c r="E6" s="17"/>
      <c r="F6" s="17"/>
      <c r="G6" s="17"/>
      <c r="H6" s="17"/>
      <c r="I6" s="17"/>
      <c r="J6" s="17"/>
      <c r="K6" s="17"/>
      <c r="L6" s="17"/>
      <c r="M6" s="17"/>
      <c r="N6" s="17"/>
      <c r="O6" s="17"/>
      <c r="P6" s="17"/>
      <c r="Q6" s="17"/>
      <c r="R6" s="17"/>
      <c r="S6" s="17"/>
      <c r="T6" s="17"/>
      <c r="U6" s="17"/>
      <c r="V6" s="17"/>
      <c r="W6" s="17"/>
      <c r="X6" s="17"/>
      <c r="Y6" s="17"/>
      <c r="Z6" s="17"/>
      <c r="AA6" s="17"/>
      <c r="AB6" s="17"/>
      <c r="AC6" s="17"/>
    </row>
    <row r="7" spans="1:29" x14ac:dyDescent="0.35">
      <c r="A7" s="16"/>
      <c r="B7" s="16"/>
      <c r="C7" s="17"/>
      <c r="D7" s="17"/>
      <c r="E7" s="17"/>
      <c r="F7" s="17"/>
      <c r="G7" s="17"/>
      <c r="H7" s="17"/>
      <c r="I7" s="17"/>
      <c r="J7" s="17"/>
      <c r="K7" s="17"/>
      <c r="L7" s="17"/>
      <c r="M7" s="17"/>
      <c r="N7" s="17"/>
      <c r="O7" s="17"/>
      <c r="P7" s="17"/>
      <c r="Q7" s="17"/>
      <c r="R7" s="17"/>
      <c r="S7" s="17"/>
      <c r="T7" s="17"/>
      <c r="U7" s="17"/>
      <c r="V7" s="17"/>
      <c r="W7" s="17"/>
      <c r="X7" s="17"/>
      <c r="Y7" s="17"/>
      <c r="Z7" s="17"/>
      <c r="AA7" s="17"/>
      <c r="AB7" s="17"/>
      <c r="AC7" s="17"/>
    </row>
    <row r="8" spans="1:29" x14ac:dyDescent="0.35">
      <c r="A8" s="16"/>
      <c r="B8" s="16"/>
      <c r="C8" s="17"/>
      <c r="D8" s="17"/>
      <c r="E8" s="17"/>
      <c r="F8" s="17"/>
      <c r="G8" s="17"/>
      <c r="H8" s="17"/>
      <c r="I8" s="17"/>
      <c r="J8" s="17"/>
      <c r="K8" s="17"/>
      <c r="L8" s="17"/>
      <c r="M8" s="17"/>
      <c r="N8" s="17"/>
      <c r="O8" s="17"/>
      <c r="P8" s="17"/>
      <c r="Q8" s="17"/>
      <c r="R8" s="17"/>
      <c r="S8" s="17"/>
      <c r="T8" s="17"/>
      <c r="U8" s="17"/>
      <c r="V8" s="17"/>
      <c r="W8" s="17"/>
      <c r="X8" s="17"/>
      <c r="Y8" s="17"/>
      <c r="Z8" s="17"/>
      <c r="AA8" s="17"/>
      <c r="AB8" s="17"/>
      <c r="AC8" s="17"/>
    </row>
    <row r="9" spans="1:29" x14ac:dyDescent="0.35">
      <c r="A9" s="16"/>
      <c r="B9" s="16"/>
      <c r="C9" s="17"/>
      <c r="D9" s="17"/>
      <c r="E9" s="17"/>
      <c r="F9" s="17"/>
      <c r="G9" s="17"/>
      <c r="H9" s="17"/>
      <c r="I9" s="17"/>
      <c r="J9" s="17"/>
      <c r="K9" s="17"/>
      <c r="L9" s="17"/>
      <c r="M9" s="17"/>
      <c r="N9" s="17"/>
      <c r="O9" s="17"/>
      <c r="P9" s="17"/>
      <c r="Q9" s="17"/>
      <c r="R9" s="17"/>
      <c r="S9" s="17"/>
      <c r="T9" s="17"/>
      <c r="U9" s="17"/>
      <c r="V9" s="17"/>
      <c r="W9" s="17"/>
      <c r="X9" s="17"/>
      <c r="Y9" s="17"/>
      <c r="Z9" s="17"/>
      <c r="AA9" s="17"/>
      <c r="AB9" s="17"/>
      <c r="AC9" s="17"/>
    </row>
    <row r="10" spans="1:29" x14ac:dyDescent="0.35">
      <c r="A10" s="16"/>
      <c r="B10" s="1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x14ac:dyDescent="0.35">
      <c r="A11" s="16"/>
      <c r="B11" s="1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row>
    <row r="12" spans="1:29" x14ac:dyDescent="0.35">
      <c r="A12" s="16"/>
      <c r="B12" s="1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x14ac:dyDescent="0.35">
      <c r="A13" s="16"/>
      <c r="B13" s="1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spans="1:29" x14ac:dyDescent="0.35">
      <c r="A14" s="16"/>
      <c r="B14" s="1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x14ac:dyDescent="0.35">
      <c r="A15" s="16"/>
      <c r="B15" s="1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x14ac:dyDescent="0.35">
      <c r="A16" s="16"/>
      <c r="B16" s="1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1:29" x14ac:dyDescent="0.35">
      <c r="A17" s="16"/>
      <c r="B17" s="1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x14ac:dyDescent="0.35">
      <c r="A18" s="16"/>
      <c r="B18" s="1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x14ac:dyDescent="0.35">
      <c r="A19" s="16"/>
      <c r="B19" s="1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x14ac:dyDescent="0.35">
      <c r="A20" s="16"/>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35">
      <c r="A21" s="16"/>
      <c r="B21" s="1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x14ac:dyDescent="0.35">
      <c r="A22" s="16"/>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x14ac:dyDescent="0.35">
      <c r="A23" s="16"/>
      <c r="B23" s="1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x14ac:dyDescent="0.35">
      <c r="A24" s="16"/>
      <c r="B24" s="1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x14ac:dyDescent="0.35">
      <c r="A25" s="16"/>
      <c r="B25" s="1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x14ac:dyDescent="0.35">
      <c r="A26" s="16"/>
      <c r="B26" s="1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x14ac:dyDescent="0.35">
      <c r="A27" s="16"/>
      <c r="B27" s="1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x14ac:dyDescent="0.35">
      <c r="A28" s="16"/>
      <c r="B28" s="1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1:29" x14ac:dyDescent="0.35">
      <c r="A29" s="16"/>
      <c r="B29" s="1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x14ac:dyDescent="0.35">
      <c r="A30" s="16"/>
      <c r="B30" s="1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x14ac:dyDescent="0.35">
      <c r="A31" s="16"/>
      <c r="B31" s="1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x14ac:dyDescent="0.35">
      <c r="A32" s="16"/>
      <c r="B32" s="1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x14ac:dyDescent="0.35">
      <c r="A33" s="16"/>
      <c r="B33" s="1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x14ac:dyDescent="0.35">
      <c r="A34" s="16"/>
      <c r="B34" s="1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x14ac:dyDescent="0.35">
      <c r="A35" s="16"/>
      <c r="B35" s="1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x14ac:dyDescent="0.35">
      <c r="A36" s="16"/>
      <c r="B36" s="1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1:29" x14ac:dyDescent="0.35">
      <c r="A37" s="16"/>
      <c r="B37" s="1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x14ac:dyDescent="0.35">
      <c r="A38" s="16"/>
      <c r="B38" s="1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x14ac:dyDescent="0.35">
      <c r="A39" s="16"/>
      <c r="B39" s="1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spans="1:29" x14ac:dyDescent="0.35">
      <c r="A40" s="16"/>
      <c r="B40" s="1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spans="1:29" x14ac:dyDescent="0.35">
      <c r="A41" s="16"/>
      <c r="B41" s="16"/>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spans="1:29" x14ac:dyDescent="0.35">
      <c r="A42" s="16"/>
      <c r="B42" s="16"/>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spans="1:29" x14ac:dyDescent="0.35">
      <c r="A43" s="16"/>
      <c r="B43" s="16"/>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spans="1:29" x14ac:dyDescent="0.35">
      <c r="A44" s="16"/>
      <c r="B44" s="16"/>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spans="1:29" x14ac:dyDescent="0.35">
      <c r="A45" s="16"/>
      <c r="B45" s="16"/>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spans="1:29" x14ac:dyDescent="0.35">
      <c r="A46" s="16"/>
      <c r="B46" s="16"/>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spans="1:29" x14ac:dyDescent="0.35">
      <c r="A47" s="16"/>
      <c r="B47" s="16"/>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spans="1:29" x14ac:dyDescent="0.35">
      <c r="A48" s="16"/>
      <c r="B48" s="16"/>
    </row>
    <row r="49" spans="1:2" x14ac:dyDescent="0.35">
      <c r="A49" s="16"/>
      <c r="B49" s="16"/>
    </row>
    <row r="50" spans="1:2" x14ac:dyDescent="0.35">
      <c r="A50" s="16"/>
      <c r="B50" s="16"/>
    </row>
    <row r="51" spans="1:2" x14ac:dyDescent="0.35">
      <c r="A51" s="16"/>
      <c r="B51" s="16"/>
    </row>
    <row r="52" spans="1:2" x14ac:dyDescent="0.35">
      <c r="A52" s="16"/>
      <c r="B52" s="16"/>
    </row>
    <row r="53" spans="1:2" x14ac:dyDescent="0.35">
      <c r="A53" s="16"/>
      <c r="B53" s="16"/>
    </row>
    <row r="54" spans="1:2" x14ac:dyDescent="0.35">
      <c r="A54" s="16"/>
      <c r="B54" s="16"/>
    </row>
    <row r="55" spans="1:2" x14ac:dyDescent="0.35">
      <c r="A55" s="16"/>
      <c r="B55" s="16"/>
    </row>
    <row r="56" spans="1:2" x14ac:dyDescent="0.35">
      <c r="A56" s="16"/>
      <c r="B56" s="16"/>
    </row>
    <row r="57" spans="1:2" x14ac:dyDescent="0.35">
      <c r="A57" s="16"/>
      <c r="B57" s="16"/>
    </row>
    <row r="58" spans="1:2" x14ac:dyDescent="0.35">
      <c r="A58" s="16"/>
      <c r="B58" s="16"/>
    </row>
    <row r="59" spans="1:2" x14ac:dyDescent="0.35">
      <c r="A59" s="16"/>
      <c r="B59" s="16"/>
    </row>
    <row r="60" spans="1:2" x14ac:dyDescent="0.35">
      <c r="A60" s="16"/>
      <c r="B60" s="16"/>
    </row>
    <row r="61" spans="1:2" x14ac:dyDescent="0.35">
      <c r="A61" s="16"/>
      <c r="B61" s="16"/>
    </row>
    <row r="62" spans="1:2" x14ac:dyDescent="0.35">
      <c r="A62" s="16"/>
      <c r="B62" s="16"/>
    </row>
    <row r="63" spans="1:2" x14ac:dyDescent="0.35">
      <c r="A63" s="16"/>
      <c r="B63" s="16"/>
    </row>
    <row r="64" spans="1:2" x14ac:dyDescent="0.35">
      <c r="A64" s="16"/>
      <c r="B64" s="16"/>
    </row>
    <row r="65" spans="1:2" x14ac:dyDescent="0.35">
      <c r="A65" s="16"/>
      <c r="B65" s="16"/>
    </row>
    <row r="66" spans="1:2" x14ac:dyDescent="0.35">
      <c r="A66" s="16"/>
      <c r="B66" s="16"/>
    </row>
    <row r="67" spans="1:2" x14ac:dyDescent="0.35">
      <c r="A67" s="16"/>
      <c r="B67" s="16"/>
    </row>
    <row r="68" spans="1:2" x14ac:dyDescent="0.35">
      <c r="A68" s="16"/>
      <c r="B68" s="16"/>
    </row>
    <row r="69" spans="1:2" x14ac:dyDescent="0.35">
      <c r="A69" s="16"/>
      <c r="B69" s="16"/>
    </row>
    <row r="70" spans="1:2" x14ac:dyDescent="0.35">
      <c r="A70" s="16"/>
      <c r="B70" s="16"/>
    </row>
    <row r="71" spans="1:2" x14ac:dyDescent="0.35">
      <c r="A71" s="16"/>
      <c r="B71" s="16"/>
    </row>
    <row r="72" spans="1:2" x14ac:dyDescent="0.35">
      <c r="A72" s="16"/>
      <c r="B72" s="16"/>
    </row>
    <row r="73" spans="1:2" x14ac:dyDescent="0.35">
      <c r="A73" s="16"/>
      <c r="B73" s="16"/>
    </row>
    <row r="74" spans="1:2" x14ac:dyDescent="0.35">
      <c r="A74" s="16"/>
      <c r="B74" s="16"/>
    </row>
    <row r="75" spans="1:2" x14ac:dyDescent="0.35">
      <c r="A75" s="16"/>
      <c r="B75" s="16"/>
    </row>
    <row r="76" spans="1:2" x14ac:dyDescent="0.35">
      <c r="A76" s="16"/>
      <c r="B76" s="16"/>
    </row>
    <row r="77" spans="1:2" x14ac:dyDescent="0.35">
      <c r="A77" s="16"/>
      <c r="B77" s="16"/>
    </row>
    <row r="78" spans="1:2" x14ac:dyDescent="0.35">
      <c r="A78" s="16"/>
      <c r="B78" s="1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59BDF-8C11-4B4E-9B83-E5792F3B1409}">
  <dimension ref="A2:AC78"/>
  <sheetViews>
    <sheetView showGridLines="0" zoomScale="40" zoomScaleNormal="40" workbookViewId="0">
      <selection activeCell="AK48" sqref="AK48"/>
    </sheetView>
  </sheetViews>
  <sheetFormatPr defaultRowHeight="14.5" x14ac:dyDescent="0.35"/>
  <cols>
    <col min="1" max="1" width="6" customWidth="1"/>
    <col min="6" max="6" width="8.7265625" customWidth="1"/>
    <col min="34" max="34" width="22.90625" customWidth="1"/>
  </cols>
  <sheetData>
    <row r="2" spans="1:29" x14ac:dyDescent="0.35">
      <c r="A2" s="16"/>
      <c r="B2" s="16"/>
    </row>
    <row r="3" spans="1:29" x14ac:dyDescent="0.35">
      <c r="A3" s="16"/>
      <c r="B3" s="16"/>
    </row>
    <row r="4" spans="1:29" x14ac:dyDescent="0.35">
      <c r="A4" s="16"/>
      <c r="B4" s="16"/>
      <c r="F4" t="e" vm="1">
        <v>#VALUE!</v>
      </c>
    </row>
    <row r="5" spans="1:29" x14ac:dyDescent="0.35">
      <c r="A5" s="16"/>
      <c r="B5" s="16"/>
    </row>
    <row r="6" spans="1:29" x14ac:dyDescent="0.35">
      <c r="A6" s="16"/>
      <c r="B6" s="16"/>
      <c r="C6" s="17"/>
      <c r="D6" s="17"/>
      <c r="E6" s="17"/>
      <c r="F6" s="17"/>
      <c r="G6" s="17"/>
      <c r="H6" s="17"/>
      <c r="I6" s="17"/>
      <c r="J6" s="17"/>
      <c r="K6" s="17"/>
      <c r="L6" s="17"/>
      <c r="M6" s="17"/>
      <c r="N6" s="17"/>
      <c r="O6" s="17"/>
      <c r="P6" s="17"/>
      <c r="Q6" s="17"/>
      <c r="R6" s="17"/>
      <c r="S6" s="17"/>
      <c r="T6" s="17"/>
      <c r="U6" s="17"/>
      <c r="V6" s="17"/>
      <c r="W6" s="17"/>
      <c r="X6" s="17"/>
      <c r="Y6" s="17"/>
      <c r="Z6" s="17"/>
      <c r="AA6" s="17"/>
      <c r="AB6" s="17"/>
      <c r="AC6" s="17"/>
    </row>
    <row r="7" spans="1:29" x14ac:dyDescent="0.35">
      <c r="A7" s="16"/>
      <c r="B7" s="16"/>
      <c r="C7" s="17"/>
      <c r="D7" s="17"/>
      <c r="E7" s="17"/>
      <c r="F7" s="17"/>
      <c r="G7" s="17"/>
      <c r="H7" s="17"/>
      <c r="I7" s="17"/>
      <c r="J7" s="17"/>
      <c r="K7" s="17"/>
      <c r="L7" s="17"/>
      <c r="M7" s="17"/>
      <c r="N7" s="17"/>
      <c r="O7" s="17"/>
      <c r="P7" s="17"/>
      <c r="Q7" s="17"/>
      <c r="R7" s="17"/>
      <c r="S7" s="17"/>
      <c r="T7" s="17"/>
      <c r="U7" s="17"/>
      <c r="V7" s="17"/>
      <c r="W7" s="17"/>
      <c r="X7" s="17"/>
      <c r="Y7" s="17"/>
      <c r="Z7" s="17"/>
      <c r="AA7" s="17"/>
      <c r="AB7" s="17"/>
      <c r="AC7" s="17"/>
    </row>
    <row r="8" spans="1:29" x14ac:dyDescent="0.35">
      <c r="A8" s="16"/>
      <c r="B8" s="16"/>
      <c r="C8" s="17"/>
      <c r="D8" s="17"/>
      <c r="E8" s="17"/>
      <c r="F8" s="17"/>
      <c r="G8" s="17"/>
      <c r="H8" s="17"/>
      <c r="I8" s="17"/>
      <c r="J8" s="17"/>
      <c r="K8" s="17"/>
      <c r="L8" s="17"/>
      <c r="M8" s="17"/>
      <c r="N8" s="17"/>
      <c r="O8" s="17"/>
      <c r="P8" s="17"/>
      <c r="Q8" s="17"/>
      <c r="R8" s="17"/>
      <c r="S8" s="17"/>
      <c r="T8" s="17"/>
      <c r="U8" s="17"/>
      <c r="V8" s="17"/>
      <c r="W8" s="17"/>
      <c r="X8" s="17"/>
      <c r="Y8" s="17"/>
      <c r="Z8" s="17"/>
      <c r="AA8" s="17"/>
      <c r="AB8" s="17"/>
      <c r="AC8" s="17"/>
    </row>
    <row r="9" spans="1:29" x14ac:dyDescent="0.35">
      <c r="A9" s="16"/>
      <c r="B9" s="16"/>
      <c r="C9" s="17"/>
      <c r="D9" s="17"/>
      <c r="E9" s="17"/>
      <c r="F9" s="17"/>
      <c r="G9" s="17"/>
      <c r="H9" s="17"/>
      <c r="I9" s="17"/>
      <c r="J9" s="17"/>
      <c r="K9" s="17"/>
      <c r="L9" s="17"/>
      <c r="M9" s="17"/>
      <c r="N9" s="17"/>
      <c r="O9" s="17"/>
      <c r="P9" s="17"/>
      <c r="Q9" s="17"/>
      <c r="R9" s="17"/>
      <c r="S9" s="17"/>
      <c r="T9" s="17"/>
      <c r="U9" s="17"/>
      <c r="V9" s="17"/>
      <c r="W9" s="17"/>
      <c r="X9" s="17"/>
      <c r="Y9" s="17"/>
      <c r="Z9" s="17"/>
      <c r="AA9" s="17"/>
      <c r="AB9" s="17"/>
      <c r="AC9" s="17"/>
    </row>
    <row r="10" spans="1:29" x14ac:dyDescent="0.35">
      <c r="A10" s="16"/>
      <c r="B10" s="1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x14ac:dyDescent="0.35">
      <c r="A11" s="16"/>
      <c r="B11" s="1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row>
    <row r="12" spans="1:29" x14ac:dyDescent="0.35">
      <c r="A12" s="16"/>
      <c r="B12" s="1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x14ac:dyDescent="0.35">
      <c r="A13" s="16"/>
      <c r="B13" s="1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spans="1:29" x14ac:dyDescent="0.35">
      <c r="A14" s="16"/>
      <c r="B14" s="1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x14ac:dyDescent="0.35">
      <c r="A15" s="16"/>
      <c r="B15" s="1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x14ac:dyDescent="0.35">
      <c r="A16" s="16"/>
      <c r="B16" s="1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1:29" x14ac:dyDescent="0.35">
      <c r="A17" s="16"/>
      <c r="B17" s="1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x14ac:dyDescent="0.35">
      <c r="A18" s="16"/>
      <c r="B18" s="1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x14ac:dyDescent="0.35">
      <c r="A19" s="16"/>
      <c r="B19" s="1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x14ac:dyDescent="0.35">
      <c r="A20" s="16"/>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35">
      <c r="A21" s="16"/>
      <c r="B21" s="1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x14ac:dyDescent="0.35">
      <c r="A22" s="16"/>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x14ac:dyDescent="0.35">
      <c r="A23" s="16"/>
      <c r="B23" s="1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x14ac:dyDescent="0.35">
      <c r="A24" s="16"/>
      <c r="B24" s="1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x14ac:dyDescent="0.35">
      <c r="A25" s="16"/>
      <c r="B25" s="1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x14ac:dyDescent="0.35">
      <c r="A26" s="16"/>
      <c r="B26" s="1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x14ac:dyDescent="0.35">
      <c r="A27" s="16"/>
      <c r="B27" s="1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x14ac:dyDescent="0.35">
      <c r="A28" s="16"/>
      <c r="B28" s="1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1:29" x14ac:dyDescent="0.35">
      <c r="A29" s="16"/>
      <c r="B29" s="1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x14ac:dyDescent="0.35">
      <c r="A30" s="16"/>
      <c r="B30" s="1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x14ac:dyDescent="0.35">
      <c r="A31" s="16"/>
      <c r="B31" s="1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x14ac:dyDescent="0.35">
      <c r="A32" s="16"/>
      <c r="B32" s="1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x14ac:dyDescent="0.35">
      <c r="A33" s="16"/>
      <c r="B33" s="1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x14ac:dyDescent="0.35">
      <c r="A34" s="16"/>
      <c r="B34" s="1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x14ac:dyDescent="0.35">
      <c r="A35" s="16"/>
      <c r="B35" s="1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x14ac:dyDescent="0.35">
      <c r="A36" s="16"/>
      <c r="B36" s="1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1:29" x14ac:dyDescent="0.35">
      <c r="A37" s="16"/>
      <c r="B37" s="1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x14ac:dyDescent="0.35">
      <c r="A38" s="16"/>
      <c r="B38" s="1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x14ac:dyDescent="0.35">
      <c r="A39" s="16"/>
      <c r="B39" s="1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spans="1:29" x14ac:dyDescent="0.35">
      <c r="A40" s="16"/>
      <c r="B40" s="1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spans="1:29" x14ac:dyDescent="0.35">
      <c r="A41" s="16"/>
      <c r="B41" s="16"/>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spans="1:29" x14ac:dyDescent="0.35">
      <c r="A42" s="16"/>
      <c r="B42" s="16"/>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spans="1:29" x14ac:dyDescent="0.35">
      <c r="A43" s="16"/>
      <c r="B43" s="16"/>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spans="1:29" x14ac:dyDescent="0.35">
      <c r="A44" s="16"/>
      <c r="B44" s="16"/>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spans="1:29" x14ac:dyDescent="0.35">
      <c r="A45" s="16"/>
      <c r="B45" s="16"/>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spans="1:29" x14ac:dyDescent="0.35">
      <c r="A46" s="16"/>
      <c r="B46" s="16"/>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spans="1:29" x14ac:dyDescent="0.35">
      <c r="A47" s="16"/>
      <c r="B47" s="16"/>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spans="1:29" x14ac:dyDescent="0.35">
      <c r="A48" s="16"/>
      <c r="B48" s="16"/>
    </row>
    <row r="49" spans="1:2" x14ac:dyDescent="0.35">
      <c r="A49" s="16"/>
      <c r="B49" s="16"/>
    </row>
    <row r="50" spans="1:2" x14ac:dyDescent="0.35">
      <c r="A50" s="16"/>
      <c r="B50" s="16"/>
    </row>
    <row r="51" spans="1:2" x14ac:dyDescent="0.35">
      <c r="A51" s="16"/>
      <c r="B51" s="16"/>
    </row>
    <row r="52" spans="1:2" x14ac:dyDescent="0.35">
      <c r="A52" s="16"/>
      <c r="B52" s="16"/>
    </row>
    <row r="53" spans="1:2" x14ac:dyDescent="0.35">
      <c r="A53" s="16"/>
      <c r="B53" s="16"/>
    </row>
    <row r="54" spans="1:2" x14ac:dyDescent="0.35">
      <c r="A54" s="16"/>
      <c r="B54" s="16"/>
    </row>
    <row r="55" spans="1:2" x14ac:dyDescent="0.35">
      <c r="A55" s="16"/>
      <c r="B55" s="16"/>
    </row>
    <row r="56" spans="1:2" x14ac:dyDescent="0.35">
      <c r="A56" s="16"/>
      <c r="B56" s="16"/>
    </row>
    <row r="57" spans="1:2" x14ac:dyDescent="0.35">
      <c r="A57" s="16"/>
      <c r="B57" s="16"/>
    </row>
    <row r="58" spans="1:2" x14ac:dyDescent="0.35">
      <c r="A58" s="16"/>
      <c r="B58" s="16"/>
    </row>
    <row r="59" spans="1:2" x14ac:dyDescent="0.35">
      <c r="A59" s="16"/>
      <c r="B59" s="16"/>
    </row>
    <row r="60" spans="1:2" x14ac:dyDescent="0.35">
      <c r="A60" s="16"/>
      <c r="B60" s="16"/>
    </row>
    <row r="61" spans="1:2" x14ac:dyDescent="0.35">
      <c r="A61" s="16"/>
      <c r="B61" s="16"/>
    </row>
    <row r="62" spans="1:2" x14ac:dyDescent="0.35">
      <c r="A62" s="16"/>
      <c r="B62" s="16"/>
    </row>
    <row r="63" spans="1:2" x14ac:dyDescent="0.35">
      <c r="A63" s="16"/>
      <c r="B63" s="16"/>
    </row>
    <row r="64" spans="1:2" x14ac:dyDescent="0.35">
      <c r="A64" s="16"/>
      <c r="B64" s="16"/>
    </row>
    <row r="65" spans="1:2" x14ac:dyDescent="0.35">
      <c r="A65" s="16"/>
      <c r="B65" s="16"/>
    </row>
    <row r="66" spans="1:2" x14ac:dyDescent="0.35">
      <c r="A66" s="16"/>
      <c r="B66" s="16"/>
    </row>
    <row r="67" spans="1:2" x14ac:dyDescent="0.35">
      <c r="A67" s="16"/>
      <c r="B67" s="16"/>
    </row>
    <row r="68" spans="1:2" x14ac:dyDescent="0.35">
      <c r="A68" s="16"/>
      <c r="B68" s="16"/>
    </row>
    <row r="69" spans="1:2" x14ac:dyDescent="0.35">
      <c r="A69" s="16"/>
      <c r="B69" s="16"/>
    </row>
    <row r="70" spans="1:2" x14ac:dyDescent="0.35">
      <c r="A70" s="16"/>
      <c r="B70" s="16"/>
    </row>
    <row r="71" spans="1:2" x14ac:dyDescent="0.35">
      <c r="A71" s="16"/>
      <c r="B71" s="16"/>
    </row>
    <row r="72" spans="1:2" x14ac:dyDescent="0.35">
      <c r="A72" s="16"/>
      <c r="B72" s="16"/>
    </row>
    <row r="73" spans="1:2" x14ac:dyDescent="0.35">
      <c r="A73" s="16"/>
      <c r="B73" s="16"/>
    </row>
    <row r="74" spans="1:2" x14ac:dyDescent="0.35">
      <c r="A74" s="16"/>
      <c r="B74" s="16"/>
    </row>
    <row r="75" spans="1:2" x14ac:dyDescent="0.35">
      <c r="A75" s="16"/>
      <c r="B75" s="16"/>
    </row>
    <row r="76" spans="1:2" x14ac:dyDescent="0.35">
      <c r="A76" s="16"/>
      <c r="B76" s="16"/>
    </row>
    <row r="77" spans="1:2" x14ac:dyDescent="0.35">
      <c r="A77" s="16"/>
      <c r="B77" s="16"/>
    </row>
    <row r="78" spans="1:2" x14ac:dyDescent="0.35">
      <c r="A78" s="16"/>
      <c r="B78" s="1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BBF7B-D2FF-40EC-B68A-623DD20DAEB2}">
  <dimension ref="A2:AC78"/>
  <sheetViews>
    <sheetView showGridLines="0" topLeftCell="A31" zoomScale="40" zoomScaleNormal="40" workbookViewId="0">
      <selection activeCell="AJ65" sqref="AJ65"/>
    </sheetView>
  </sheetViews>
  <sheetFormatPr defaultRowHeight="14.5" x14ac:dyDescent="0.35"/>
  <cols>
    <col min="1" max="1" width="6" customWidth="1"/>
    <col min="6" max="6" width="8.7265625" customWidth="1"/>
    <col min="34" max="34" width="22.90625" customWidth="1"/>
  </cols>
  <sheetData>
    <row r="2" spans="1:29" x14ac:dyDescent="0.35">
      <c r="A2" s="16"/>
      <c r="B2" s="16"/>
    </row>
    <row r="3" spans="1:29" x14ac:dyDescent="0.35">
      <c r="A3" s="16"/>
      <c r="B3" s="16"/>
    </row>
    <row r="4" spans="1:29" x14ac:dyDescent="0.35">
      <c r="A4" s="16"/>
      <c r="B4" s="16"/>
      <c r="F4" t="e" vm="1">
        <v>#VALUE!</v>
      </c>
    </row>
    <row r="5" spans="1:29" x14ac:dyDescent="0.35">
      <c r="A5" s="16"/>
      <c r="B5" s="16"/>
    </row>
    <row r="6" spans="1:29" x14ac:dyDescent="0.35">
      <c r="A6" s="16"/>
      <c r="B6" s="16"/>
      <c r="C6" s="17"/>
      <c r="D6" s="17"/>
      <c r="E6" s="17"/>
      <c r="F6" s="17"/>
      <c r="G6" s="17"/>
      <c r="H6" s="17"/>
      <c r="I6" s="17"/>
      <c r="J6" s="17"/>
      <c r="K6" s="17"/>
      <c r="L6" s="17"/>
      <c r="M6" s="17"/>
      <c r="N6" s="17"/>
      <c r="O6" s="17"/>
      <c r="P6" s="17"/>
      <c r="Q6" s="17"/>
      <c r="R6" s="17"/>
      <c r="S6" s="17"/>
      <c r="T6" s="17"/>
      <c r="U6" s="17"/>
      <c r="V6" s="17"/>
      <c r="W6" s="17"/>
      <c r="X6" s="17"/>
      <c r="Y6" s="17"/>
      <c r="Z6" s="17"/>
      <c r="AA6" s="17"/>
      <c r="AB6" s="17"/>
      <c r="AC6" s="17"/>
    </row>
    <row r="7" spans="1:29" x14ac:dyDescent="0.35">
      <c r="A7" s="16"/>
      <c r="B7" s="16"/>
      <c r="C7" s="17"/>
      <c r="D7" s="17"/>
      <c r="E7" s="17"/>
      <c r="F7" s="17"/>
      <c r="G7" s="17"/>
      <c r="H7" s="17"/>
      <c r="I7" s="17"/>
      <c r="J7" s="17"/>
      <c r="K7" s="17"/>
      <c r="L7" s="17"/>
      <c r="M7" s="17"/>
      <c r="N7" s="17"/>
      <c r="O7" s="17"/>
      <c r="P7" s="17"/>
      <c r="Q7" s="17"/>
      <c r="R7" s="17"/>
      <c r="S7" s="17"/>
      <c r="T7" s="17"/>
      <c r="U7" s="17"/>
      <c r="V7" s="17"/>
      <c r="W7" s="17"/>
      <c r="X7" s="17"/>
      <c r="Y7" s="17"/>
      <c r="Z7" s="17"/>
      <c r="AA7" s="17"/>
      <c r="AB7" s="17"/>
      <c r="AC7" s="17"/>
    </row>
    <row r="8" spans="1:29" x14ac:dyDescent="0.35">
      <c r="A8" s="16"/>
      <c r="B8" s="16"/>
      <c r="C8" s="17"/>
      <c r="D8" s="17"/>
      <c r="E8" s="17"/>
      <c r="F8" s="17"/>
      <c r="G8" s="17"/>
      <c r="H8" s="17"/>
      <c r="I8" s="17"/>
      <c r="J8" s="17"/>
      <c r="K8" s="17"/>
      <c r="L8" s="17"/>
      <c r="M8" s="17"/>
      <c r="N8" s="17"/>
      <c r="O8" s="17"/>
      <c r="P8" s="17"/>
      <c r="Q8" s="17"/>
      <c r="R8" s="17"/>
      <c r="S8" s="17"/>
      <c r="T8" s="17"/>
      <c r="U8" s="17"/>
      <c r="V8" s="17"/>
      <c r="W8" s="17"/>
      <c r="X8" s="17"/>
      <c r="Y8" s="17"/>
      <c r="Z8" s="17"/>
      <c r="AA8" s="17"/>
      <c r="AB8" s="17"/>
      <c r="AC8" s="17"/>
    </row>
    <row r="9" spans="1:29" x14ac:dyDescent="0.35">
      <c r="A9" s="16"/>
      <c r="B9" s="16"/>
      <c r="C9" s="17"/>
      <c r="D9" s="17"/>
      <c r="E9" s="17"/>
      <c r="F9" s="17"/>
      <c r="G9" s="17"/>
      <c r="H9" s="17"/>
      <c r="I9" s="17"/>
      <c r="J9" s="17"/>
      <c r="K9" s="17"/>
      <c r="L9" s="17"/>
      <c r="M9" s="17"/>
      <c r="N9" s="17"/>
      <c r="O9" s="17"/>
      <c r="P9" s="17"/>
      <c r="Q9" s="17"/>
      <c r="R9" s="17"/>
      <c r="S9" s="17"/>
      <c r="T9" s="17"/>
      <c r="U9" s="17"/>
      <c r="V9" s="17"/>
      <c r="W9" s="17"/>
      <c r="X9" s="17"/>
      <c r="Y9" s="17"/>
      <c r="Z9" s="17"/>
      <c r="AA9" s="17"/>
      <c r="AB9" s="17"/>
      <c r="AC9" s="17"/>
    </row>
    <row r="10" spans="1:29" x14ac:dyDescent="0.35">
      <c r="A10" s="16"/>
      <c r="B10" s="1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x14ac:dyDescent="0.35">
      <c r="A11" s="16"/>
      <c r="B11" s="1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row>
    <row r="12" spans="1:29" x14ac:dyDescent="0.35">
      <c r="A12" s="16"/>
      <c r="B12" s="1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x14ac:dyDescent="0.35">
      <c r="A13" s="16"/>
      <c r="B13" s="1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spans="1:29" x14ac:dyDescent="0.35">
      <c r="A14" s="16"/>
      <c r="B14" s="1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x14ac:dyDescent="0.35">
      <c r="A15" s="16"/>
      <c r="B15" s="1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x14ac:dyDescent="0.35">
      <c r="A16" s="16"/>
      <c r="B16" s="1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1:29" x14ac:dyDescent="0.35">
      <c r="A17" s="16"/>
      <c r="B17" s="1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x14ac:dyDescent="0.35">
      <c r="A18" s="16"/>
      <c r="B18" s="1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x14ac:dyDescent="0.35">
      <c r="A19" s="16"/>
      <c r="B19" s="1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x14ac:dyDescent="0.35">
      <c r="A20" s="16"/>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35">
      <c r="A21" s="16"/>
      <c r="B21" s="1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x14ac:dyDescent="0.35">
      <c r="A22" s="16"/>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x14ac:dyDescent="0.35">
      <c r="A23" s="16"/>
      <c r="B23" s="1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x14ac:dyDescent="0.35">
      <c r="A24" s="16"/>
      <c r="B24" s="1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x14ac:dyDescent="0.35">
      <c r="A25" s="16"/>
      <c r="B25" s="1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x14ac:dyDescent="0.35">
      <c r="A26" s="16"/>
      <c r="B26" s="1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x14ac:dyDescent="0.35">
      <c r="A27" s="16"/>
      <c r="B27" s="1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x14ac:dyDescent="0.35">
      <c r="A28" s="16"/>
      <c r="B28" s="1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1:29" x14ac:dyDescent="0.35">
      <c r="A29" s="16"/>
      <c r="B29" s="1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x14ac:dyDescent="0.35">
      <c r="A30" s="16"/>
      <c r="B30" s="1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x14ac:dyDescent="0.35">
      <c r="A31" s="16"/>
      <c r="B31" s="1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x14ac:dyDescent="0.35">
      <c r="A32" s="16"/>
      <c r="B32" s="1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x14ac:dyDescent="0.35">
      <c r="A33" s="16"/>
      <c r="B33" s="1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x14ac:dyDescent="0.35">
      <c r="A34" s="16"/>
      <c r="B34" s="1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x14ac:dyDescent="0.35">
      <c r="A35" s="16"/>
      <c r="B35" s="1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x14ac:dyDescent="0.35">
      <c r="A36" s="16"/>
      <c r="B36" s="1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1:29" x14ac:dyDescent="0.35">
      <c r="A37" s="16"/>
      <c r="B37" s="1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x14ac:dyDescent="0.35">
      <c r="A38" s="16"/>
      <c r="B38" s="1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x14ac:dyDescent="0.35">
      <c r="A39" s="16"/>
      <c r="B39" s="1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spans="1:29" x14ac:dyDescent="0.35">
      <c r="A40" s="16"/>
      <c r="B40" s="1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spans="1:29" x14ac:dyDescent="0.35">
      <c r="A41" s="16"/>
      <c r="B41" s="16"/>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spans="1:29" x14ac:dyDescent="0.35">
      <c r="A42" s="16"/>
      <c r="B42" s="16"/>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spans="1:29" x14ac:dyDescent="0.35">
      <c r="A43" s="16"/>
      <c r="B43" s="16"/>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spans="1:29" x14ac:dyDescent="0.35">
      <c r="A44" s="16"/>
      <c r="B44" s="16"/>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spans="1:29" x14ac:dyDescent="0.35">
      <c r="A45" s="16"/>
      <c r="B45" s="16"/>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spans="1:29" x14ac:dyDescent="0.35">
      <c r="A46" s="16"/>
      <c r="B46" s="16"/>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spans="1:29" x14ac:dyDescent="0.35">
      <c r="A47" s="16"/>
      <c r="B47" s="16"/>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spans="1:29" x14ac:dyDescent="0.35">
      <c r="A48" s="16"/>
      <c r="B48" s="16"/>
    </row>
    <row r="49" spans="1:2" x14ac:dyDescent="0.35">
      <c r="A49" s="16"/>
      <c r="B49" s="16"/>
    </row>
    <row r="50" spans="1:2" x14ac:dyDescent="0.35">
      <c r="A50" s="16"/>
      <c r="B50" s="16"/>
    </row>
    <row r="51" spans="1:2" x14ac:dyDescent="0.35">
      <c r="A51" s="16"/>
      <c r="B51" s="16"/>
    </row>
    <row r="52" spans="1:2" x14ac:dyDescent="0.35">
      <c r="A52" s="16"/>
      <c r="B52" s="16"/>
    </row>
    <row r="53" spans="1:2" x14ac:dyDescent="0.35">
      <c r="A53" s="16"/>
      <c r="B53" s="16"/>
    </row>
    <row r="54" spans="1:2" x14ac:dyDescent="0.35">
      <c r="A54" s="16"/>
      <c r="B54" s="16"/>
    </row>
    <row r="55" spans="1:2" x14ac:dyDescent="0.35">
      <c r="A55" s="16"/>
      <c r="B55" s="16"/>
    </row>
    <row r="56" spans="1:2" x14ac:dyDescent="0.35">
      <c r="A56" s="16"/>
      <c r="B56" s="16"/>
    </row>
    <row r="57" spans="1:2" x14ac:dyDescent="0.35">
      <c r="A57" s="16"/>
      <c r="B57" s="16"/>
    </row>
    <row r="58" spans="1:2" x14ac:dyDescent="0.35">
      <c r="A58" s="16"/>
      <c r="B58" s="16"/>
    </row>
    <row r="59" spans="1:2" x14ac:dyDescent="0.35">
      <c r="A59" s="16"/>
      <c r="B59" s="16"/>
    </row>
    <row r="60" spans="1:2" x14ac:dyDescent="0.35">
      <c r="A60" s="16"/>
      <c r="B60" s="16"/>
    </row>
    <row r="61" spans="1:2" x14ac:dyDescent="0.35">
      <c r="A61" s="16"/>
      <c r="B61" s="16"/>
    </row>
    <row r="62" spans="1:2" x14ac:dyDescent="0.35">
      <c r="A62" s="16"/>
      <c r="B62" s="16"/>
    </row>
    <row r="63" spans="1:2" x14ac:dyDescent="0.35">
      <c r="A63" s="16"/>
      <c r="B63" s="16"/>
    </row>
    <row r="64" spans="1:2" x14ac:dyDescent="0.35">
      <c r="A64" s="16"/>
      <c r="B64" s="16"/>
    </row>
    <row r="65" spans="1:2" x14ac:dyDescent="0.35">
      <c r="A65" s="16"/>
      <c r="B65" s="16"/>
    </row>
    <row r="66" spans="1:2" x14ac:dyDescent="0.35">
      <c r="A66" s="16"/>
      <c r="B66" s="16"/>
    </row>
    <row r="67" spans="1:2" x14ac:dyDescent="0.35">
      <c r="A67" s="16"/>
      <c r="B67" s="16"/>
    </row>
    <row r="68" spans="1:2" x14ac:dyDescent="0.35">
      <c r="A68" s="16"/>
      <c r="B68" s="16"/>
    </row>
    <row r="69" spans="1:2" x14ac:dyDescent="0.35">
      <c r="A69" s="16"/>
      <c r="B69" s="16"/>
    </row>
    <row r="70" spans="1:2" x14ac:dyDescent="0.35">
      <c r="A70" s="16"/>
      <c r="B70" s="16"/>
    </row>
    <row r="71" spans="1:2" x14ac:dyDescent="0.35">
      <c r="A71" s="16"/>
      <c r="B71" s="16"/>
    </row>
    <row r="72" spans="1:2" x14ac:dyDescent="0.35">
      <c r="A72" s="16"/>
      <c r="B72" s="16"/>
    </row>
    <row r="73" spans="1:2" x14ac:dyDescent="0.35">
      <c r="A73" s="16"/>
      <c r="B73" s="16"/>
    </row>
    <row r="74" spans="1:2" x14ac:dyDescent="0.35">
      <c r="A74" s="16"/>
      <c r="B74" s="16"/>
    </row>
    <row r="75" spans="1:2" x14ac:dyDescent="0.35">
      <c r="A75" s="16"/>
      <c r="B75" s="16"/>
    </row>
    <row r="76" spans="1:2" x14ac:dyDescent="0.35">
      <c r="A76" s="16"/>
      <c r="B76" s="16"/>
    </row>
    <row r="77" spans="1:2" x14ac:dyDescent="0.35">
      <c r="A77" s="16"/>
      <c r="B77" s="16"/>
    </row>
    <row r="78" spans="1:2" x14ac:dyDescent="0.35">
      <c r="A78" s="16"/>
      <c r="B78" s="1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0092B-5C39-44FA-889F-6DB6913D0094}">
  <dimension ref="A1"/>
  <sheetViews>
    <sheetView showGridLines="0" zoomScale="40" zoomScaleNormal="40" workbookViewId="0">
      <selection activeCell="AI20" sqref="AI20"/>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mtn_customer_churn</vt:lpstr>
      <vt:lpstr> Pivot Table &amp; Charts</vt:lpstr>
      <vt:lpstr>Customer Churn Analysis Dashboa</vt:lpstr>
      <vt:lpstr>Dashboard 1 (3)</vt:lpstr>
      <vt:lpstr>Dashboard 1</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Tolulope Ajala</dc:creator>
  <cp:lastModifiedBy>Tolulope Ajala</cp:lastModifiedBy>
  <dcterms:created xsi:type="dcterms:W3CDTF">2025-11-08T01:50:18Z</dcterms:created>
  <dcterms:modified xsi:type="dcterms:W3CDTF">2025-11-10T22:21:40Z</dcterms:modified>
</cp:coreProperties>
</file>